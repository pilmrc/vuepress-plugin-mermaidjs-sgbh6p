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1404618\Documents\Projects\JGP QLMS\BA Testing\Templates testing\"/>
    </mc:Choice>
  </mc:AlternateContent>
  <xr:revisionPtr revIDLastSave="0" documentId="13_ncr:1_{02D8D196-0FC5-47F7-B147-B7DCD5BBBCEF}" xr6:coauthVersionLast="45" xr6:coauthVersionMax="45" xr10:uidLastSave="{00000000-0000-0000-0000-000000000000}"/>
  <bookViews>
    <workbookView xWindow="-108" yWindow="-108" windowWidth="23256" windowHeight="12576" tabRatio="500" activeTab="1" xr2:uid="{00000000-000D-0000-FFFF-FFFF00000000}"/>
  </bookViews>
  <sheets>
    <sheet name="Cav1" sheetId="1" r:id="rId1"/>
    <sheet name="Cav2" sheetId="10" r:id="rId2"/>
    <sheet name="Setup" sheetId="3" state="hidden" r:id="rId3"/>
    <sheet name="OMM整理表" sheetId="6" state="hidden" r:id="rId4"/>
    <sheet name="1#整理" sheetId="9" state="hidden" r:id="rId5"/>
  </sheets>
  <functionGroups builtInGroupCount="19"/>
  <externalReferences>
    <externalReference r:id="rId6"/>
  </externalReferences>
  <definedNames>
    <definedName name="_xlnm._FilterDatabase" localSheetId="0" hidden="1">'Cav1'!$A$8:$Y$692</definedName>
    <definedName name="_xlnm._FilterDatabase" localSheetId="1" hidden="1">'Cav2'!$A$8:$Y$692</definedName>
    <definedName name="dim_type">[1]Setup!$J$2:$J$5</definedName>
    <definedName name="insp_meth">[1]Setup!$H$2:$H$14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7" i="10" l="1"/>
  <c r="Q17" i="10"/>
  <c r="R17" i="10"/>
  <c r="S17" i="10"/>
  <c r="T17" i="10"/>
  <c r="V17" i="10" s="1"/>
  <c r="U17" i="10"/>
  <c r="W17" i="10"/>
  <c r="P18" i="10"/>
  <c r="Q18" i="10"/>
  <c r="R18" i="10"/>
  <c r="S18" i="10"/>
  <c r="T18" i="10"/>
  <c r="V18" i="10" s="1"/>
  <c r="U18" i="10"/>
  <c r="W18" i="10"/>
  <c r="P12" i="1"/>
  <c r="Q12" i="1"/>
  <c r="R12" i="1"/>
  <c r="S12" i="1"/>
  <c r="T12" i="1"/>
  <c r="V12" i="1" s="1"/>
  <c r="U12" i="1"/>
  <c r="W12" i="1"/>
  <c r="P13" i="1"/>
  <c r="Q13" i="1"/>
  <c r="R13" i="1"/>
  <c r="S13" i="1"/>
  <c r="T13" i="1"/>
  <c r="V13" i="1" s="1"/>
  <c r="U13" i="1"/>
  <c r="W13" i="1"/>
  <c r="P17" i="1"/>
  <c r="Q17" i="1"/>
  <c r="R17" i="1"/>
  <c r="S17" i="1"/>
  <c r="T17" i="1"/>
  <c r="V17" i="1" s="1"/>
  <c r="U17" i="1"/>
  <c r="W17" i="1"/>
  <c r="P18" i="1"/>
  <c r="Q18" i="1"/>
  <c r="R18" i="1"/>
  <c r="S18" i="1"/>
  <c r="T18" i="1"/>
  <c r="V18" i="1" s="1"/>
  <c r="U18" i="1"/>
  <c r="W18" i="1"/>
  <c r="W11" i="1" l="1"/>
  <c r="U11" i="1"/>
  <c r="T11" i="1"/>
  <c r="V11" i="1" s="1"/>
  <c r="S11" i="1"/>
  <c r="R11" i="1"/>
  <c r="Q11" i="1"/>
  <c r="P11" i="1"/>
  <c r="P12" i="10"/>
  <c r="Q12" i="10"/>
  <c r="R12" i="10"/>
  <c r="S12" i="10"/>
  <c r="T12" i="10"/>
  <c r="V12" i="10" s="1"/>
  <c r="U12" i="10"/>
  <c r="W12" i="10"/>
  <c r="P13" i="10"/>
  <c r="Q13" i="10"/>
  <c r="R13" i="10"/>
  <c r="S13" i="10"/>
  <c r="T13" i="10"/>
  <c r="V13" i="10" s="1"/>
  <c r="U13" i="10"/>
  <c r="W13" i="10"/>
  <c r="U11" i="10"/>
  <c r="W11" i="10" s="1"/>
  <c r="T11" i="10"/>
  <c r="V11" i="10" s="1"/>
  <c r="S11" i="10"/>
  <c r="R11" i="10"/>
  <c r="Q11" i="10"/>
  <c r="P11" i="10"/>
  <c r="W692" i="10" l="1"/>
  <c r="U692" i="10"/>
  <c r="T692" i="10"/>
  <c r="V692" i="10" s="1"/>
  <c r="S692" i="10"/>
  <c r="R692" i="10"/>
  <c r="Q692" i="10"/>
  <c r="P692" i="10"/>
  <c r="K692" i="10"/>
  <c r="J692" i="10"/>
  <c r="W691" i="10"/>
  <c r="U691" i="10"/>
  <c r="T691" i="10"/>
  <c r="V691" i="10" s="1"/>
  <c r="S691" i="10"/>
  <c r="R691" i="10"/>
  <c r="Q691" i="10"/>
  <c r="P691" i="10"/>
  <c r="K691" i="10"/>
  <c r="J691" i="10"/>
  <c r="W690" i="10"/>
  <c r="U690" i="10"/>
  <c r="T690" i="10"/>
  <c r="V690" i="10" s="1"/>
  <c r="S690" i="10"/>
  <c r="R690" i="10"/>
  <c r="Q690" i="10"/>
  <c r="P690" i="10"/>
  <c r="K690" i="10"/>
  <c r="J690" i="10"/>
  <c r="W689" i="10"/>
  <c r="U689" i="10"/>
  <c r="T689" i="10"/>
  <c r="V689" i="10" s="1"/>
  <c r="S689" i="10"/>
  <c r="R689" i="10"/>
  <c r="Q689" i="10"/>
  <c r="P689" i="10"/>
  <c r="K689" i="10"/>
  <c r="J689" i="10"/>
  <c r="W688" i="10"/>
  <c r="U688" i="10"/>
  <c r="T688" i="10"/>
  <c r="V688" i="10" s="1"/>
  <c r="S688" i="10"/>
  <c r="R688" i="10"/>
  <c r="Q688" i="10"/>
  <c r="P688" i="10"/>
  <c r="K688" i="10"/>
  <c r="J688" i="10"/>
  <c r="W687" i="10"/>
  <c r="U687" i="10"/>
  <c r="T687" i="10"/>
  <c r="V687" i="10" s="1"/>
  <c r="S687" i="10"/>
  <c r="R687" i="10"/>
  <c r="Q687" i="10"/>
  <c r="P687" i="10"/>
  <c r="K687" i="10"/>
  <c r="J687" i="10"/>
  <c r="W686" i="10"/>
  <c r="U686" i="10"/>
  <c r="T686" i="10"/>
  <c r="V686" i="10" s="1"/>
  <c r="S686" i="10"/>
  <c r="R686" i="10"/>
  <c r="Q686" i="10"/>
  <c r="P686" i="10"/>
  <c r="K686" i="10"/>
  <c r="J686" i="10"/>
  <c r="W685" i="10"/>
  <c r="U685" i="10"/>
  <c r="T685" i="10"/>
  <c r="V685" i="10" s="1"/>
  <c r="S685" i="10"/>
  <c r="R685" i="10"/>
  <c r="Q685" i="10"/>
  <c r="P685" i="10"/>
  <c r="K685" i="10"/>
  <c r="J685" i="10"/>
  <c r="W684" i="10"/>
  <c r="U684" i="10"/>
  <c r="T684" i="10"/>
  <c r="V684" i="10" s="1"/>
  <c r="S684" i="10"/>
  <c r="R684" i="10"/>
  <c r="Q684" i="10"/>
  <c r="P684" i="10"/>
  <c r="K684" i="10"/>
  <c r="J684" i="10"/>
  <c r="W683" i="10"/>
  <c r="U683" i="10"/>
  <c r="T683" i="10"/>
  <c r="V683" i="10" s="1"/>
  <c r="S683" i="10"/>
  <c r="R683" i="10"/>
  <c r="Q683" i="10"/>
  <c r="P683" i="10"/>
  <c r="K683" i="10"/>
  <c r="J683" i="10"/>
  <c r="W682" i="10"/>
  <c r="U682" i="10"/>
  <c r="T682" i="10"/>
  <c r="V682" i="10" s="1"/>
  <c r="S682" i="10"/>
  <c r="R682" i="10"/>
  <c r="Q682" i="10"/>
  <c r="P682" i="10"/>
  <c r="K682" i="10"/>
  <c r="J682" i="10"/>
  <c r="W681" i="10"/>
  <c r="U681" i="10"/>
  <c r="T681" i="10"/>
  <c r="V681" i="10" s="1"/>
  <c r="S681" i="10"/>
  <c r="R681" i="10"/>
  <c r="Q681" i="10"/>
  <c r="P681" i="10"/>
  <c r="K681" i="10"/>
  <c r="J681" i="10"/>
  <c r="W680" i="10"/>
  <c r="U680" i="10"/>
  <c r="T680" i="10"/>
  <c r="V680" i="10" s="1"/>
  <c r="S680" i="10"/>
  <c r="R680" i="10"/>
  <c r="Q680" i="10"/>
  <c r="P680" i="10"/>
  <c r="K680" i="10"/>
  <c r="J680" i="10"/>
  <c r="W679" i="10"/>
  <c r="U679" i="10"/>
  <c r="T679" i="10"/>
  <c r="V679" i="10" s="1"/>
  <c r="S679" i="10"/>
  <c r="R679" i="10"/>
  <c r="Q679" i="10"/>
  <c r="P679" i="10"/>
  <c r="K679" i="10"/>
  <c r="J679" i="10"/>
  <c r="W678" i="10"/>
  <c r="U678" i="10"/>
  <c r="T678" i="10"/>
  <c r="V678" i="10" s="1"/>
  <c r="S678" i="10"/>
  <c r="R678" i="10"/>
  <c r="Q678" i="10"/>
  <c r="P678" i="10"/>
  <c r="K678" i="10"/>
  <c r="J678" i="10"/>
  <c r="W677" i="10"/>
  <c r="U677" i="10"/>
  <c r="T677" i="10"/>
  <c r="V677" i="10" s="1"/>
  <c r="S677" i="10"/>
  <c r="R677" i="10"/>
  <c r="Q677" i="10"/>
  <c r="P677" i="10"/>
  <c r="K677" i="10"/>
  <c r="J677" i="10"/>
  <c r="W676" i="10"/>
  <c r="U676" i="10"/>
  <c r="T676" i="10"/>
  <c r="V676" i="10" s="1"/>
  <c r="S676" i="10"/>
  <c r="R676" i="10"/>
  <c r="Q676" i="10"/>
  <c r="P676" i="10"/>
  <c r="K676" i="10"/>
  <c r="J676" i="10"/>
  <c r="W675" i="10"/>
  <c r="U675" i="10"/>
  <c r="T675" i="10"/>
  <c r="V675" i="10" s="1"/>
  <c r="S675" i="10"/>
  <c r="R675" i="10"/>
  <c r="Q675" i="10"/>
  <c r="P675" i="10"/>
  <c r="K675" i="10"/>
  <c r="J675" i="10"/>
  <c r="W674" i="10"/>
  <c r="U674" i="10"/>
  <c r="T674" i="10"/>
  <c r="V674" i="10" s="1"/>
  <c r="S674" i="10"/>
  <c r="R674" i="10"/>
  <c r="Q674" i="10"/>
  <c r="P674" i="10"/>
  <c r="K674" i="10"/>
  <c r="J674" i="10"/>
  <c r="W673" i="10"/>
  <c r="U673" i="10"/>
  <c r="T673" i="10"/>
  <c r="V673" i="10" s="1"/>
  <c r="S673" i="10"/>
  <c r="R673" i="10"/>
  <c r="Q673" i="10"/>
  <c r="P673" i="10"/>
  <c r="K673" i="10"/>
  <c r="J673" i="10"/>
  <c r="W672" i="10"/>
  <c r="V672" i="10"/>
  <c r="U672" i="10"/>
  <c r="T672" i="10"/>
  <c r="S672" i="10"/>
  <c r="R672" i="10"/>
  <c r="Q672" i="10"/>
  <c r="P672" i="10"/>
  <c r="K672" i="10"/>
  <c r="J672" i="10"/>
  <c r="W671" i="10"/>
  <c r="U671" i="10"/>
  <c r="T671" i="10"/>
  <c r="V671" i="10" s="1"/>
  <c r="S671" i="10"/>
  <c r="R671" i="10"/>
  <c r="Q671" i="10"/>
  <c r="P671" i="10"/>
  <c r="K671" i="10"/>
  <c r="J671" i="10"/>
  <c r="W670" i="10"/>
  <c r="V670" i="10"/>
  <c r="U670" i="10"/>
  <c r="T670" i="10"/>
  <c r="S670" i="10"/>
  <c r="R670" i="10"/>
  <c r="Q670" i="10"/>
  <c r="P670" i="10"/>
  <c r="K670" i="10"/>
  <c r="J670" i="10"/>
  <c r="W669" i="10"/>
  <c r="U669" i="10"/>
  <c r="T669" i="10"/>
  <c r="V669" i="10" s="1"/>
  <c r="S669" i="10"/>
  <c r="R669" i="10"/>
  <c r="Q669" i="10"/>
  <c r="P669" i="10"/>
  <c r="K669" i="10"/>
  <c r="J669" i="10"/>
  <c r="W668" i="10"/>
  <c r="U668" i="10"/>
  <c r="T668" i="10"/>
  <c r="V668" i="10" s="1"/>
  <c r="S668" i="10"/>
  <c r="R668" i="10"/>
  <c r="Q668" i="10"/>
  <c r="P668" i="10"/>
  <c r="K668" i="10"/>
  <c r="J668" i="10"/>
  <c r="W667" i="10"/>
  <c r="U667" i="10"/>
  <c r="T667" i="10"/>
  <c r="V667" i="10" s="1"/>
  <c r="S667" i="10"/>
  <c r="R667" i="10"/>
  <c r="Q667" i="10"/>
  <c r="P667" i="10"/>
  <c r="K667" i="10"/>
  <c r="J667" i="10"/>
  <c r="W666" i="10"/>
  <c r="U666" i="10"/>
  <c r="T666" i="10"/>
  <c r="V666" i="10" s="1"/>
  <c r="S666" i="10"/>
  <c r="R666" i="10"/>
  <c r="Q666" i="10"/>
  <c r="P666" i="10"/>
  <c r="K666" i="10"/>
  <c r="J666" i="10"/>
  <c r="W665" i="10"/>
  <c r="U665" i="10"/>
  <c r="T665" i="10"/>
  <c r="V665" i="10" s="1"/>
  <c r="S665" i="10"/>
  <c r="R665" i="10"/>
  <c r="Q665" i="10"/>
  <c r="P665" i="10"/>
  <c r="K665" i="10"/>
  <c r="J665" i="10"/>
  <c r="W664" i="10"/>
  <c r="U664" i="10"/>
  <c r="T664" i="10"/>
  <c r="V664" i="10" s="1"/>
  <c r="S664" i="10"/>
  <c r="R664" i="10"/>
  <c r="Q664" i="10"/>
  <c r="P664" i="10"/>
  <c r="K664" i="10"/>
  <c r="J664" i="10"/>
  <c r="W663" i="10"/>
  <c r="U663" i="10"/>
  <c r="T663" i="10"/>
  <c r="V663" i="10" s="1"/>
  <c r="S663" i="10"/>
  <c r="R663" i="10"/>
  <c r="Q663" i="10"/>
  <c r="P663" i="10"/>
  <c r="K663" i="10"/>
  <c r="J663" i="10"/>
  <c r="W662" i="10"/>
  <c r="U662" i="10"/>
  <c r="T662" i="10"/>
  <c r="V662" i="10" s="1"/>
  <c r="S662" i="10"/>
  <c r="R662" i="10"/>
  <c r="Q662" i="10"/>
  <c r="P662" i="10"/>
  <c r="K662" i="10"/>
  <c r="J662" i="10"/>
  <c r="W661" i="10"/>
  <c r="U661" i="10"/>
  <c r="T661" i="10"/>
  <c r="V661" i="10" s="1"/>
  <c r="S661" i="10"/>
  <c r="R661" i="10"/>
  <c r="Q661" i="10"/>
  <c r="P661" i="10"/>
  <c r="K661" i="10"/>
  <c r="J661" i="10"/>
  <c r="W660" i="10"/>
  <c r="U660" i="10"/>
  <c r="T660" i="10"/>
  <c r="V660" i="10" s="1"/>
  <c r="S660" i="10"/>
  <c r="R660" i="10"/>
  <c r="Q660" i="10"/>
  <c r="P660" i="10"/>
  <c r="K660" i="10"/>
  <c r="J660" i="10"/>
  <c r="W659" i="10"/>
  <c r="U659" i="10"/>
  <c r="T659" i="10"/>
  <c r="V659" i="10" s="1"/>
  <c r="S659" i="10"/>
  <c r="R659" i="10"/>
  <c r="Q659" i="10"/>
  <c r="P659" i="10"/>
  <c r="K659" i="10"/>
  <c r="J659" i="10"/>
  <c r="W658" i="10"/>
  <c r="U658" i="10"/>
  <c r="T658" i="10"/>
  <c r="V658" i="10" s="1"/>
  <c r="S658" i="10"/>
  <c r="R658" i="10"/>
  <c r="Q658" i="10"/>
  <c r="P658" i="10"/>
  <c r="K658" i="10"/>
  <c r="J658" i="10"/>
  <c r="W657" i="10"/>
  <c r="U657" i="10"/>
  <c r="T657" i="10"/>
  <c r="V657" i="10" s="1"/>
  <c r="S657" i="10"/>
  <c r="R657" i="10"/>
  <c r="Q657" i="10"/>
  <c r="P657" i="10"/>
  <c r="K657" i="10"/>
  <c r="J657" i="10"/>
  <c r="W656" i="10"/>
  <c r="U656" i="10"/>
  <c r="T656" i="10"/>
  <c r="V656" i="10" s="1"/>
  <c r="S656" i="10"/>
  <c r="R656" i="10"/>
  <c r="Q656" i="10"/>
  <c r="P656" i="10"/>
  <c r="K656" i="10"/>
  <c r="J656" i="10"/>
  <c r="W655" i="10"/>
  <c r="U655" i="10"/>
  <c r="T655" i="10"/>
  <c r="V655" i="10" s="1"/>
  <c r="S655" i="10"/>
  <c r="R655" i="10"/>
  <c r="Q655" i="10"/>
  <c r="P655" i="10"/>
  <c r="K655" i="10"/>
  <c r="J655" i="10"/>
  <c r="W654" i="10"/>
  <c r="U654" i="10"/>
  <c r="T654" i="10"/>
  <c r="V654" i="10" s="1"/>
  <c r="S654" i="10"/>
  <c r="R654" i="10"/>
  <c r="Q654" i="10"/>
  <c r="P654" i="10"/>
  <c r="K654" i="10"/>
  <c r="J654" i="10"/>
  <c r="W653" i="10"/>
  <c r="U653" i="10"/>
  <c r="T653" i="10"/>
  <c r="V653" i="10" s="1"/>
  <c r="S653" i="10"/>
  <c r="R653" i="10"/>
  <c r="Q653" i="10"/>
  <c r="P653" i="10"/>
  <c r="K653" i="10"/>
  <c r="J653" i="10"/>
  <c r="W652" i="10"/>
  <c r="U652" i="10"/>
  <c r="T652" i="10"/>
  <c r="V652" i="10" s="1"/>
  <c r="S652" i="10"/>
  <c r="R652" i="10"/>
  <c r="Q652" i="10"/>
  <c r="P652" i="10"/>
  <c r="K652" i="10"/>
  <c r="J652" i="10"/>
  <c r="W651" i="10"/>
  <c r="U651" i="10"/>
  <c r="T651" i="10"/>
  <c r="V651" i="10" s="1"/>
  <c r="S651" i="10"/>
  <c r="R651" i="10"/>
  <c r="Q651" i="10"/>
  <c r="P651" i="10"/>
  <c r="K651" i="10"/>
  <c r="J651" i="10"/>
  <c r="W650" i="10"/>
  <c r="U650" i="10"/>
  <c r="T650" i="10"/>
  <c r="V650" i="10" s="1"/>
  <c r="S650" i="10"/>
  <c r="R650" i="10"/>
  <c r="Q650" i="10"/>
  <c r="P650" i="10"/>
  <c r="K650" i="10"/>
  <c r="J650" i="10"/>
  <c r="W649" i="10"/>
  <c r="U649" i="10"/>
  <c r="T649" i="10"/>
  <c r="V649" i="10" s="1"/>
  <c r="S649" i="10"/>
  <c r="R649" i="10"/>
  <c r="Q649" i="10"/>
  <c r="P649" i="10"/>
  <c r="K649" i="10"/>
  <c r="J649" i="10"/>
  <c r="W648" i="10"/>
  <c r="U648" i="10"/>
  <c r="T648" i="10"/>
  <c r="V648" i="10" s="1"/>
  <c r="S648" i="10"/>
  <c r="R648" i="10"/>
  <c r="Q648" i="10"/>
  <c r="P648" i="10"/>
  <c r="K648" i="10"/>
  <c r="J648" i="10"/>
  <c r="W647" i="10"/>
  <c r="U647" i="10"/>
  <c r="T647" i="10"/>
  <c r="V647" i="10" s="1"/>
  <c r="S647" i="10"/>
  <c r="R647" i="10"/>
  <c r="Q647" i="10"/>
  <c r="P647" i="10"/>
  <c r="K647" i="10"/>
  <c r="J647" i="10"/>
  <c r="W646" i="10"/>
  <c r="U646" i="10"/>
  <c r="T646" i="10"/>
  <c r="V646" i="10" s="1"/>
  <c r="S646" i="10"/>
  <c r="R646" i="10"/>
  <c r="Q646" i="10"/>
  <c r="P646" i="10"/>
  <c r="K646" i="10"/>
  <c r="J646" i="10"/>
  <c r="W645" i="10"/>
  <c r="U645" i="10"/>
  <c r="T645" i="10"/>
  <c r="V645" i="10" s="1"/>
  <c r="S645" i="10"/>
  <c r="R645" i="10"/>
  <c r="Q645" i="10"/>
  <c r="P645" i="10"/>
  <c r="K645" i="10"/>
  <c r="J645" i="10"/>
  <c r="W644" i="10"/>
  <c r="U644" i="10"/>
  <c r="T644" i="10"/>
  <c r="V644" i="10" s="1"/>
  <c r="S644" i="10"/>
  <c r="R644" i="10"/>
  <c r="Q644" i="10"/>
  <c r="P644" i="10"/>
  <c r="K644" i="10"/>
  <c r="J644" i="10"/>
  <c r="W643" i="10"/>
  <c r="U643" i="10"/>
  <c r="T643" i="10"/>
  <c r="V643" i="10" s="1"/>
  <c r="S643" i="10"/>
  <c r="R643" i="10"/>
  <c r="Q643" i="10"/>
  <c r="P643" i="10"/>
  <c r="K643" i="10"/>
  <c r="J643" i="10"/>
  <c r="W642" i="10"/>
  <c r="U642" i="10"/>
  <c r="T642" i="10"/>
  <c r="V642" i="10" s="1"/>
  <c r="S642" i="10"/>
  <c r="R642" i="10"/>
  <c r="Q642" i="10"/>
  <c r="P642" i="10"/>
  <c r="K642" i="10"/>
  <c r="J642" i="10"/>
  <c r="W641" i="10"/>
  <c r="U641" i="10"/>
  <c r="T641" i="10"/>
  <c r="V641" i="10" s="1"/>
  <c r="S641" i="10"/>
  <c r="R641" i="10"/>
  <c r="Q641" i="10"/>
  <c r="P641" i="10"/>
  <c r="K641" i="10"/>
  <c r="J641" i="10"/>
  <c r="W640" i="10"/>
  <c r="V640" i="10"/>
  <c r="U640" i="10"/>
  <c r="T640" i="10"/>
  <c r="S640" i="10"/>
  <c r="R640" i="10"/>
  <c r="Q640" i="10"/>
  <c r="P640" i="10"/>
  <c r="K640" i="10"/>
  <c r="J640" i="10"/>
  <c r="W639" i="10"/>
  <c r="U639" i="10"/>
  <c r="T639" i="10"/>
  <c r="V639" i="10" s="1"/>
  <c r="S639" i="10"/>
  <c r="R639" i="10"/>
  <c r="Q639" i="10"/>
  <c r="P639" i="10"/>
  <c r="K639" i="10"/>
  <c r="J639" i="10"/>
  <c r="W638" i="10"/>
  <c r="U638" i="10"/>
  <c r="T638" i="10"/>
  <c r="V638" i="10" s="1"/>
  <c r="S638" i="10"/>
  <c r="R638" i="10"/>
  <c r="Q638" i="10"/>
  <c r="P638" i="10"/>
  <c r="K638" i="10"/>
  <c r="J638" i="10"/>
  <c r="W637" i="10"/>
  <c r="U637" i="10"/>
  <c r="T637" i="10"/>
  <c r="V637" i="10" s="1"/>
  <c r="S637" i="10"/>
  <c r="R637" i="10"/>
  <c r="Q637" i="10"/>
  <c r="P637" i="10"/>
  <c r="K637" i="10"/>
  <c r="J637" i="10"/>
  <c r="W636" i="10"/>
  <c r="U636" i="10"/>
  <c r="T636" i="10"/>
  <c r="V636" i="10" s="1"/>
  <c r="S636" i="10"/>
  <c r="R636" i="10"/>
  <c r="Q636" i="10"/>
  <c r="P636" i="10"/>
  <c r="K636" i="10"/>
  <c r="J636" i="10"/>
  <c r="W635" i="10"/>
  <c r="U635" i="10"/>
  <c r="T635" i="10"/>
  <c r="V635" i="10" s="1"/>
  <c r="S635" i="10"/>
  <c r="R635" i="10"/>
  <c r="Q635" i="10"/>
  <c r="P635" i="10"/>
  <c r="K635" i="10"/>
  <c r="J635" i="10"/>
  <c r="W634" i="10"/>
  <c r="U634" i="10"/>
  <c r="T634" i="10"/>
  <c r="V634" i="10" s="1"/>
  <c r="S634" i="10"/>
  <c r="R634" i="10"/>
  <c r="Q634" i="10"/>
  <c r="P634" i="10"/>
  <c r="K634" i="10"/>
  <c r="J634" i="10"/>
  <c r="W633" i="10"/>
  <c r="U633" i="10"/>
  <c r="T633" i="10"/>
  <c r="V633" i="10" s="1"/>
  <c r="S633" i="10"/>
  <c r="R633" i="10"/>
  <c r="Q633" i="10"/>
  <c r="P633" i="10"/>
  <c r="K633" i="10"/>
  <c r="J633" i="10"/>
  <c r="W632" i="10"/>
  <c r="U632" i="10"/>
  <c r="T632" i="10"/>
  <c r="V632" i="10" s="1"/>
  <c r="S632" i="10"/>
  <c r="R632" i="10"/>
  <c r="Q632" i="10"/>
  <c r="P632" i="10"/>
  <c r="K632" i="10"/>
  <c r="J632" i="10"/>
  <c r="W631" i="10"/>
  <c r="U631" i="10"/>
  <c r="T631" i="10"/>
  <c r="V631" i="10" s="1"/>
  <c r="S631" i="10"/>
  <c r="R631" i="10"/>
  <c r="Q631" i="10"/>
  <c r="P631" i="10"/>
  <c r="K631" i="10"/>
  <c r="J631" i="10"/>
  <c r="W630" i="10"/>
  <c r="U630" i="10"/>
  <c r="T630" i="10"/>
  <c r="V630" i="10" s="1"/>
  <c r="S630" i="10"/>
  <c r="R630" i="10"/>
  <c r="Q630" i="10"/>
  <c r="P630" i="10"/>
  <c r="K630" i="10"/>
  <c r="J630" i="10"/>
  <c r="W629" i="10"/>
  <c r="U629" i="10"/>
  <c r="T629" i="10"/>
  <c r="V629" i="10" s="1"/>
  <c r="S629" i="10"/>
  <c r="R629" i="10"/>
  <c r="Q629" i="10"/>
  <c r="P629" i="10"/>
  <c r="K629" i="10"/>
  <c r="J629" i="10"/>
  <c r="W628" i="10"/>
  <c r="U628" i="10"/>
  <c r="T628" i="10"/>
  <c r="V628" i="10" s="1"/>
  <c r="S628" i="10"/>
  <c r="R628" i="10"/>
  <c r="Q628" i="10"/>
  <c r="P628" i="10"/>
  <c r="K628" i="10"/>
  <c r="J628" i="10"/>
  <c r="W627" i="10"/>
  <c r="U627" i="10"/>
  <c r="T627" i="10"/>
  <c r="V627" i="10" s="1"/>
  <c r="S627" i="10"/>
  <c r="R627" i="10"/>
  <c r="Q627" i="10"/>
  <c r="P627" i="10"/>
  <c r="K627" i="10"/>
  <c r="J627" i="10"/>
  <c r="W626" i="10"/>
  <c r="U626" i="10"/>
  <c r="T626" i="10"/>
  <c r="V626" i="10" s="1"/>
  <c r="S626" i="10"/>
  <c r="R626" i="10"/>
  <c r="Q626" i="10"/>
  <c r="P626" i="10"/>
  <c r="K626" i="10"/>
  <c r="J626" i="10"/>
  <c r="W625" i="10"/>
  <c r="U625" i="10"/>
  <c r="T625" i="10"/>
  <c r="V625" i="10" s="1"/>
  <c r="S625" i="10"/>
  <c r="R625" i="10"/>
  <c r="Q625" i="10"/>
  <c r="P625" i="10"/>
  <c r="K625" i="10"/>
  <c r="J625" i="10"/>
  <c r="W624" i="10"/>
  <c r="U624" i="10"/>
  <c r="T624" i="10"/>
  <c r="V624" i="10" s="1"/>
  <c r="S624" i="10"/>
  <c r="R624" i="10"/>
  <c r="Q624" i="10"/>
  <c r="P624" i="10"/>
  <c r="K624" i="10"/>
  <c r="J624" i="10"/>
  <c r="W623" i="10"/>
  <c r="U623" i="10"/>
  <c r="T623" i="10"/>
  <c r="V623" i="10" s="1"/>
  <c r="S623" i="10"/>
  <c r="R623" i="10"/>
  <c r="Q623" i="10"/>
  <c r="P623" i="10"/>
  <c r="K623" i="10"/>
  <c r="J623" i="10"/>
  <c r="W622" i="10"/>
  <c r="U622" i="10"/>
  <c r="T622" i="10"/>
  <c r="V622" i="10" s="1"/>
  <c r="S622" i="10"/>
  <c r="R622" i="10"/>
  <c r="Q622" i="10"/>
  <c r="P622" i="10"/>
  <c r="K622" i="10"/>
  <c r="J622" i="10"/>
  <c r="W621" i="10"/>
  <c r="U621" i="10"/>
  <c r="T621" i="10"/>
  <c r="V621" i="10" s="1"/>
  <c r="S621" i="10"/>
  <c r="R621" i="10"/>
  <c r="Q621" i="10"/>
  <c r="P621" i="10"/>
  <c r="K621" i="10"/>
  <c r="J621" i="10"/>
  <c r="W620" i="10"/>
  <c r="U620" i="10"/>
  <c r="T620" i="10"/>
  <c r="V620" i="10" s="1"/>
  <c r="S620" i="10"/>
  <c r="R620" i="10"/>
  <c r="Q620" i="10"/>
  <c r="P620" i="10"/>
  <c r="K620" i="10"/>
  <c r="J620" i="10"/>
  <c r="W619" i="10"/>
  <c r="U619" i="10"/>
  <c r="T619" i="10"/>
  <c r="V619" i="10" s="1"/>
  <c r="S619" i="10"/>
  <c r="R619" i="10"/>
  <c r="Q619" i="10"/>
  <c r="P619" i="10"/>
  <c r="K619" i="10"/>
  <c r="J619" i="10"/>
  <c r="W618" i="10"/>
  <c r="U618" i="10"/>
  <c r="T618" i="10"/>
  <c r="V618" i="10" s="1"/>
  <c r="S618" i="10"/>
  <c r="R618" i="10"/>
  <c r="Q618" i="10"/>
  <c r="P618" i="10"/>
  <c r="K618" i="10"/>
  <c r="J618" i="10"/>
  <c r="W617" i="10"/>
  <c r="U617" i="10"/>
  <c r="T617" i="10"/>
  <c r="V617" i="10" s="1"/>
  <c r="S617" i="10"/>
  <c r="R617" i="10"/>
  <c r="Q617" i="10"/>
  <c r="P617" i="10"/>
  <c r="K617" i="10"/>
  <c r="J617" i="10"/>
  <c r="W616" i="10"/>
  <c r="U616" i="10"/>
  <c r="T616" i="10"/>
  <c r="V616" i="10" s="1"/>
  <c r="S616" i="10"/>
  <c r="R616" i="10"/>
  <c r="Q616" i="10"/>
  <c r="P616" i="10"/>
  <c r="K616" i="10"/>
  <c r="J616" i="10"/>
  <c r="W615" i="10"/>
  <c r="U615" i="10"/>
  <c r="T615" i="10"/>
  <c r="V615" i="10" s="1"/>
  <c r="S615" i="10"/>
  <c r="R615" i="10"/>
  <c r="Q615" i="10"/>
  <c r="P615" i="10"/>
  <c r="K615" i="10"/>
  <c r="J615" i="10"/>
  <c r="W614" i="10"/>
  <c r="U614" i="10"/>
  <c r="T614" i="10"/>
  <c r="V614" i="10" s="1"/>
  <c r="S614" i="10"/>
  <c r="R614" i="10"/>
  <c r="Q614" i="10"/>
  <c r="P614" i="10"/>
  <c r="K614" i="10"/>
  <c r="J614" i="10"/>
  <c r="W613" i="10"/>
  <c r="U613" i="10"/>
  <c r="T613" i="10"/>
  <c r="V613" i="10" s="1"/>
  <c r="S613" i="10"/>
  <c r="R613" i="10"/>
  <c r="Q613" i="10"/>
  <c r="P613" i="10"/>
  <c r="K613" i="10"/>
  <c r="J613" i="10"/>
  <c r="W612" i="10"/>
  <c r="U612" i="10"/>
  <c r="T612" i="10"/>
  <c r="V612" i="10" s="1"/>
  <c r="S612" i="10"/>
  <c r="R612" i="10"/>
  <c r="Q612" i="10"/>
  <c r="P612" i="10"/>
  <c r="K612" i="10"/>
  <c r="J612" i="10"/>
  <c r="W611" i="10"/>
  <c r="U611" i="10"/>
  <c r="T611" i="10"/>
  <c r="V611" i="10" s="1"/>
  <c r="S611" i="10"/>
  <c r="R611" i="10"/>
  <c r="Q611" i="10"/>
  <c r="P611" i="10"/>
  <c r="K611" i="10"/>
  <c r="J611" i="10"/>
  <c r="W610" i="10"/>
  <c r="U610" i="10"/>
  <c r="T610" i="10"/>
  <c r="V610" i="10" s="1"/>
  <c r="S610" i="10"/>
  <c r="R610" i="10"/>
  <c r="Q610" i="10"/>
  <c r="P610" i="10"/>
  <c r="K610" i="10"/>
  <c r="J610" i="10"/>
  <c r="W609" i="10"/>
  <c r="U609" i="10"/>
  <c r="T609" i="10"/>
  <c r="V609" i="10" s="1"/>
  <c r="S609" i="10"/>
  <c r="R609" i="10"/>
  <c r="Q609" i="10"/>
  <c r="P609" i="10"/>
  <c r="K609" i="10"/>
  <c r="J609" i="10"/>
  <c r="W608" i="10"/>
  <c r="U608" i="10"/>
  <c r="T608" i="10"/>
  <c r="V608" i="10" s="1"/>
  <c r="S608" i="10"/>
  <c r="R608" i="10"/>
  <c r="Q608" i="10"/>
  <c r="P608" i="10"/>
  <c r="K608" i="10"/>
  <c r="J608" i="10"/>
  <c r="W607" i="10"/>
  <c r="U607" i="10"/>
  <c r="T607" i="10"/>
  <c r="V607" i="10" s="1"/>
  <c r="S607" i="10"/>
  <c r="R607" i="10"/>
  <c r="Q607" i="10"/>
  <c r="P607" i="10"/>
  <c r="K607" i="10"/>
  <c r="J607" i="10"/>
  <c r="W606" i="10"/>
  <c r="V606" i="10"/>
  <c r="U606" i="10"/>
  <c r="T606" i="10"/>
  <c r="S606" i="10"/>
  <c r="R606" i="10"/>
  <c r="Q606" i="10"/>
  <c r="P606" i="10"/>
  <c r="K606" i="10"/>
  <c r="J606" i="10"/>
  <c r="W605" i="10"/>
  <c r="U605" i="10"/>
  <c r="T605" i="10"/>
  <c r="V605" i="10" s="1"/>
  <c r="S605" i="10"/>
  <c r="R605" i="10"/>
  <c r="Q605" i="10"/>
  <c r="P605" i="10"/>
  <c r="K605" i="10"/>
  <c r="J605" i="10"/>
  <c r="W604" i="10"/>
  <c r="U604" i="10"/>
  <c r="T604" i="10"/>
  <c r="V604" i="10" s="1"/>
  <c r="S604" i="10"/>
  <c r="R604" i="10"/>
  <c r="Q604" i="10"/>
  <c r="P604" i="10"/>
  <c r="K604" i="10"/>
  <c r="J604" i="10"/>
  <c r="W603" i="10"/>
  <c r="U603" i="10"/>
  <c r="T603" i="10"/>
  <c r="V603" i="10" s="1"/>
  <c r="S603" i="10"/>
  <c r="R603" i="10"/>
  <c r="Q603" i="10"/>
  <c r="P603" i="10"/>
  <c r="K603" i="10"/>
  <c r="J603" i="10"/>
  <c r="W602" i="10"/>
  <c r="U602" i="10"/>
  <c r="T602" i="10"/>
  <c r="V602" i="10" s="1"/>
  <c r="S602" i="10"/>
  <c r="R602" i="10"/>
  <c r="Q602" i="10"/>
  <c r="P602" i="10"/>
  <c r="K602" i="10"/>
  <c r="J602" i="10"/>
  <c r="W601" i="10"/>
  <c r="U601" i="10"/>
  <c r="T601" i="10"/>
  <c r="V601" i="10" s="1"/>
  <c r="S601" i="10"/>
  <c r="R601" i="10"/>
  <c r="Q601" i="10"/>
  <c r="P601" i="10"/>
  <c r="K601" i="10"/>
  <c r="J601" i="10"/>
  <c r="W600" i="10"/>
  <c r="U600" i="10"/>
  <c r="T600" i="10"/>
  <c r="V600" i="10" s="1"/>
  <c r="S600" i="10"/>
  <c r="R600" i="10"/>
  <c r="Q600" i="10"/>
  <c r="P600" i="10"/>
  <c r="K600" i="10"/>
  <c r="J600" i="10"/>
  <c r="W599" i="10"/>
  <c r="U599" i="10"/>
  <c r="T599" i="10"/>
  <c r="V599" i="10" s="1"/>
  <c r="S599" i="10"/>
  <c r="R599" i="10"/>
  <c r="Q599" i="10"/>
  <c r="P599" i="10"/>
  <c r="K599" i="10"/>
  <c r="J599" i="10"/>
  <c r="W598" i="10"/>
  <c r="U598" i="10"/>
  <c r="T598" i="10"/>
  <c r="V598" i="10" s="1"/>
  <c r="S598" i="10"/>
  <c r="R598" i="10"/>
  <c r="Q598" i="10"/>
  <c r="P598" i="10"/>
  <c r="K598" i="10"/>
  <c r="J598" i="10"/>
  <c r="W597" i="10"/>
  <c r="U597" i="10"/>
  <c r="T597" i="10"/>
  <c r="V597" i="10" s="1"/>
  <c r="S597" i="10"/>
  <c r="R597" i="10"/>
  <c r="Q597" i="10"/>
  <c r="P597" i="10"/>
  <c r="K597" i="10"/>
  <c r="J597" i="10"/>
  <c r="W596" i="10"/>
  <c r="U596" i="10"/>
  <c r="T596" i="10"/>
  <c r="V596" i="10" s="1"/>
  <c r="S596" i="10"/>
  <c r="R596" i="10"/>
  <c r="Q596" i="10"/>
  <c r="P596" i="10"/>
  <c r="K596" i="10"/>
  <c r="J596" i="10"/>
  <c r="W595" i="10"/>
  <c r="U595" i="10"/>
  <c r="T595" i="10"/>
  <c r="V595" i="10" s="1"/>
  <c r="S595" i="10"/>
  <c r="R595" i="10"/>
  <c r="Q595" i="10"/>
  <c r="P595" i="10"/>
  <c r="K595" i="10"/>
  <c r="J595" i="10"/>
  <c r="W594" i="10"/>
  <c r="U594" i="10"/>
  <c r="T594" i="10"/>
  <c r="V594" i="10" s="1"/>
  <c r="S594" i="10"/>
  <c r="R594" i="10"/>
  <c r="Q594" i="10"/>
  <c r="P594" i="10"/>
  <c r="K594" i="10"/>
  <c r="J594" i="10"/>
  <c r="W593" i="10"/>
  <c r="U593" i="10"/>
  <c r="T593" i="10"/>
  <c r="V593" i="10" s="1"/>
  <c r="S593" i="10"/>
  <c r="R593" i="10"/>
  <c r="Q593" i="10"/>
  <c r="P593" i="10"/>
  <c r="K593" i="10"/>
  <c r="J593" i="10"/>
  <c r="W592" i="10"/>
  <c r="U592" i="10"/>
  <c r="T592" i="10"/>
  <c r="V592" i="10" s="1"/>
  <c r="S592" i="10"/>
  <c r="R592" i="10"/>
  <c r="Q592" i="10"/>
  <c r="P592" i="10"/>
  <c r="K592" i="10"/>
  <c r="J592" i="10"/>
  <c r="W591" i="10"/>
  <c r="U591" i="10"/>
  <c r="T591" i="10"/>
  <c r="V591" i="10" s="1"/>
  <c r="S591" i="10"/>
  <c r="R591" i="10"/>
  <c r="Q591" i="10"/>
  <c r="P591" i="10"/>
  <c r="K591" i="10"/>
  <c r="J591" i="10"/>
  <c r="W590" i="10"/>
  <c r="U590" i="10"/>
  <c r="T590" i="10"/>
  <c r="V590" i="10" s="1"/>
  <c r="S590" i="10"/>
  <c r="R590" i="10"/>
  <c r="Q590" i="10"/>
  <c r="P590" i="10"/>
  <c r="K590" i="10"/>
  <c r="J590" i="10"/>
  <c r="W589" i="10"/>
  <c r="U589" i="10"/>
  <c r="T589" i="10"/>
  <c r="V589" i="10" s="1"/>
  <c r="S589" i="10"/>
  <c r="R589" i="10"/>
  <c r="Q589" i="10"/>
  <c r="P589" i="10"/>
  <c r="K589" i="10"/>
  <c r="J589" i="10"/>
  <c r="W588" i="10"/>
  <c r="U588" i="10"/>
  <c r="T588" i="10"/>
  <c r="V588" i="10" s="1"/>
  <c r="S588" i="10"/>
  <c r="R588" i="10"/>
  <c r="Q588" i="10"/>
  <c r="P588" i="10"/>
  <c r="K588" i="10"/>
  <c r="J588" i="10"/>
  <c r="W587" i="10"/>
  <c r="U587" i="10"/>
  <c r="T587" i="10"/>
  <c r="V587" i="10" s="1"/>
  <c r="S587" i="10"/>
  <c r="R587" i="10"/>
  <c r="Q587" i="10"/>
  <c r="P587" i="10"/>
  <c r="K587" i="10"/>
  <c r="J587" i="10"/>
  <c r="W586" i="10"/>
  <c r="U586" i="10"/>
  <c r="T586" i="10"/>
  <c r="V586" i="10" s="1"/>
  <c r="S586" i="10"/>
  <c r="R586" i="10"/>
  <c r="Q586" i="10"/>
  <c r="P586" i="10"/>
  <c r="K586" i="10"/>
  <c r="J586" i="10"/>
  <c r="W585" i="10"/>
  <c r="U585" i="10"/>
  <c r="T585" i="10"/>
  <c r="V585" i="10" s="1"/>
  <c r="S585" i="10"/>
  <c r="R585" i="10"/>
  <c r="Q585" i="10"/>
  <c r="P585" i="10"/>
  <c r="K585" i="10"/>
  <c r="J585" i="10"/>
  <c r="W584" i="10"/>
  <c r="U584" i="10"/>
  <c r="T584" i="10"/>
  <c r="V584" i="10" s="1"/>
  <c r="S584" i="10"/>
  <c r="R584" i="10"/>
  <c r="Q584" i="10"/>
  <c r="P584" i="10"/>
  <c r="K584" i="10"/>
  <c r="J584" i="10"/>
  <c r="W583" i="10"/>
  <c r="U583" i="10"/>
  <c r="T583" i="10"/>
  <c r="V583" i="10" s="1"/>
  <c r="S583" i="10"/>
  <c r="R583" i="10"/>
  <c r="Q583" i="10"/>
  <c r="P583" i="10"/>
  <c r="K583" i="10"/>
  <c r="J583" i="10"/>
  <c r="W582" i="10"/>
  <c r="U582" i="10"/>
  <c r="T582" i="10"/>
  <c r="V582" i="10" s="1"/>
  <c r="S582" i="10"/>
  <c r="R582" i="10"/>
  <c r="Q582" i="10"/>
  <c r="P582" i="10"/>
  <c r="K582" i="10"/>
  <c r="J582" i="10"/>
  <c r="W581" i="10"/>
  <c r="U581" i="10"/>
  <c r="T581" i="10"/>
  <c r="V581" i="10" s="1"/>
  <c r="S581" i="10"/>
  <c r="R581" i="10"/>
  <c r="Q581" i="10"/>
  <c r="P581" i="10"/>
  <c r="K581" i="10"/>
  <c r="J581" i="10"/>
  <c r="W580" i="10"/>
  <c r="V580" i="10"/>
  <c r="U580" i="10"/>
  <c r="T580" i="10"/>
  <c r="S580" i="10"/>
  <c r="R580" i="10"/>
  <c r="Q580" i="10"/>
  <c r="P580" i="10"/>
  <c r="K580" i="10"/>
  <c r="J580" i="10"/>
  <c r="W579" i="10"/>
  <c r="U579" i="10"/>
  <c r="T579" i="10"/>
  <c r="V579" i="10" s="1"/>
  <c r="S579" i="10"/>
  <c r="R579" i="10"/>
  <c r="Q579" i="10"/>
  <c r="P579" i="10"/>
  <c r="K579" i="10"/>
  <c r="J579" i="10"/>
  <c r="W578" i="10"/>
  <c r="U578" i="10"/>
  <c r="T578" i="10"/>
  <c r="V578" i="10" s="1"/>
  <c r="S578" i="10"/>
  <c r="R578" i="10"/>
  <c r="Q578" i="10"/>
  <c r="P578" i="10"/>
  <c r="K578" i="10"/>
  <c r="J578" i="10"/>
  <c r="W577" i="10"/>
  <c r="U577" i="10"/>
  <c r="T577" i="10"/>
  <c r="V577" i="10" s="1"/>
  <c r="S577" i="10"/>
  <c r="R577" i="10"/>
  <c r="Q577" i="10"/>
  <c r="P577" i="10"/>
  <c r="K577" i="10"/>
  <c r="J577" i="10"/>
  <c r="W576" i="10"/>
  <c r="U576" i="10"/>
  <c r="T576" i="10"/>
  <c r="V576" i="10" s="1"/>
  <c r="S576" i="10"/>
  <c r="R576" i="10"/>
  <c r="Q576" i="10"/>
  <c r="P576" i="10"/>
  <c r="K576" i="10"/>
  <c r="J576" i="10"/>
  <c r="W575" i="10"/>
  <c r="U575" i="10"/>
  <c r="T575" i="10"/>
  <c r="V575" i="10" s="1"/>
  <c r="S575" i="10"/>
  <c r="R575" i="10"/>
  <c r="Q575" i="10"/>
  <c r="P575" i="10"/>
  <c r="K575" i="10"/>
  <c r="J575" i="10"/>
  <c r="W574" i="10"/>
  <c r="U574" i="10"/>
  <c r="T574" i="10"/>
  <c r="V574" i="10" s="1"/>
  <c r="S574" i="10"/>
  <c r="R574" i="10"/>
  <c r="Q574" i="10"/>
  <c r="P574" i="10"/>
  <c r="K574" i="10"/>
  <c r="J574" i="10"/>
  <c r="W573" i="10"/>
  <c r="U573" i="10"/>
  <c r="T573" i="10"/>
  <c r="V573" i="10" s="1"/>
  <c r="S573" i="10"/>
  <c r="R573" i="10"/>
  <c r="Q573" i="10"/>
  <c r="P573" i="10"/>
  <c r="K573" i="10"/>
  <c r="J573" i="10"/>
  <c r="W572" i="10"/>
  <c r="U572" i="10"/>
  <c r="T572" i="10"/>
  <c r="V572" i="10" s="1"/>
  <c r="S572" i="10"/>
  <c r="R572" i="10"/>
  <c r="Q572" i="10"/>
  <c r="P572" i="10"/>
  <c r="K572" i="10"/>
  <c r="J572" i="10"/>
  <c r="W571" i="10"/>
  <c r="U571" i="10"/>
  <c r="T571" i="10"/>
  <c r="V571" i="10" s="1"/>
  <c r="S571" i="10"/>
  <c r="R571" i="10"/>
  <c r="Q571" i="10"/>
  <c r="P571" i="10"/>
  <c r="K571" i="10"/>
  <c r="J571" i="10"/>
  <c r="W565" i="10"/>
  <c r="U565" i="10"/>
  <c r="T565" i="10"/>
  <c r="V565" i="10" s="1"/>
  <c r="S565" i="10"/>
  <c r="R565" i="10"/>
  <c r="Q565" i="10"/>
  <c r="P565" i="10"/>
  <c r="K565" i="10"/>
  <c r="J565" i="10"/>
  <c r="W564" i="10"/>
  <c r="U564" i="10"/>
  <c r="T564" i="10"/>
  <c r="V564" i="10" s="1"/>
  <c r="S564" i="10"/>
  <c r="R564" i="10"/>
  <c r="Q564" i="10"/>
  <c r="P564" i="10"/>
  <c r="K564" i="10"/>
  <c r="J564" i="10"/>
  <c r="W563" i="10"/>
  <c r="U563" i="10"/>
  <c r="T563" i="10"/>
  <c r="V563" i="10" s="1"/>
  <c r="S563" i="10"/>
  <c r="R563" i="10"/>
  <c r="Q563" i="10"/>
  <c r="P563" i="10"/>
  <c r="K563" i="10"/>
  <c r="J563" i="10"/>
  <c r="U562" i="10"/>
  <c r="W562" i="10" s="1"/>
  <c r="T562" i="10"/>
  <c r="V562" i="10" s="1"/>
  <c r="S562" i="10"/>
  <c r="R562" i="10"/>
  <c r="Q562" i="10"/>
  <c r="P562" i="10"/>
  <c r="K562" i="10"/>
  <c r="J562" i="10"/>
  <c r="W561" i="10"/>
  <c r="U561" i="10"/>
  <c r="T561" i="10"/>
  <c r="V561" i="10" s="1"/>
  <c r="S561" i="10"/>
  <c r="R561" i="10"/>
  <c r="Q561" i="10"/>
  <c r="P561" i="10"/>
  <c r="K561" i="10"/>
  <c r="J561" i="10"/>
  <c r="U560" i="10"/>
  <c r="W560" i="10" s="1"/>
  <c r="T560" i="10"/>
  <c r="V560" i="10" s="1"/>
  <c r="S560" i="10"/>
  <c r="R560" i="10"/>
  <c r="Q560" i="10"/>
  <c r="P560" i="10"/>
  <c r="K560" i="10"/>
  <c r="J560" i="10"/>
  <c r="U559" i="10"/>
  <c r="W559" i="10" s="1"/>
  <c r="T559" i="10"/>
  <c r="V559" i="10" s="1"/>
  <c r="S559" i="10"/>
  <c r="R559" i="10"/>
  <c r="Q559" i="10"/>
  <c r="P559" i="10"/>
  <c r="K559" i="10"/>
  <c r="J559" i="10"/>
  <c r="W558" i="10"/>
  <c r="U558" i="10"/>
  <c r="T558" i="10"/>
  <c r="V558" i="10" s="1"/>
  <c r="S558" i="10"/>
  <c r="R558" i="10"/>
  <c r="Q558" i="10"/>
  <c r="P558" i="10"/>
  <c r="K558" i="10"/>
  <c r="J558" i="10"/>
  <c r="U557" i="10"/>
  <c r="W557" i="10" s="1"/>
  <c r="T557" i="10"/>
  <c r="V557" i="10" s="1"/>
  <c r="S557" i="10"/>
  <c r="R557" i="10"/>
  <c r="Q557" i="10"/>
  <c r="P557" i="10"/>
  <c r="K557" i="10"/>
  <c r="J557" i="10"/>
  <c r="U556" i="10"/>
  <c r="W556" i="10" s="1"/>
  <c r="T556" i="10"/>
  <c r="V556" i="10" s="1"/>
  <c r="S556" i="10"/>
  <c r="R556" i="10"/>
  <c r="Q556" i="10"/>
  <c r="P556" i="10"/>
  <c r="K556" i="10"/>
  <c r="J556" i="10"/>
  <c r="W555" i="10"/>
  <c r="U555" i="10"/>
  <c r="T555" i="10"/>
  <c r="V555" i="10" s="1"/>
  <c r="S555" i="10"/>
  <c r="R555" i="10"/>
  <c r="Q555" i="10"/>
  <c r="P555" i="10"/>
  <c r="K555" i="10"/>
  <c r="J555" i="10"/>
  <c r="U554" i="10"/>
  <c r="W554" i="10" s="1"/>
  <c r="T554" i="10"/>
  <c r="V554" i="10" s="1"/>
  <c r="S554" i="10"/>
  <c r="R554" i="10"/>
  <c r="Q554" i="10"/>
  <c r="P554" i="10"/>
  <c r="K554" i="10"/>
  <c r="J554" i="10"/>
  <c r="W553" i="10"/>
  <c r="U553" i="10"/>
  <c r="T553" i="10"/>
  <c r="V553" i="10" s="1"/>
  <c r="S553" i="10"/>
  <c r="R553" i="10"/>
  <c r="Q553" i="10"/>
  <c r="P553" i="10"/>
  <c r="K553" i="10"/>
  <c r="J553" i="10"/>
  <c r="U552" i="10"/>
  <c r="W552" i="10" s="1"/>
  <c r="T552" i="10"/>
  <c r="V552" i="10" s="1"/>
  <c r="S552" i="10"/>
  <c r="R552" i="10"/>
  <c r="Q552" i="10"/>
  <c r="P552" i="10"/>
  <c r="K552" i="10"/>
  <c r="J552" i="10"/>
  <c r="U551" i="10"/>
  <c r="W551" i="10" s="1"/>
  <c r="T551" i="10"/>
  <c r="V551" i="10" s="1"/>
  <c r="S551" i="10"/>
  <c r="R551" i="10"/>
  <c r="Q551" i="10"/>
  <c r="P551" i="10"/>
  <c r="K551" i="10"/>
  <c r="J551" i="10"/>
  <c r="W550" i="10"/>
  <c r="U550" i="10"/>
  <c r="T550" i="10"/>
  <c r="V550" i="10" s="1"/>
  <c r="S550" i="10"/>
  <c r="R550" i="10"/>
  <c r="Q550" i="10"/>
  <c r="P550" i="10"/>
  <c r="K550" i="10"/>
  <c r="J550" i="10"/>
  <c r="U549" i="10"/>
  <c r="W549" i="10" s="1"/>
  <c r="T549" i="10"/>
  <c r="V549" i="10" s="1"/>
  <c r="S549" i="10"/>
  <c r="R549" i="10"/>
  <c r="Q549" i="10"/>
  <c r="P549" i="10"/>
  <c r="K549" i="10"/>
  <c r="J549" i="10"/>
  <c r="U548" i="10"/>
  <c r="W548" i="10" s="1"/>
  <c r="T548" i="10"/>
  <c r="V548" i="10" s="1"/>
  <c r="S548" i="10"/>
  <c r="R548" i="10"/>
  <c r="Q548" i="10"/>
  <c r="P548" i="10"/>
  <c r="K548" i="10"/>
  <c r="J548" i="10"/>
  <c r="W547" i="10"/>
  <c r="U547" i="10"/>
  <c r="T547" i="10"/>
  <c r="V547" i="10" s="1"/>
  <c r="S547" i="10"/>
  <c r="R547" i="10"/>
  <c r="Q547" i="10"/>
  <c r="P547" i="10"/>
  <c r="K547" i="10"/>
  <c r="J547" i="10"/>
  <c r="W546" i="10"/>
  <c r="U546" i="10"/>
  <c r="T546" i="10"/>
  <c r="V546" i="10" s="1"/>
  <c r="S546" i="10"/>
  <c r="R546" i="10"/>
  <c r="Q546" i="10"/>
  <c r="P546" i="10"/>
  <c r="K546" i="10"/>
  <c r="J546" i="10"/>
  <c r="W545" i="10"/>
  <c r="U545" i="10"/>
  <c r="T545" i="10"/>
  <c r="V545" i="10" s="1"/>
  <c r="S545" i="10"/>
  <c r="R545" i="10"/>
  <c r="Q545" i="10"/>
  <c r="P545" i="10"/>
  <c r="K545" i="10"/>
  <c r="J545" i="10"/>
  <c r="W544" i="10"/>
  <c r="U544" i="10"/>
  <c r="T544" i="10"/>
  <c r="V544" i="10" s="1"/>
  <c r="S544" i="10"/>
  <c r="R544" i="10"/>
  <c r="Q544" i="10"/>
  <c r="P544" i="10"/>
  <c r="K544" i="10"/>
  <c r="J544" i="10"/>
  <c r="U543" i="10"/>
  <c r="W543" i="10" s="1"/>
  <c r="T543" i="10"/>
  <c r="V543" i="10" s="1"/>
  <c r="S543" i="10"/>
  <c r="R543" i="10"/>
  <c r="Q543" i="10"/>
  <c r="P543" i="10"/>
  <c r="K543" i="10"/>
  <c r="J543" i="10"/>
  <c r="W542" i="10"/>
  <c r="U542" i="10"/>
  <c r="T542" i="10"/>
  <c r="V542" i="10" s="1"/>
  <c r="S542" i="10"/>
  <c r="R542" i="10"/>
  <c r="Q542" i="10"/>
  <c r="P542" i="10"/>
  <c r="K542" i="10"/>
  <c r="J542" i="10"/>
  <c r="U541" i="10"/>
  <c r="W541" i="10" s="1"/>
  <c r="T541" i="10"/>
  <c r="V541" i="10" s="1"/>
  <c r="S541" i="10"/>
  <c r="R541" i="10"/>
  <c r="Q541" i="10"/>
  <c r="P541" i="10"/>
  <c r="K541" i="10"/>
  <c r="J541" i="10"/>
  <c r="U540" i="10"/>
  <c r="W540" i="10" s="1"/>
  <c r="T540" i="10"/>
  <c r="V540" i="10" s="1"/>
  <c r="S540" i="10"/>
  <c r="R540" i="10"/>
  <c r="Q540" i="10"/>
  <c r="P540" i="10"/>
  <c r="K540" i="10"/>
  <c r="J540" i="10"/>
  <c r="W539" i="10"/>
  <c r="U539" i="10"/>
  <c r="T539" i="10"/>
  <c r="V539" i="10" s="1"/>
  <c r="S539" i="10"/>
  <c r="R539" i="10"/>
  <c r="Q539" i="10"/>
  <c r="P539" i="10"/>
  <c r="K539" i="10"/>
  <c r="J539" i="10"/>
  <c r="U538" i="10"/>
  <c r="W538" i="10" s="1"/>
  <c r="T538" i="10"/>
  <c r="V538" i="10" s="1"/>
  <c r="S538" i="10"/>
  <c r="R538" i="10"/>
  <c r="Q538" i="10"/>
  <c r="P538" i="10"/>
  <c r="K538" i="10"/>
  <c r="J538" i="10"/>
  <c r="W537" i="10"/>
  <c r="U537" i="10"/>
  <c r="T537" i="10"/>
  <c r="V537" i="10" s="1"/>
  <c r="S537" i="10"/>
  <c r="R537" i="10"/>
  <c r="Q537" i="10"/>
  <c r="P537" i="10"/>
  <c r="K537" i="10"/>
  <c r="J537" i="10"/>
  <c r="U536" i="10"/>
  <c r="W536" i="10" s="1"/>
  <c r="T536" i="10"/>
  <c r="V536" i="10" s="1"/>
  <c r="S536" i="10"/>
  <c r="R536" i="10"/>
  <c r="Q536" i="10"/>
  <c r="P536" i="10"/>
  <c r="K536" i="10"/>
  <c r="J536" i="10"/>
  <c r="U535" i="10"/>
  <c r="W535" i="10" s="1"/>
  <c r="T535" i="10"/>
  <c r="V535" i="10" s="1"/>
  <c r="S535" i="10"/>
  <c r="R535" i="10"/>
  <c r="Q535" i="10"/>
  <c r="P535" i="10"/>
  <c r="K535" i="10"/>
  <c r="J535" i="10"/>
  <c r="W534" i="10"/>
  <c r="U534" i="10"/>
  <c r="T534" i="10"/>
  <c r="V534" i="10" s="1"/>
  <c r="S534" i="10"/>
  <c r="R534" i="10"/>
  <c r="Q534" i="10"/>
  <c r="P534" i="10"/>
  <c r="K534" i="10"/>
  <c r="J534" i="10"/>
  <c r="U533" i="10"/>
  <c r="W533" i="10" s="1"/>
  <c r="T533" i="10"/>
  <c r="V533" i="10" s="1"/>
  <c r="S533" i="10"/>
  <c r="R533" i="10"/>
  <c r="Q533" i="10"/>
  <c r="P533" i="10"/>
  <c r="K533" i="10"/>
  <c r="J533" i="10"/>
  <c r="U532" i="10"/>
  <c r="W532" i="10" s="1"/>
  <c r="T532" i="10"/>
  <c r="V532" i="10" s="1"/>
  <c r="S532" i="10"/>
  <c r="R532" i="10"/>
  <c r="Q532" i="10"/>
  <c r="P532" i="10"/>
  <c r="K532" i="10"/>
  <c r="J532" i="10"/>
  <c r="W531" i="10"/>
  <c r="U531" i="10"/>
  <c r="T531" i="10"/>
  <c r="V531" i="10" s="1"/>
  <c r="S531" i="10"/>
  <c r="R531" i="10"/>
  <c r="Q531" i="10"/>
  <c r="P531" i="10"/>
  <c r="K531" i="10"/>
  <c r="J531" i="10"/>
  <c r="W530" i="10"/>
  <c r="U530" i="10"/>
  <c r="T530" i="10"/>
  <c r="V530" i="10" s="1"/>
  <c r="S530" i="10"/>
  <c r="R530" i="10"/>
  <c r="Q530" i="10"/>
  <c r="P530" i="10"/>
  <c r="K530" i="10"/>
  <c r="J530" i="10"/>
  <c r="W529" i="10"/>
  <c r="U529" i="10"/>
  <c r="T529" i="10"/>
  <c r="V529" i="10" s="1"/>
  <c r="S529" i="10"/>
  <c r="R529" i="10"/>
  <c r="Q529" i="10"/>
  <c r="P529" i="10"/>
  <c r="K529" i="10"/>
  <c r="J529" i="10"/>
  <c r="W528" i="10"/>
  <c r="U528" i="10"/>
  <c r="T528" i="10"/>
  <c r="V528" i="10" s="1"/>
  <c r="S528" i="10"/>
  <c r="R528" i="10"/>
  <c r="Q528" i="10"/>
  <c r="P528" i="10"/>
  <c r="K528" i="10"/>
  <c r="J528" i="10"/>
  <c r="U527" i="10"/>
  <c r="W527" i="10" s="1"/>
  <c r="T527" i="10"/>
  <c r="V527" i="10" s="1"/>
  <c r="S527" i="10"/>
  <c r="R527" i="10"/>
  <c r="Q527" i="10"/>
  <c r="P527" i="10"/>
  <c r="K527" i="10"/>
  <c r="J527" i="10"/>
  <c r="W526" i="10"/>
  <c r="U526" i="10"/>
  <c r="T526" i="10"/>
  <c r="V526" i="10" s="1"/>
  <c r="S526" i="10"/>
  <c r="R526" i="10"/>
  <c r="Q526" i="10"/>
  <c r="P526" i="10"/>
  <c r="K526" i="10"/>
  <c r="J526" i="10"/>
  <c r="U525" i="10"/>
  <c r="W525" i="10" s="1"/>
  <c r="T525" i="10"/>
  <c r="V525" i="10" s="1"/>
  <c r="S525" i="10"/>
  <c r="R525" i="10"/>
  <c r="Q525" i="10"/>
  <c r="P525" i="10"/>
  <c r="K525" i="10"/>
  <c r="J525" i="10"/>
  <c r="W524" i="10"/>
  <c r="U524" i="10"/>
  <c r="T524" i="10"/>
  <c r="V524" i="10" s="1"/>
  <c r="S524" i="10"/>
  <c r="R524" i="10"/>
  <c r="Q524" i="10"/>
  <c r="P524" i="10"/>
  <c r="K524" i="10"/>
  <c r="J524" i="10"/>
  <c r="W523" i="10"/>
  <c r="U523" i="10"/>
  <c r="T523" i="10"/>
  <c r="V523" i="10" s="1"/>
  <c r="S523" i="10"/>
  <c r="R523" i="10"/>
  <c r="Q523" i="10"/>
  <c r="P523" i="10"/>
  <c r="K523" i="10"/>
  <c r="J523" i="10"/>
  <c r="W522" i="10"/>
  <c r="U522" i="10"/>
  <c r="T522" i="10"/>
  <c r="V522" i="10" s="1"/>
  <c r="S522" i="10"/>
  <c r="R522" i="10"/>
  <c r="Q522" i="10"/>
  <c r="P522" i="10"/>
  <c r="K522" i="10"/>
  <c r="J522" i="10"/>
  <c r="W521" i="10"/>
  <c r="U521" i="10"/>
  <c r="T521" i="10"/>
  <c r="V521" i="10" s="1"/>
  <c r="S521" i="10"/>
  <c r="R521" i="10"/>
  <c r="Q521" i="10"/>
  <c r="P521" i="10"/>
  <c r="K521" i="10"/>
  <c r="J521" i="10"/>
  <c r="U520" i="10"/>
  <c r="W520" i="10" s="1"/>
  <c r="T520" i="10"/>
  <c r="V520" i="10" s="1"/>
  <c r="S520" i="10"/>
  <c r="R520" i="10"/>
  <c r="Q520" i="10"/>
  <c r="P520" i="10"/>
  <c r="K520" i="10"/>
  <c r="J520" i="10"/>
  <c r="U519" i="10"/>
  <c r="W519" i="10" s="1"/>
  <c r="T519" i="10"/>
  <c r="V519" i="10" s="1"/>
  <c r="S519" i="10"/>
  <c r="R519" i="10"/>
  <c r="Q519" i="10"/>
  <c r="P519" i="10"/>
  <c r="K519" i="10"/>
  <c r="J519" i="10"/>
  <c r="W518" i="10"/>
  <c r="U518" i="10"/>
  <c r="T518" i="10"/>
  <c r="V518" i="10" s="1"/>
  <c r="S518" i="10"/>
  <c r="R518" i="10"/>
  <c r="Q518" i="10"/>
  <c r="P518" i="10"/>
  <c r="K518" i="10"/>
  <c r="J518" i="10"/>
  <c r="U517" i="10"/>
  <c r="W517" i="10" s="1"/>
  <c r="T517" i="10"/>
  <c r="V517" i="10" s="1"/>
  <c r="S517" i="10"/>
  <c r="R517" i="10"/>
  <c r="Q517" i="10"/>
  <c r="P517" i="10"/>
  <c r="K517" i="10"/>
  <c r="J517" i="10"/>
  <c r="U516" i="10"/>
  <c r="W516" i="10" s="1"/>
  <c r="T516" i="10"/>
  <c r="V516" i="10" s="1"/>
  <c r="S516" i="10"/>
  <c r="R516" i="10"/>
  <c r="Q516" i="10"/>
  <c r="P516" i="10"/>
  <c r="K516" i="10"/>
  <c r="J516" i="10"/>
  <c r="W515" i="10"/>
  <c r="U515" i="10"/>
  <c r="T515" i="10"/>
  <c r="V515" i="10" s="1"/>
  <c r="S515" i="10"/>
  <c r="R515" i="10"/>
  <c r="Q515" i="10"/>
  <c r="P515" i="10"/>
  <c r="K515" i="10"/>
  <c r="J515" i="10"/>
  <c r="U514" i="10"/>
  <c r="W514" i="10" s="1"/>
  <c r="T514" i="10"/>
  <c r="V514" i="10" s="1"/>
  <c r="S514" i="10"/>
  <c r="R514" i="10"/>
  <c r="Q514" i="10"/>
  <c r="P514" i="10"/>
  <c r="K514" i="10"/>
  <c r="J514" i="10"/>
  <c r="U513" i="10"/>
  <c r="W513" i="10" s="1"/>
  <c r="T513" i="10"/>
  <c r="V513" i="10" s="1"/>
  <c r="S513" i="10"/>
  <c r="R513" i="10"/>
  <c r="Q513" i="10"/>
  <c r="P513" i="10"/>
  <c r="K513" i="10"/>
  <c r="J513" i="10"/>
  <c r="W512" i="10"/>
  <c r="U512" i="10"/>
  <c r="T512" i="10"/>
  <c r="V512" i="10" s="1"/>
  <c r="S512" i="10"/>
  <c r="R512" i="10"/>
  <c r="Q512" i="10"/>
  <c r="P512" i="10"/>
  <c r="K512" i="10"/>
  <c r="J512" i="10"/>
  <c r="U511" i="10"/>
  <c r="W511" i="10" s="1"/>
  <c r="T511" i="10"/>
  <c r="V511" i="10" s="1"/>
  <c r="S511" i="10"/>
  <c r="R511" i="10"/>
  <c r="Q511" i="10"/>
  <c r="P511" i="10"/>
  <c r="K511" i="10"/>
  <c r="J511" i="10"/>
  <c r="W510" i="10"/>
  <c r="U510" i="10"/>
  <c r="T510" i="10"/>
  <c r="V510" i="10" s="1"/>
  <c r="S510" i="10"/>
  <c r="R510" i="10"/>
  <c r="Q510" i="10"/>
  <c r="P510" i="10"/>
  <c r="K510" i="10"/>
  <c r="J510" i="10"/>
  <c r="U509" i="10"/>
  <c r="W509" i="10" s="1"/>
  <c r="T509" i="10"/>
  <c r="V509" i="10" s="1"/>
  <c r="S509" i="10"/>
  <c r="R509" i="10"/>
  <c r="Q509" i="10"/>
  <c r="P509" i="10"/>
  <c r="K509" i="10"/>
  <c r="J509" i="10"/>
  <c r="U508" i="10"/>
  <c r="W508" i="10" s="1"/>
  <c r="T508" i="10"/>
  <c r="V508" i="10" s="1"/>
  <c r="S508" i="10"/>
  <c r="R508" i="10"/>
  <c r="Q508" i="10"/>
  <c r="P508" i="10"/>
  <c r="K508" i="10"/>
  <c r="J508" i="10"/>
  <c r="W507" i="10"/>
  <c r="U507" i="10"/>
  <c r="T507" i="10"/>
  <c r="V507" i="10" s="1"/>
  <c r="S507" i="10"/>
  <c r="R507" i="10"/>
  <c r="Q507" i="10"/>
  <c r="P507" i="10"/>
  <c r="K507" i="10"/>
  <c r="J507" i="10"/>
  <c r="U506" i="10"/>
  <c r="W506" i="10" s="1"/>
  <c r="T506" i="10"/>
  <c r="V506" i="10" s="1"/>
  <c r="S506" i="10"/>
  <c r="R506" i="10"/>
  <c r="Q506" i="10"/>
  <c r="P506" i="10"/>
  <c r="K506" i="10"/>
  <c r="J506" i="10"/>
  <c r="U505" i="10"/>
  <c r="W505" i="10" s="1"/>
  <c r="T505" i="10"/>
  <c r="V505" i="10" s="1"/>
  <c r="S505" i="10"/>
  <c r="R505" i="10"/>
  <c r="Q505" i="10"/>
  <c r="P505" i="10"/>
  <c r="K505" i="10"/>
  <c r="J505" i="10"/>
  <c r="W504" i="10"/>
  <c r="U504" i="10"/>
  <c r="T504" i="10"/>
  <c r="V504" i="10" s="1"/>
  <c r="S504" i="10"/>
  <c r="R504" i="10"/>
  <c r="Q504" i="10"/>
  <c r="P504" i="10"/>
  <c r="K504" i="10"/>
  <c r="J504" i="10"/>
  <c r="U503" i="10"/>
  <c r="W503" i="10" s="1"/>
  <c r="T503" i="10"/>
  <c r="V503" i="10" s="1"/>
  <c r="S503" i="10"/>
  <c r="R503" i="10"/>
  <c r="Q503" i="10"/>
  <c r="P503" i="10"/>
  <c r="K503" i="10"/>
  <c r="J503" i="10"/>
  <c r="W502" i="10"/>
  <c r="U502" i="10"/>
  <c r="T502" i="10"/>
  <c r="V502" i="10" s="1"/>
  <c r="S502" i="10"/>
  <c r="R502" i="10"/>
  <c r="Q502" i="10"/>
  <c r="P502" i="10"/>
  <c r="K502" i="10"/>
  <c r="J502" i="10"/>
  <c r="U501" i="10"/>
  <c r="W501" i="10" s="1"/>
  <c r="T501" i="10"/>
  <c r="V501" i="10" s="1"/>
  <c r="S501" i="10"/>
  <c r="R501" i="10"/>
  <c r="Q501" i="10"/>
  <c r="P501" i="10"/>
  <c r="K501" i="10"/>
  <c r="J501" i="10"/>
  <c r="U500" i="10"/>
  <c r="W500" i="10" s="1"/>
  <c r="T500" i="10"/>
  <c r="V500" i="10" s="1"/>
  <c r="S500" i="10"/>
  <c r="R500" i="10"/>
  <c r="Q500" i="10"/>
  <c r="P500" i="10"/>
  <c r="K500" i="10"/>
  <c r="J500" i="10"/>
  <c r="W499" i="10"/>
  <c r="U499" i="10"/>
  <c r="T499" i="10"/>
  <c r="V499" i="10" s="1"/>
  <c r="S499" i="10"/>
  <c r="R499" i="10"/>
  <c r="Q499" i="10"/>
  <c r="P499" i="10"/>
  <c r="K499" i="10"/>
  <c r="J499" i="10"/>
  <c r="U498" i="10"/>
  <c r="W498" i="10" s="1"/>
  <c r="T498" i="10"/>
  <c r="V498" i="10" s="1"/>
  <c r="S498" i="10"/>
  <c r="R498" i="10"/>
  <c r="Q498" i="10"/>
  <c r="P498" i="10"/>
  <c r="K498" i="10"/>
  <c r="J498" i="10"/>
  <c r="U497" i="10"/>
  <c r="W497" i="10" s="1"/>
  <c r="T497" i="10"/>
  <c r="V497" i="10" s="1"/>
  <c r="S497" i="10"/>
  <c r="R497" i="10"/>
  <c r="Q497" i="10"/>
  <c r="P497" i="10"/>
  <c r="K497" i="10"/>
  <c r="J497" i="10"/>
  <c r="W496" i="10"/>
  <c r="U496" i="10"/>
  <c r="T496" i="10"/>
  <c r="V496" i="10" s="1"/>
  <c r="S496" i="10"/>
  <c r="R496" i="10"/>
  <c r="Q496" i="10"/>
  <c r="P496" i="10"/>
  <c r="K496" i="10"/>
  <c r="J496" i="10"/>
  <c r="U495" i="10"/>
  <c r="W495" i="10" s="1"/>
  <c r="T495" i="10"/>
  <c r="V495" i="10" s="1"/>
  <c r="S495" i="10"/>
  <c r="R495" i="10"/>
  <c r="Q495" i="10"/>
  <c r="P495" i="10"/>
  <c r="K495" i="10"/>
  <c r="J495" i="10"/>
  <c r="W494" i="10"/>
  <c r="U494" i="10"/>
  <c r="T494" i="10"/>
  <c r="V494" i="10" s="1"/>
  <c r="S494" i="10"/>
  <c r="R494" i="10"/>
  <c r="Q494" i="10"/>
  <c r="P494" i="10"/>
  <c r="K494" i="10"/>
  <c r="J494" i="10"/>
  <c r="U493" i="10"/>
  <c r="W493" i="10" s="1"/>
  <c r="T493" i="10"/>
  <c r="V493" i="10" s="1"/>
  <c r="S493" i="10"/>
  <c r="R493" i="10"/>
  <c r="Q493" i="10"/>
  <c r="P493" i="10"/>
  <c r="K493" i="10"/>
  <c r="J493" i="10"/>
  <c r="U492" i="10"/>
  <c r="W492" i="10" s="1"/>
  <c r="T492" i="10"/>
  <c r="V492" i="10" s="1"/>
  <c r="S492" i="10"/>
  <c r="R492" i="10"/>
  <c r="Q492" i="10"/>
  <c r="P492" i="10"/>
  <c r="K492" i="10"/>
  <c r="J492" i="10"/>
  <c r="W491" i="10"/>
  <c r="U491" i="10"/>
  <c r="T491" i="10"/>
  <c r="V491" i="10" s="1"/>
  <c r="S491" i="10"/>
  <c r="R491" i="10"/>
  <c r="Q491" i="10"/>
  <c r="P491" i="10"/>
  <c r="K491" i="10"/>
  <c r="J491" i="10"/>
  <c r="U490" i="10"/>
  <c r="W490" i="10" s="1"/>
  <c r="T490" i="10"/>
  <c r="V490" i="10" s="1"/>
  <c r="S490" i="10"/>
  <c r="R490" i="10"/>
  <c r="Q490" i="10"/>
  <c r="P490" i="10"/>
  <c r="K490" i="10"/>
  <c r="J490" i="10"/>
  <c r="U489" i="10"/>
  <c r="W489" i="10" s="1"/>
  <c r="T489" i="10"/>
  <c r="V489" i="10" s="1"/>
  <c r="S489" i="10"/>
  <c r="R489" i="10"/>
  <c r="Q489" i="10"/>
  <c r="P489" i="10"/>
  <c r="K489" i="10"/>
  <c r="J489" i="10"/>
  <c r="W488" i="10"/>
  <c r="U488" i="10"/>
  <c r="T488" i="10"/>
  <c r="V488" i="10" s="1"/>
  <c r="S488" i="10"/>
  <c r="R488" i="10"/>
  <c r="Q488" i="10"/>
  <c r="P488" i="10"/>
  <c r="K488" i="10"/>
  <c r="J488" i="10"/>
  <c r="U487" i="10"/>
  <c r="W487" i="10" s="1"/>
  <c r="T487" i="10"/>
  <c r="V487" i="10" s="1"/>
  <c r="S487" i="10"/>
  <c r="R487" i="10"/>
  <c r="Q487" i="10"/>
  <c r="P487" i="10"/>
  <c r="K487" i="10"/>
  <c r="J487" i="10"/>
  <c r="W486" i="10"/>
  <c r="U486" i="10"/>
  <c r="T486" i="10"/>
  <c r="V486" i="10" s="1"/>
  <c r="S486" i="10"/>
  <c r="R486" i="10"/>
  <c r="Q486" i="10"/>
  <c r="P486" i="10"/>
  <c r="K486" i="10"/>
  <c r="J486" i="10"/>
  <c r="U485" i="10"/>
  <c r="W485" i="10" s="1"/>
  <c r="T485" i="10"/>
  <c r="V485" i="10" s="1"/>
  <c r="S485" i="10"/>
  <c r="R485" i="10"/>
  <c r="Q485" i="10"/>
  <c r="P485" i="10"/>
  <c r="K485" i="10"/>
  <c r="J485" i="10"/>
  <c r="V484" i="10"/>
  <c r="U484" i="10"/>
  <c r="W484" i="10" s="1"/>
  <c r="T484" i="10"/>
  <c r="S484" i="10"/>
  <c r="R484" i="10"/>
  <c r="Q484" i="10"/>
  <c r="P484" i="10"/>
  <c r="K484" i="10"/>
  <c r="J484" i="10"/>
  <c r="W483" i="10"/>
  <c r="U483" i="10"/>
  <c r="T483" i="10"/>
  <c r="V483" i="10" s="1"/>
  <c r="S483" i="10"/>
  <c r="R483" i="10"/>
  <c r="Q483" i="10"/>
  <c r="P483" i="10"/>
  <c r="K483" i="10"/>
  <c r="J483" i="10"/>
  <c r="U482" i="10"/>
  <c r="W482" i="10" s="1"/>
  <c r="T482" i="10"/>
  <c r="V482" i="10" s="1"/>
  <c r="S482" i="10"/>
  <c r="R482" i="10"/>
  <c r="Q482" i="10"/>
  <c r="P482" i="10"/>
  <c r="K482" i="10"/>
  <c r="J482" i="10"/>
  <c r="U481" i="10"/>
  <c r="W481" i="10" s="1"/>
  <c r="T481" i="10"/>
  <c r="V481" i="10" s="1"/>
  <c r="S481" i="10"/>
  <c r="R481" i="10"/>
  <c r="Q481" i="10"/>
  <c r="P481" i="10"/>
  <c r="K481" i="10"/>
  <c r="J481" i="10"/>
  <c r="W480" i="10"/>
  <c r="U480" i="10"/>
  <c r="T480" i="10"/>
  <c r="V480" i="10" s="1"/>
  <c r="S480" i="10"/>
  <c r="R480" i="10"/>
  <c r="Q480" i="10"/>
  <c r="P480" i="10"/>
  <c r="K480" i="10"/>
  <c r="J480" i="10"/>
  <c r="U479" i="10"/>
  <c r="W479" i="10" s="1"/>
  <c r="T479" i="10"/>
  <c r="V479" i="10" s="1"/>
  <c r="S479" i="10"/>
  <c r="R479" i="10"/>
  <c r="Q479" i="10"/>
  <c r="P479" i="10"/>
  <c r="K479" i="10"/>
  <c r="J479" i="10"/>
  <c r="W478" i="10"/>
  <c r="V478" i="10"/>
  <c r="U478" i="10"/>
  <c r="T478" i="10"/>
  <c r="S478" i="10"/>
  <c r="R478" i="10"/>
  <c r="Q478" i="10"/>
  <c r="P478" i="10"/>
  <c r="K478" i="10"/>
  <c r="J478" i="10"/>
  <c r="U477" i="10"/>
  <c r="W477" i="10" s="1"/>
  <c r="T477" i="10"/>
  <c r="V477" i="10" s="1"/>
  <c r="S477" i="10"/>
  <c r="R477" i="10"/>
  <c r="Q477" i="10"/>
  <c r="P477" i="10"/>
  <c r="K477" i="10"/>
  <c r="J477" i="10"/>
  <c r="U476" i="10"/>
  <c r="W476" i="10" s="1"/>
  <c r="T476" i="10"/>
  <c r="V476" i="10" s="1"/>
  <c r="S476" i="10"/>
  <c r="R476" i="10"/>
  <c r="Q476" i="10"/>
  <c r="P476" i="10"/>
  <c r="K476" i="10"/>
  <c r="J476" i="10"/>
  <c r="W475" i="10"/>
  <c r="U475" i="10"/>
  <c r="T475" i="10"/>
  <c r="V475" i="10" s="1"/>
  <c r="S475" i="10"/>
  <c r="R475" i="10"/>
  <c r="Q475" i="10"/>
  <c r="P475" i="10"/>
  <c r="K475" i="10"/>
  <c r="J475" i="10"/>
  <c r="U474" i="10"/>
  <c r="W474" i="10" s="1"/>
  <c r="T474" i="10"/>
  <c r="V474" i="10" s="1"/>
  <c r="S474" i="10"/>
  <c r="R474" i="10"/>
  <c r="Q474" i="10"/>
  <c r="P474" i="10"/>
  <c r="K474" i="10"/>
  <c r="J474" i="10"/>
  <c r="U473" i="10"/>
  <c r="W473" i="10" s="1"/>
  <c r="T473" i="10"/>
  <c r="V473" i="10" s="1"/>
  <c r="S473" i="10"/>
  <c r="R473" i="10"/>
  <c r="Q473" i="10"/>
  <c r="P473" i="10"/>
  <c r="K473" i="10"/>
  <c r="J473" i="10"/>
  <c r="W472" i="10"/>
  <c r="U472" i="10"/>
  <c r="T472" i="10"/>
  <c r="V472" i="10" s="1"/>
  <c r="S472" i="10"/>
  <c r="R472" i="10"/>
  <c r="Q472" i="10"/>
  <c r="P472" i="10"/>
  <c r="K472" i="10"/>
  <c r="J472" i="10"/>
  <c r="U471" i="10"/>
  <c r="W471" i="10" s="1"/>
  <c r="T471" i="10"/>
  <c r="V471" i="10" s="1"/>
  <c r="S471" i="10"/>
  <c r="R471" i="10"/>
  <c r="Q471" i="10"/>
  <c r="P471" i="10"/>
  <c r="K471" i="10"/>
  <c r="J471" i="10"/>
  <c r="W470" i="10"/>
  <c r="U470" i="10"/>
  <c r="T470" i="10"/>
  <c r="V470" i="10" s="1"/>
  <c r="S470" i="10"/>
  <c r="R470" i="10"/>
  <c r="Q470" i="10"/>
  <c r="P470" i="10"/>
  <c r="K470" i="10"/>
  <c r="J470" i="10"/>
  <c r="U469" i="10"/>
  <c r="W469" i="10" s="1"/>
  <c r="T469" i="10"/>
  <c r="V469" i="10" s="1"/>
  <c r="S469" i="10"/>
  <c r="R469" i="10"/>
  <c r="Q469" i="10"/>
  <c r="P469" i="10"/>
  <c r="K469" i="10"/>
  <c r="J469" i="10"/>
  <c r="U468" i="10"/>
  <c r="W468" i="10" s="1"/>
  <c r="T468" i="10"/>
  <c r="V468" i="10" s="1"/>
  <c r="S468" i="10"/>
  <c r="R468" i="10"/>
  <c r="Q468" i="10"/>
  <c r="P468" i="10"/>
  <c r="K468" i="10"/>
  <c r="J468" i="10"/>
  <c r="W467" i="10"/>
  <c r="U467" i="10"/>
  <c r="T467" i="10"/>
  <c r="V467" i="10" s="1"/>
  <c r="S467" i="10"/>
  <c r="R467" i="10"/>
  <c r="Q467" i="10"/>
  <c r="P467" i="10"/>
  <c r="K467" i="10"/>
  <c r="J467" i="10"/>
  <c r="U466" i="10"/>
  <c r="W466" i="10" s="1"/>
  <c r="T466" i="10"/>
  <c r="V466" i="10" s="1"/>
  <c r="S466" i="10"/>
  <c r="R466" i="10"/>
  <c r="Q466" i="10"/>
  <c r="P466" i="10"/>
  <c r="K466" i="10"/>
  <c r="J466" i="10"/>
  <c r="U465" i="10"/>
  <c r="W465" i="10" s="1"/>
  <c r="T465" i="10"/>
  <c r="V465" i="10" s="1"/>
  <c r="S465" i="10"/>
  <c r="R465" i="10"/>
  <c r="Q465" i="10"/>
  <c r="P465" i="10"/>
  <c r="K465" i="10"/>
  <c r="J465" i="10"/>
  <c r="W464" i="10"/>
  <c r="U464" i="10"/>
  <c r="T464" i="10"/>
  <c r="V464" i="10" s="1"/>
  <c r="S464" i="10"/>
  <c r="R464" i="10"/>
  <c r="Q464" i="10"/>
  <c r="P464" i="10"/>
  <c r="K464" i="10"/>
  <c r="J464" i="10"/>
  <c r="U463" i="10"/>
  <c r="W463" i="10" s="1"/>
  <c r="T463" i="10"/>
  <c r="V463" i="10" s="1"/>
  <c r="S463" i="10"/>
  <c r="R463" i="10"/>
  <c r="Q463" i="10"/>
  <c r="P463" i="10"/>
  <c r="K463" i="10"/>
  <c r="J463" i="10"/>
  <c r="W462" i="10"/>
  <c r="U462" i="10"/>
  <c r="T462" i="10"/>
  <c r="V462" i="10" s="1"/>
  <c r="S462" i="10"/>
  <c r="R462" i="10"/>
  <c r="Q462" i="10"/>
  <c r="P462" i="10"/>
  <c r="K462" i="10"/>
  <c r="J462" i="10"/>
  <c r="U461" i="10"/>
  <c r="W461" i="10" s="1"/>
  <c r="T461" i="10"/>
  <c r="V461" i="10" s="1"/>
  <c r="S461" i="10"/>
  <c r="R461" i="10"/>
  <c r="Q461" i="10"/>
  <c r="P461" i="10"/>
  <c r="K461" i="10"/>
  <c r="J461" i="10"/>
  <c r="U460" i="10"/>
  <c r="W460" i="10" s="1"/>
  <c r="T460" i="10"/>
  <c r="V460" i="10" s="1"/>
  <c r="S460" i="10"/>
  <c r="R460" i="10"/>
  <c r="Q460" i="10"/>
  <c r="P460" i="10"/>
  <c r="K460" i="10"/>
  <c r="J460" i="10"/>
  <c r="W459" i="10"/>
  <c r="U459" i="10"/>
  <c r="T459" i="10"/>
  <c r="V459" i="10" s="1"/>
  <c r="S459" i="10"/>
  <c r="R459" i="10"/>
  <c r="Q459" i="10"/>
  <c r="P459" i="10"/>
  <c r="K459" i="10"/>
  <c r="J459" i="10"/>
  <c r="U458" i="10"/>
  <c r="W458" i="10" s="1"/>
  <c r="T458" i="10"/>
  <c r="V458" i="10" s="1"/>
  <c r="S458" i="10"/>
  <c r="R458" i="10"/>
  <c r="Q458" i="10"/>
  <c r="P458" i="10"/>
  <c r="K458" i="10"/>
  <c r="J458" i="10"/>
  <c r="U457" i="10"/>
  <c r="W457" i="10" s="1"/>
  <c r="T457" i="10"/>
  <c r="V457" i="10" s="1"/>
  <c r="S457" i="10"/>
  <c r="R457" i="10"/>
  <c r="Q457" i="10"/>
  <c r="P457" i="10"/>
  <c r="K457" i="10"/>
  <c r="J457" i="10"/>
  <c r="W456" i="10"/>
  <c r="U456" i="10"/>
  <c r="T456" i="10"/>
  <c r="V456" i="10" s="1"/>
  <c r="S456" i="10"/>
  <c r="R456" i="10"/>
  <c r="Q456" i="10"/>
  <c r="P456" i="10"/>
  <c r="K456" i="10"/>
  <c r="J456" i="10"/>
  <c r="U455" i="10"/>
  <c r="W455" i="10" s="1"/>
  <c r="T455" i="10"/>
  <c r="V455" i="10" s="1"/>
  <c r="S455" i="10"/>
  <c r="R455" i="10"/>
  <c r="Q455" i="10"/>
  <c r="P455" i="10"/>
  <c r="K455" i="10"/>
  <c r="J455" i="10"/>
  <c r="W454" i="10"/>
  <c r="U454" i="10"/>
  <c r="T454" i="10"/>
  <c r="V454" i="10" s="1"/>
  <c r="S454" i="10"/>
  <c r="R454" i="10"/>
  <c r="Q454" i="10"/>
  <c r="P454" i="10"/>
  <c r="K454" i="10"/>
  <c r="J454" i="10"/>
  <c r="U453" i="10"/>
  <c r="W453" i="10" s="1"/>
  <c r="T453" i="10"/>
  <c r="V453" i="10" s="1"/>
  <c r="S453" i="10"/>
  <c r="R453" i="10"/>
  <c r="Q453" i="10"/>
  <c r="P453" i="10"/>
  <c r="K453" i="10"/>
  <c r="J453" i="10"/>
  <c r="U452" i="10"/>
  <c r="W452" i="10" s="1"/>
  <c r="T452" i="10"/>
  <c r="V452" i="10" s="1"/>
  <c r="S452" i="10"/>
  <c r="R452" i="10"/>
  <c r="Q452" i="10"/>
  <c r="P452" i="10"/>
  <c r="K452" i="10"/>
  <c r="J452" i="10"/>
  <c r="W451" i="10"/>
  <c r="U451" i="10"/>
  <c r="T451" i="10"/>
  <c r="V451" i="10" s="1"/>
  <c r="S451" i="10"/>
  <c r="R451" i="10"/>
  <c r="Q451" i="10"/>
  <c r="P451" i="10"/>
  <c r="K451" i="10"/>
  <c r="J451" i="10"/>
  <c r="U450" i="10"/>
  <c r="W450" i="10" s="1"/>
  <c r="T450" i="10"/>
  <c r="V450" i="10" s="1"/>
  <c r="S450" i="10"/>
  <c r="R450" i="10"/>
  <c r="Q450" i="10"/>
  <c r="P450" i="10"/>
  <c r="K450" i="10"/>
  <c r="J450" i="10"/>
  <c r="U449" i="10"/>
  <c r="W449" i="10" s="1"/>
  <c r="T449" i="10"/>
  <c r="V449" i="10" s="1"/>
  <c r="S449" i="10"/>
  <c r="R449" i="10"/>
  <c r="Q449" i="10"/>
  <c r="P449" i="10"/>
  <c r="K449" i="10"/>
  <c r="J449" i="10"/>
  <c r="W448" i="10"/>
  <c r="U448" i="10"/>
  <c r="T448" i="10"/>
  <c r="V448" i="10" s="1"/>
  <c r="S448" i="10"/>
  <c r="R448" i="10"/>
  <c r="Q448" i="10"/>
  <c r="P448" i="10"/>
  <c r="K448" i="10"/>
  <c r="J448" i="10"/>
  <c r="U447" i="10"/>
  <c r="W447" i="10" s="1"/>
  <c r="T447" i="10"/>
  <c r="V447" i="10" s="1"/>
  <c r="S447" i="10"/>
  <c r="R447" i="10"/>
  <c r="Q447" i="10"/>
  <c r="P447" i="10"/>
  <c r="K447" i="10"/>
  <c r="J447" i="10"/>
  <c r="W446" i="10"/>
  <c r="U446" i="10"/>
  <c r="T446" i="10"/>
  <c r="V446" i="10" s="1"/>
  <c r="S446" i="10"/>
  <c r="R446" i="10"/>
  <c r="Q446" i="10"/>
  <c r="P446" i="10"/>
  <c r="K446" i="10"/>
  <c r="J446" i="10"/>
  <c r="U445" i="10"/>
  <c r="W445" i="10" s="1"/>
  <c r="T445" i="10"/>
  <c r="V445" i="10" s="1"/>
  <c r="S445" i="10"/>
  <c r="R445" i="10"/>
  <c r="Q445" i="10"/>
  <c r="P445" i="10"/>
  <c r="K445" i="10"/>
  <c r="J445" i="10"/>
  <c r="U444" i="10"/>
  <c r="W444" i="10" s="1"/>
  <c r="T444" i="10"/>
  <c r="V444" i="10" s="1"/>
  <c r="S444" i="10"/>
  <c r="R444" i="10"/>
  <c r="Q444" i="10"/>
  <c r="P444" i="10"/>
  <c r="K444" i="10"/>
  <c r="J444" i="10"/>
  <c r="W443" i="10"/>
  <c r="U443" i="10"/>
  <c r="T443" i="10"/>
  <c r="V443" i="10" s="1"/>
  <c r="S443" i="10"/>
  <c r="R443" i="10"/>
  <c r="Q443" i="10"/>
  <c r="P443" i="10"/>
  <c r="K443" i="10"/>
  <c r="J443" i="10"/>
  <c r="U442" i="10"/>
  <c r="W442" i="10" s="1"/>
  <c r="T442" i="10"/>
  <c r="V442" i="10" s="1"/>
  <c r="S442" i="10"/>
  <c r="R442" i="10"/>
  <c r="Q442" i="10"/>
  <c r="P442" i="10"/>
  <c r="K442" i="10"/>
  <c r="J442" i="10"/>
  <c r="U441" i="10"/>
  <c r="W441" i="10" s="1"/>
  <c r="T441" i="10"/>
  <c r="V441" i="10" s="1"/>
  <c r="S441" i="10"/>
  <c r="R441" i="10"/>
  <c r="Q441" i="10"/>
  <c r="P441" i="10"/>
  <c r="K441" i="10"/>
  <c r="J441" i="10"/>
  <c r="W440" i="10"/>
  <c r="U440" i="10"/>
  <c r="T440" i="10"/>
  <c r="V440" i="10" s="1"/>
  <c r="S440" i="10"/>
  <c r="R440" i="10"/>
  <c r="Q440" i="10"/>
  <c r="P440" i="10"/>
  <c r="K440" i="10"/>
  <c r="J440" i="10"/>
  <c r="U439" i="10"/>
  <c r="W439" i="10" s="1"/>
  <c r="T439" i="10"/>
  <c r="V439" i="10" s="1"/>
  <c r="S439" i="10"/>
  <c r="R439" i="10"/>
  <c r="Q439" i="10"/>
  <c r="P439" i="10"/>
  <c r="K439" i="10"/>
  <c r="J439" i="10"/>
  <c r="W438" i="10"/>
  <c r="U438" i="10"/>
  <c r="T438" i="10"/>
  <c r="V438" i="10" s="1"/>
  <c r="S438" i="10"/>
  <c r="R438" i="10"/>
  <c r="Q438" i="10"/>
  <c r="P438" i="10"/>
  <c r="K438" i="10"/>
  <c r="J438" i="10"/>
  <c r="U437" i="10"/>
  <c r="W437" i="10" s="1"/>
  <c r="T437" i="10"/>
  <c r="V437" i="10" s="1"/>
  <c r="S437" i="10"/>
  <c r="R437" i="10"/>
  <c r="Q437" i="10"/>
  <c r="P437" i="10"/>
  <c r="K437" i="10"/>
  <c r="J437" i="10"/>
  <c r="U436" i="10"/>
  <c r="W436" i="10" s="1"/>
  <c r="T436" i="10"/>
  <c r="V436" i="10" s="1"/>
  <c r="S436" i="10"/>
  <c r="R436" i="10"/>
  <c r="Q436" i="10"/>
  <c r="P436" i="10"/>
  <c r="K436" i="10"/>
  <c r="J436" i="10"/>
  <c r="W435" i="10"/>
  <c r="U435" i="10"/>
  <c r="T435" i="10"/>
  <c r="V435" i="10" s="1"/>
  <c r="S435" i="10"/>
  <c r="R435" i="10"/>
  <c r="Q435" i="10"/>
  <c r="P435" i="10"/>
  <c r="K435" i="10"/>
  <c r="J435" i="10"/>
  <c r="U434" i="10"/>
  <c r="W434" i="10" s="1"/>
  <c r="T434" i="10"/>
  <c r="V434" i="10" s="1"/>
  <c r="S434" i="10"/>
  <c r="R434" i="10"/>
  <c r="Q434" i="10"/>
  <c r="P434" i="10"/>
  <c r="K434" i="10"/>
  <c r="J434" i="10"/>
  <c r="U433" i="10"/>
  <c r="W433" i="10" s="1"/>
  <c r="T433" i="10"/>
  <c r="V433" i="10" s="1"/>
  <c r="S433" i="10"/>
  <c r="R433" i="10"/>
  <c r="Q433" i="10"/>
  <c r="P433" i="10"/>
  <c r="K433" i="10"/>
  <c r="J433" i="10"/>
  <c r="W432" i="10"/>
  <c r="U432" i="10"/>
  <c r="T432" i="10"/>
  <c r="V432" i="10" s="1"/>
  <c r="S432" i="10"/>
  <c r="R432" i="10"/>
  <c r="Q432" i="10"/>
  <c r="P432" i="10"/>
  <c r="K432" i="10"/>
  <c r="J432" i="10"/>
  <c r="U431" i="10"/>
  <c r="W431" i="10" s="1"/>
  <c r="T431" i="10"/>
  <c r="V431" i="10" s="1"/>
  <c r="S431" i="10"/>
  <c r="R431" i="10"/>
  <c r="Q431" i="10"/>
  <c r="P431" i="10"/>
  <c r="K431" i="10"/>
  <c r="J431" i="10"/>
  <c r="W430" i="10"/>
  <c r="U430" i="10"/>
  <c r="T430" i="10"/>
  <c r="V430" i="10" s="1"/>
  <c r="S430" i="10"/>
  <c r="R430" i="10"/>
  <c r="Q430" i="10"/>
  <c r="P430" i="10"/>
  <c r="K430" i="10"/>
  <c r="J430" i="10"/>
  <c r="U429" i="10"/>
  <c r="W429" i="10" s="1"/>
  <c r="T429" i="10"/>
  <c r="V429" i="10" s="1"/>
  <c r="S429" i="10"/>
  <c r="R429" i="10"/>
  <c r="Q429" i="10"/>
  <c r="P429" i="10"/>
  <c r="K429" i="10"/>
  <c r="J429" i="10"/>
  <c r="U428" i="10"/>
  <c r="W428" i="10" s="1"/>
  <c r="T428" i="10"/>
  <c r="V428" i="10" s="1"/>
  <c r="S428" i="10"/>
  <c r="R428" i="10"/>
  <c r="Q428" i="10"/>
  <c r="P428" i="10"/>
  <c r="K428" i="10"/>
  <c r="J428" i="10"/>
  <c r="W427" i="10"/>
  <c r="U427" i="10"/>
  <c r="T427" i="10"/>
  <c r="V427" i="10" s="1"/>
  <c r="S427" i="10"/>
  <c r="R427" i="10"/>
  <c r="Q427" i="10"/>
  <c r="P427" i="10"/>
  <c r="K427" i="10"/>
  <c r="J427" i="10"/>
  <c r="U426" i="10"/>
  <c r="W426" i="10" s="1"/>
  <c r="T426" i="10"/>
  <c r="V426" i="10" s="1"/>
  <c r="S426" i="10"/>
  <c r="R426" i="10"/>
  <c r="Q426" i="10"/>
  <c r="P426" i="10"/>
  <c r="K426" i="10"/>
  <c r="J426" i="10"/>
  <c r="U425" i="10"/>
  <c r="W425" i="10" s="1"/>
  <c r="T425" i="10"/>
  <c r="V425" i="10" s="1"/>
  <c r="S425" i="10"/>
  <c r="R425" i="10"/>
  <c r="Q425" i="10"/>
  <c r="P425" i="10"/>
  <c r="K425" i="10"/>
  <c r="J425" i="10"/>
  <c r="W424" i="10"/>
  <c r="U424" i="10"/>
  <c r="T424" i="10"/>
  <c r="V424" i="10" s="1"/>
  <c r="S424" i="10"/>
  <c r="R424" i="10"/>
  <c r="Q424" i="10"/>
  <c r="P424" i="10"/>
  <c r="K424" i="10"/>
  <c r="J424" i="10"/>
  <c r="U423" i="10"/>
  <c r="W423" i="10" s="1"/>
  <c r="T423" i="10"/>
  <c r="V423" i="10" s="1"/>
  <c r="S423" i="10"/>
  <c r="R423" i="10"/>
  <c r="Q423" i="10"/>
  <c r="P423" i="10"/>
  <c r="K423" i="10"/>
  <c r="J423" i="10"/>
  <c r="W422" i="10"/>
  <c r="U422" i="10"/>
  <c r="T422" i="10"/>
  <c r="V422" i="10" s="1"/>
  <c r="S422" i="10"/>
  <c r="R422" i="10"/>
  <c r="Q422" i="10"/>
  <c r="P422" i="10"/>
  <c r="K422" i="10"/>
  <c r="J422" i="10"/>
  <c r="U421" i="10"/>
  <c r="W421" i="10" s="1"/>
  <c r="T421" i="10"/>
  <c r="V421" i="10" s="1"/>
  <c r="S421" i="10"/>
  <c r="R421" i="10"/>
  <c r="Q421" i="10"/>
  <c r="P421" i="10"/>
  <c r="K421" i="10"/>
  <c r="J421" i="10"/>
  <c r="U420" i="10"/>
  <c r="W420" i="10" s="1"/>
  <c r="T420" i="10"/>
  <c r="V420" i="10" s="1"/>
  <c r="S420" i="10"/>
  <c r="R420" i="10"/>
  <c r="Q420" i="10"/>
  <c r="P420" i="10"/>
  <c r="K420" i="10"/>
  <c r="J420" i="10"/>
  <c r="W419" i="10"/>
  <c r="U419" i="10"/>
  <c r="T419" i="10"/>
  <c r="V419" i="10" s="1"/>
  <c r="S419" i="10"/>
  <c r="R419" i="10"/>
  <c r="Q419" i="10"/>
  <c r="P419" i="10"/>
  <c r="K419" i="10"/>
  <c r="J419" i="10"/>
  <c r="U418" i="10"/>
  <c r="W418" i="10" s="1"/>
  <c r="T418" i="10"/>
  <c r="V418" i="10" s="1"/>
  <c r="S418" i="10"/>
  <c r="R418" i="10"/>
  <c r="Q418" i="10"/>
  <c r="P418" i="10"/>
  <c r="K418" i="10"/>
  <c r="J418" i="10"/>
  <c r="U417" i="10"/>
  <c r="W417" i="10" s="1"/>
  <c r="T417" i="10"/>
  <c r="V417" i="10" s="1"/>
  <c r="S417" i="10"/>
  <c r="R417" i="10"/>
  <c r="Q417" i="10"/>
  <c r="P417" i="10"/>
  <c r="K417" i="10"/>
  <c r="J417" i="10"/>
  <c r="W416" i="10"/>
  <c r="U416" i="10"/>
  <c r="T416" i="10"/>
  <c r="V416" i="10" s="1"/>
  <c r="S416" i="10"/>
  <c r="R416" i="10"/>
  <c r="Q416" i="10"/>
  <c r="P416" i="10"/>
  <c r="K416" i="10"/>
  <c r="J416" i="10"/>
  <c r="U415" i="10"/>
  <c r="W415" i="10" s="1"/>
  <c r="T415" i="10"/>
  <c r="V415" i="10" s="1"/>
  <c r="S415" i="10"/>
  <c r="R415" i="10"/>
  <c r="Q415" i="10"/>
  <c r="P415" i="10"/>
  <c r="K415" i="10"/>
  <c r="J415" i="10"/>
  <c r="W414" i="10"/>
  <c r="U414" i="10"/>
  <c r="T414" i="10"/>
  <c r="V414" i="10" s="1"/>
  <c r="S414" i="10"/>
  <c r="R414" i="10"/>
  <c r="Q414" i="10"/>
  <c r="P414" i="10"/>
  <c r="K414" i="10"/>
  <c r="J414" i="10"/>
  <c r="U413" i="10"/>
  <c r="W413" i="10" s="1"/>
  <c r="T413" i="10"/>
  <c r="V413" i="10" s="1"/>
  <c r="S413" i="10"/>
  <c r="R413" i="10"/>
  <c r="Q413" i="10"/>
  <c r="P413" i="10"/>
  <c r="K413" i="10"/>
  <c r="J413" i="10"/>
  <c r="U412" i="10"/>
  <c r="W412" i="10" s="1"/>
  <c r="T412" i="10"/>
  <c r="V412" i="10" s="1"/>
  <c r="S412" i="10"/>
  <c r="R412" i="10"/>
  <c r="Q412" i="10"/>
  <c r="P412" i="10"/>
  <c r="K412" i="10"/>
  <c r="J412" i="10"/>
  <c r="W411" i="10"/>
  <c r="U411" i="10"/>
  <c r="T411" i="10"/>
  <c r="V411" i="10" s="1"/>
  <c r="S411" i="10"/>
  <c r="R411" i="10"/>
  <c r="Q411" i="10"/>
  <c r="P411" i="10"/>
  <c r="K411" i="10"/>
  <c r="J411" i="10"/>
  <c r="U410" i="10"/>
  <c r="W410" i="10" s="1"/>
  <c r="T410" i="10"/>
  <c r="V410" i="10" s="1"/>
  <c r="S410" i="10"/>
  <c r="R410" i="10"/>
  <c r="Q410" i="10"/>
  <c r="P410" i="10"/>
  <c r="K410" i="10"/>
  <c r="J410" i="10"/>
  <c r="U409" i="10"/>
  <c r="W409" i="10" s="1"/>
  <c r="T409" i="10"/>
  <c r="V409" i="10" s="1"/>
  <c r="S409" i="10"/>
  <c r="R409" i="10"/>
  <c r="Q409" i="10"/>
  <c r="P409" i="10"/>
  <c r="K409" i="10"/>
  <c r="J409" i="10"/>
  <c r="W408" i="10"/>
  <c r="U408" i="10"/>
  <c r="T408" i="10"/>
  <c r="V408" i="10" s="1"/>
  <c r="S408" i="10"/>
  <c r="R408" i="10"/>
  <c r="Q408" i="10"/>
  <c r="P408" i="10"/>
  <c r="K408" i="10"/>
  <c r="J408" i="10"/>
  <c r="U407" i="10"/>
  <c r="W407" i="10" s="1"/>
  <c r="T407" i="10"/>
  <c r="V407" i="10" s="1"/>
  <c r="S407" i="10"/>
  <c r="R407" i="10"/>
  <c r="Q407" i="10"/>
  <c r="P407" i="10"/>
  <c r="K407" i="10"/>
  <c r="J407" i="10"/>
  <c r="W406" i="10"/>
  <c r="U406" i="10"/>
  <c r="T406" i="10"/>
  <c r="V406" i="10" s="1"/>
  <c r="S406" i="10"/>
  <c r="R406" i="10"/>
  <c r="Q406" i="10"/>
  <c r="P406" i="10"/>
  <c r="K406" i="10"/>
  <c r="J406" i="10"/>
  <c r="U405" i="10"/>
  <c r="W405" i="10" s="1"/>
  <c r="T405" i="10"/>
  <c r="V405" i="10" s="1"/>
  <c r="S405" i="10"/>
  <c r="R405" i="10"/>
  <c r="Q405" i="10"/>
  <c r="P405" i="10"/>
  <c r="K405" i="10"/>
  <c r="J405" i="10"/>
  <c r="U404" i="10"/>
  <c r="W404" i="10" s="1"/>
  <c r="T404" i="10"/>
  <c r="V404" i="10" s="1"/>
  <c r="S404" i="10"/>
  <c r="R404" i="10"/>
  <c r="Q404" i="10"/>
  <c r="P404" i="10"/>
  <c r="K404" i="10"/>
  <c r="J404" i="10"/>
  <c r="W403" i="10"/>
  <c r="U403" i="10"/>
  <c r="T403" i="10"/>
  <c r="V403" i="10" s="1"/>
  <c r="S403" i="10"/>
  <c r="R403" i="10"/>
  <c r="Q403" i="10"/>
  <c r="P403" i="10"/>
  <c r="K403" i="10"/>
  <c r="J403" i="10"/>
  <c r="U402" i="10"/>
  <c r="W402" i="10" s="1"/>
  <c r="T402" i="10"/>
  <c r="V402" i="10" s="1"/>
  <c r="S402" i="10"/>
  <c r="R402" i="10"/>
  <c r="Q402" i="10"/>
  <c r="P402" i="10"/>
  <c r="K402" i="10"/>
  <c r="J402" i="10"/>
  <c r="U401" i="10"/>
  <c r="W401" i="10" s="1"/>
  <c r="T401" i="10"/>
  <c r="V401" i="10" s="1"/>
  <c r="S401" i="10"/>
  <c r="R401" i="10"/>
  <c r="Q401" i="10"/>
  <c r="P401" i="10"/>
  <c r="K401" i="10"/>
  <c r="J401" i="10"/>
  <c r="W400" i="10"/>
  <c r="U400" i="10"/>
  <c r="T400" i="10"/>
  <c r="V400" i="10" s="1"/>
  <c r="S400" i="10"/>
  <c r="R400" i="10"/>
  <c r="Q400" i="10"/>
  <c r="P400" i="10"/>
  <c r="K400" i="10"/>
  <c r="J400" i="10"/>
  <c r="U399" i="10"/>
  <c r="W399" i="10" s="1"/>
  <c r="T399" i="10"/>
  <c r="V399" i="10" s="1"/>
  <c r="S399" i="10"/>
  <c r="R399" i="10"/>
  <c r="Q399" i="10"/>
  <c r="P399" i="10"/>
  <c r="K399" i="10"/>
  <c r="J399" i="10"/>
  <c r="W398" i="10"/>
  <c r="U398" i="10"/>
  <c r="T398" i="10"/>
  <c r="V398" i="10" s="1"/>
  <c r="S398" i="10"/>
  <c r="R398" i="10"/>
  <c r="Q398" i="10"/>
  <c r="P398" i="10"/>
  <c r="K398" i="10"/>
  <c r="J398" i="10"/>
  <c r="U397" i="10"/>
  <c r="W397" i="10" s="1"/>
  <c r="T397" i="10"/>
  <c r="V397" i="10" s="1"/>
  <c r="S397" i="10"/>
  <c r="R397" i="10"/>
  <c r="Q397" i="10"/>
  <c r="P397" i="10"/>
  <c r="K397" i="10"/>
  <c r="J397" i="10"/>
  <c r="U396" i="10"/>
  <c r="W396" i="10" s="1"/>
  <c r="T396" i="10"/>
  <c r="V396" i="10" s="1"/>
  <c r="S396" i="10"/>
  <c r="R396" i="10"/>
  <c r="Q396" i="10"/>
  <c r="P396" i="10"/>
  <c r="K396" i="10"/>
  <c r="J396" i="10"/>
  <c r="W395" i="10"/>
  <c r="U395" i="10"/>
  <c r="T395" i="10"/>
  <c r="V395" i="10" s="1"/>
  <c r="S395" i="10"/>
  <c r="R395" i="10"/>
  <c r="Q395" i="10"/>
  <c r="P395" i="10"/>
  <c r="K395" i="10"/>
  <c r="J395" i="10"/>
  <c r="U394" i="10"/>
  <c r="W394" i="10" s="1"/>
  <c r="T394" i="10"/>
  <c r="V394" i="10" s="1"/>
  <c r="S394" i="10"/>
  <c r="R394" i="10"/>
  <c r="Q394" i="10"/>
  <c r="P394" i="10"/>
  <c r="K394" i="10"/>
  <c r="J394" i="10"/>
  <c r="U393" i="10"/>
  <c r="W393" i="10" s="1"/>
  <c r="T393" i="10"/>
  <c r="V393" i="10" s="1"/>
  <c r="S393" i="10"/>
  <c r="R393" i="10"/>
  <c r="Q393" i="10"/>
  <c r="P393" i="10"/>
  <c r="K393" i="10"/>
  <c r="J393" i="10"/>
  <c r="W392" i="10"/>
  <c r="U392" i="10"/>
  <c r="T392" i="10"/>
  <c r="V392" i="10" s="1"/>
  <c r="S392" i="10"/>
  <c r="R392" i="10"/>
  <c r="Q392" i="10"/>
  <c r="P392" i="10"/>
  <c r="K392" i="10"/>
  <c r="J392" i="10"/>
  <c r="U391" i="10"/>
  <c r="W391" i="10" s="1"/>
  <c r="T391" i="10"/>
  <c r="V391" i="10" s="1"/>
  <c r="S391" i="10"/>
  <c r="R391" i="10"/>
  <c r="Q391" i="10"/>
  <c r="P391" i="10"/>
  <c r="K391" i="10"/>
  <c r="J391" i="10"/>
  <c r="W390" i="10"/>
  <c r="U390" i="10"/>
  <c r="T390" i="10"/>
  <c r="V390" i="10" s="1"/>
  <c r="S390" i="10"/>
  <c r="R390" i="10"/>
  <c r="Q390" i="10"/>
  <c r="P390" i="10"/>
  <c r="K390" i="10"/>
  <c r="J390" i="10"/>
  <c r="W389" i="10"/>
  <c r="U389" i="10"/>
  <c r="T389" i="10"/>
  <c r="V389" i="10" s="1"/>
  <c r="S389" i="10"/>
  <c r="R389" i="10"/>
  <c r="Q389" i="10"/>
  <c r="P389" i="10"/>
  <c r="K389" i="10"/>
  <c r="J389" i="10"/>
  <c r="U388" i="10"/>
  <c r="W388" i="10" s="1"/>
  <c r="T388" i="10"/>
  <c r="V388" i="10" s="1"/>
  <c r="S388" i="10"/>
  <c r="R388" i="10"/>
  <c r="Q388" i="10"/>
  <c r="P388" i="10"/>
  <c r="K388" i="10"/>
  <c r="J388" i="10"/>
  <c r="W387" i="10"/>
  <c r="U387" i="10"/>
  <c r="T387" i="10"/>
  <c r="V387" i="10" s="1"/>
  <c r="S387" i="10"/>
  <c r="R387" i="10"/>
  <c r="Q387" i="10"/>
  <c r="P387" i="10"/>
  <c r="K387" i="10"/>
  <c r="J387" i="10"/>
  <c r="U386" i="10"/>
  <c r="W386" i="10" s="1"/>
  <c r="T386" i="10"/>
  <c r="V386" i="10" s="1"/>
  <c r="S386" i="10"/>
  <c r="R386" i="10"/>
  <c r="Q386" i="10"/>
  <c r="P386" i="10"/>
  <c r="K386" i="10"/>
  <c r="J386" i="10"/>
  <c r="U385" i="10"/>
  <c r="W385" i="10" s="1"/>
  <c r="T385" i="10"/>
  <c r="V385" i="10" s="1"/>
  <c r="S385" i="10"/>
  <c r="R385" i="10"/>
  <c r="Q385" i="10"/>
  <c r="P385" i="10"/>
  <c r="K385" i="10"/>
  <c r="J385" i="10"/>
  <c r="W384" i="10"/>
  <c r="U384" i="10"/>
  <c r="T384" i="10"/>
  <c r="V384" i="10" s="1"/>
  <c r="S384" i="10"/>
  <c r="R384" i="10"/>
  <c r="Q384" i="10"/>
  <c r="P384" i="10"/>
  <c r="K384" i="10"/>
  <c r="J384" i="10"/>
  <c r="U383" i="10"/>
  <c r="W383" i="10" s="1"/>
  <c r="T383" i="10"/>
  <c r="V383" i="10" s="1"/>
  <c r="S383" i="10"/>
  <c r="R383" i="10"/>
  <c r="Q383" i="10"/>
  <c r="P383" i="10"/>
  <c r="K383" i="10"/>
  <c r="J383" i="10"/>
  <c r="W382" i="10"/>
  <c r="U382" i="10"/>
  <c r="T382" i="10"/>
  <c r="V382" i="10" s="1"/>
  <c r="S382" i="10"/>
  <c r="R382" i="10"/>
  <c r="Q382" i="10"/>
  <c r="P382" i="10"/>
  <c r="K382" i="10"/>
  <c r="J382" i="10"/>
  <c r="W381" i="10"/>
  <c r="U381" i="10"/>
  <c r="T381" i="10"/>
  <c r="V381" i="10" s="1"/>
  <c r="S381" i="10"/>
  <c r="R381" i="10"/>
  <c r="Q381" i="10"/>
  <c r="P381" i="10"/>
  <c r="K381" i="10"/>
  <c r="J381" i="10"/>
  <c r="U380" i="10"/>
  <c r="W380" i="10" s="1"/>
  <c r="T380" i="10"/>
  <c r="V380" i="10" s="1"/>
  <c r="S380" i="10"/>
  <c r="R380" i="10"/>
  <c r="Q380" i="10"/>
  <c r="P380" i="10"/>
  <c r="K380" i="10"/>
  <c r="J380" i="10"/>
  <c r="W379" i="10"/>
  <c r="U379" i="10"/>
  <c r="T379" i="10"/>
  <c r="V379" i="10" s="1"/>
  <c r="S379" i="10"/>
  <c r="R379" i="10"/>
  <c r="Q379" i="10"/>
  <c r="P379" i="10"/>
  <c r="K379" i="10"/>
  <c r="J379" i="10"/>
  <c r="U378" i="10"/>
  <c r="W378" i="10" s="1"/>
  <c r="T378" i="10"/>
  <c r="V378" i="10" s="1"/>
  <c r="S378" i="10"/>
  <c r="R378" i="10"/>
  <c r="Q378" i="10"/>
  <c r="P378" i="10"/>
  <c r="K378" i="10"/>
  <c r="J378" i="10"/>
  <c r="U377" i="10"/>
  <c r="W377" i="10" s="1"/>
  <c r="T377" i="10"/>
  <c r="V377" i="10" s="1"/>
  <c r="S377" i="10"/>
  <c r="R377" i="10"/>
  <c r="Q377" i="10"/>
  <c r="P377" i="10"/>
  <c r="K377" i="10"/>
  <c r="J377" i="10"/>
  <c r="W376" i="10"/>
  <c r="U376" i="10"/>
  <c r="T376" i="10"/>
  <c r="V376" i="10" s="1"/>
  <c r="S376" i="10"/>
  <c r="R376" i="10"/>
  <c r="Q376" i="10"/>
  <c r="P376" i="10"/>
  <c r="K376" i="10"/>
  <c r="J376" i="10"/>
  <c r="U375" i="10"/>
  <c r="W375" i="10" s="1"/>
  <c r="T375" i="10"/>
  <c r="V375" i="10" s="1"/>
  <c r="S375" i="10"/>
  <c r="R375" i="10"/>
  <c r="Q375" i="10"/>
  <c r="P375" i="10"/>
  <c r="K375" i="10"/>
  <c r="J375" i="10"/>
  <c r="W374" i="10"/>
  <c r="U374" i="10"/>
  <c r="T374" i="10"/>
  <c r="V374" i="10" s="1"/>
  <c r="S374" i="10"/>
  <c r="R374" i="10"/>
  <c r="Q374" i="10"/>
  <c r="P374" i="10"/>
  <c r="K374" i="10"/>
  <c r="J374" i="10"/>
  <c r="W373" i="10"/>
  <c r="U373" i="10"/>
  <c r="T373" i="10"/>
  <c r="V373" i="10" s="1"/>
  <c r="S373" i="10"/>
  <c r="R373" i="10"/>
  <c r="Q373" i="10"/>
  <c r="P373" i="10"/>
  <c r="K373" i="10"/>
  <c r="J373" i="10"/>
  <c r="U372" i="10"/>
  <c r="W372" i="10" s="1"/>
  <c r="T372" i="10"/>
  <c r="V372" i="10" s="1"/>
  <c r="S372" i="10"/>
  <c r="R372" i="10"/>
  <c r="Q372" i="10"/>
  <c r="P372" i="10"/>
  <c r="K372" i="10"/>
  <c r="J372" i="10"/>
  <c r="W371" i="10"/>
  <c r="U371" i="10"/>
  <c r="T371" i="10"/>
  <c r="V371" i="10" s="1"/>
  <c r="S371" i="10"/>
  <c r="R371" i="10"/>
  <c r="Q371" i="10"/>
  <c r="P371" i="10"/>
  <c r="K371" i="10"/>
  <c r="J371" i="10"/>
  <c r="U370" i="10"/>
  <c r="W370" i="10" s="1"/>
  <c r="T370" i="10"/>
  <c r="V370" i="10" s="1"/>
  <c r="S370" i="10"/>
  <c r="R370" i="10"/>
  <c r="Q370" i="10"/>
  <c r="P370" i="10"/>
  <c r="K370" i="10"/>
  <c r="J370" i="10"/>
  <c r="U369" i="10"/>
  <c r="W369" i="10" s="1"/>
  <c r="T369" i="10"/>
  <c r="V369" i="10" s="1"/>
  <c r="S369" i="10"/>
  <c r="R369" i="10"/>
  <c r="Q369" i="10"/>
  <c r="P369" i="10"/>
  <c r="K369" i="10"/>
  <c r="J369" i="10"/>
  <c r="W368" i="10"/>
  <c r="U368" i="10"/>
  <c r="T368" i="10"/>
  <c r="V368" i="10" s="1"/>
  <c r="S368" i="10"/>
  <c r="R368" i="10"/>
  <c r="Q368" i="10"/>
  <c r="P368" i="10"/>
  <c r="K368" i="10"/>
  <c r="J368" i="10"/>
  <c r="U367" i="10"/>
  <c r="W367" i="10" s="1"/>
  <c r="T367" i="10"/>
  <c r="V367" i="10" s="1"/>
  <c r="S367" i="10"/>
  <c r="R367" i="10"/>
  <c r="Q367" i="10"/>
  <c r="P367" i="10"/>
  <c r="K367" i="10"/>
  <c r="J367" i="10"/>
  <c r="W366" i="10"/>
  <c r="U366" i="10"/>
  <c r="T366" i="10"/>
  <c r="V366" i="10" s="1"/>
  <c r="S366" i="10"/>
  <c r="R366" i="10"/>
  <c r="Q366" i="10"/>
  <c r="P366" i="10"/>
  <c r="K366" i="10"/>
  <c r="J366" i="10"/>
  <c r="W365" i="10"/>
  <c r="U365" i="10"/>
  <c r="T365" i="10"/>
  <c r="V365" i="10" s="1"/>
  <c r="S365" i="10"/>
  <c r="R365" i="10"/>
  <c r="Q365" i="10"/>
  <c r="P365" i="10"/>
  <c r="K365" i="10"/>
  <c r="J365" i="10"/>
  <c r="U364" i="10"/>
  <c r="W364" i="10" s="1"/>
  <c r="T364" i="10"/>
  <c r="V364" i="10" s="1"/>
  <c r="S364" i="10"/>
  <c r="R364" i="10"/>
  <c r="Q364" i="10"/>
  <c r="P364" i="10"/>
  <c r="K364" i="10"/>
  <c r="J364" i="10"/>
  <c r="W363" i="10"/>
  <c r="U363" i="10"/>
  <c r="T363" i="10"/>
  <c r="V363" i="10" s="1"/>
  <c r="S363" i="10"/>
  <c r="R363" i="10"/>
  <c r="Q363" i="10"/>
  <c r="P363" i="10"/>
  <c r="K363" i="10"/>
  <c r="J363" i="10"/>
  <c r="U362" i="10"/>
  <c r="W362" i="10" s="1"/>
  <c r="T362" i="10"/>
  <c r="V362" i="10" s="1"/>
  <c r="S362" i="10"/>
  <c r="R362" i="10"/>
  <c r="Q362" i="10"/>
  <c r="P362" i="10"/>
  <c r="K362" i="10"/>
  <c r="J362" i="10"/>
  <c r="U361" i="10"/>
  <c r="W361" i="10" s="1"/>
  <c r="T361" i="10"/>
  <c r="V361" i="10" s="1"/>
  <c r="S361" i="10"/>
  <c r="R361" i="10"/>
  <c r="Q361" i="10"/>
  <c r="P361" i="10"/>
  <c r="K361" i="10"/>
  <c r="J361" i="10"/>
  <c r="W360" i="10"/>
  <c r="U360" i="10"/>
  <c r="T360" i="10"/>
  <c r="V360" i="10" s="1"/>
  <c r="S360" i="10"/>
  <c r="R360" i="10"/>
  <c r="Q360" i="10"/>
  <c r="P360" i="10"/>
  <c r="K360" i="10"/>
  <c r="J360" i="10"/>
  <c r="U359" i="10"/>
  <c r="W359" i="10" s="1"/>
  <c r="T359" i="10"/>
  <c r="V359" i="10" s="1"/>
  <c r="S359" i="10"/>
  <c r="R359" i="10"/>
  <c r="Q359" i="10"/>
  <c r="P359" i="10"/>
  <c r="K359" i="10"/>
  <c r="J359" i="10"/>
  <c r="W358" i="10"/>
  <c r="U358" i="10"/>
  <c r="T358" i="10"/>
  <c r="V358" i="10" s="1"/>
  <c r="S358" i="10"/>
  <c r="R358" i="10"/>
  <c r="Q358" i="10"/>
  <c r="P358" i="10"/>
  <c r="K358" i="10"/>
  <c r="J358" i="10"/>
  <c r="W357" i="10"/>
  <c r="U357" i="10"/>
  <c r="T357" i="10"/>
  <c r="V357" i="10" s="1"/>
  <c r="S357" i="10"/>
  <c r="R357" i="10"/>
  <c r="Q357" i="10"/>
  <c r="P357" i="10"/>
  <c r="K357" i="10"/>
  <c r="J357" i="10"/>
  <c r="U356" i="10"/>
  <c r="W356" i="10" s="1"/>
  <c r="T356" i="10"/>
  <c r="V356" i="10" s="1"/>
  <c r="S356" i="10"/>
  <c r="R356" i="10"/>
  <c r="Q356" i="10"/>
  <c r="P356" i="10"/>
  <c r="K356" i="10"/>
  <c r="J356" i="10"/>
  <c r="W355" i="10"/>
  <c r="U355" i="10"/>
  <c r="T355" i="10"/>
  <c r="V355" i="10" s="1"/>
  <c r="S355" i="10"/>
  <c r="R355" i="10"/>
  <c r="Q355" i="10"/>
  <c r="P355" i="10"/>
  <c r="K355" i="10"/>
  <c r="J355" i="10"/>
  <c r="U354" i="10"/>
  <c r="W354" i="10" s="1"/>
  <c r="T354" i="10"/>
  <c r="V354" i="10" s="1"/>
  <c r="S354" i="10"/>
  <c r="R354" i="10"/>
  <c r="Q354" i="10"/>
  <c r="P354" i="10"/>
  <c r="K354" i="10"/>
  <c r="J354" i="10"/>
  <c r="U353" i="10"/>
  <c r="W353" i="10" s="1"/>
  <c r="T353" i="10"/>
  <c r="V353" i="10" s="1"/>
  <c r="S353" i="10"/>
  <c r="R353" i="10"/>
  <c r="Q353" i="10"/>
  <c r="P353" i="10"/>
  <c r="K353" i="10"/>
  <c r="J353" i="10"/>
  <c r="W352" i="10"/>
  <c r="U352" i="10"/>
  <c r="T352" i="10"/>
  <c r="V352" i="10" s="1"/>
  <c r="S352" i="10"/>
  <c r="R352" i="10"/>
  <c r="Q352" i="10"/>
  <c r="P352" i="10"/>
  <c r="K352" i="10"/>
  <c r="J352" i="10"/>
  <c r="U351" i="10"/>
  <c r="W351" i="10" s="1"/>
  <c r="T351" i="10"/>
  <c r="V351" i="10" s="1"/>
  <c r="S351" i="10"/>
  <c r="R351" i="10"/>
  <c r="Q351" i="10"/>
  <c r="P351" i="10"/>
  <c r="K351" i="10"/>
  <c r="J351" i="10"/>
  <c r="W350" i="10"/>
  <c r="U350" i="10"/>
  <c r="T350" i="10"/>
  <c r="V350" i="10" s="1"/>
  <c r="S350" i="10"/>
  <c r="R350" i="10"/>
  <c r="Q350" i="10"/>
  <c r="P350" i="10"/>
  <c r="K350" i="10"/>
  <c r="J350" i="10"/>
  <c r="W349" i="10"/>
  <c r="U349" i="10"/>
  <c r="T349" i="10"/>
  <c r="V349" i="10" s="1"/>
  <c r="S349" i="10"/>
  <c r="R349" i="10"/>
  <c r="Q349" i="10"/>
  <c r="P349" i="10"/>
  <c r="K349" i="10"/>
  <c r="J349" i="10"/>
  <c r="W348" i="10"/>
  <c r="U348" i="10"/>
  <c r="T348" i="10"/>
  <c r="V348" i="10" s="1"/>
  <c r="S348" i="10"/>
  <c r="R348" i="10"/>
  <c r="Q348" i="10"/>
  <c r="P348" i="10"/>
  <c r="K348" i="10"/>
  <c r="J348" i="10"/>
  <c r="W347" i="10"/>
  <c r="U347" i="10"/>
  <c r="T347" i="10"/>
  <c r="V347" i="10" s="1"/>
  <c r="S347" i="10"/>
  <c r="R347" i="10"/>
  <c r="Q347" i="10"/>
  <c r="P347" i="10"/>
  <c r="K347" i="10"/>
  <c r="J347" i="10"/>
  <c r="U346" i="10"/>
  <c r="W346" i="10" s="1"/>
  <c r="T346" i="10"/>
  <c r="V346" i="10" s="1"/>
  <c r="S346" i="10"/>
  <c r="R346" i="10"/>
  <c r="Q346" i="10"/>
  <c r="P346" i="10"/>
  <c r="K346" i="10"/>
  <c r="J346" i="10"/>
  <c r="U345" i="10"/>
  <c r="W345" i="10" s="1"/>
  <c r="T345" i="10"/>
  <c r="V345" i="10" s="1"/>
  <c r="S345" i="10"/>
  <c r="R345" i="10"/>
  <c r="Q345" i="10"/>
  <c r="P345" i="10"/>
  <c r="K345" i="10"/>
  <c r="J345" i="10"/>
  <c r="W344" i="10"/>
  <c r="U344" i="10"/>
  <c r="T344" i="10"/>
  <c r="V344" i="10" s="1"/>
  <c r="S344" i="10"/>
  <c r="R344" i="10"/>
  <c r="Q344" i="10"/>
  <c r="P344" i="10"/>
  <c r="K344" i="10"/>
  <c r="J344" i="10"/>
  <c r="U343" i="10"/>
  <c r="W343" i="10" s="1"/>
  <c r="T343" i="10"/>
  <c r="V343" i="10" s="1"/>
  <c r="S343" i="10"/>
  <c r="R343" i="10"/>
  <c r="Q343" i="10"/>
  <c r="P343" i="10"/>
  <c r="K343" i="10"/>
  <c r="J343" i="10"/>
  <c r="W342" i="10"/>
  <c r="U342" i="10"/>
  <c r="T342" i="10"/>
  <c r="V342" i="10" s="1"/>
  <c r="S342" i="10"/>
  <c r="R342" i="10"/>
  <c r="Q342" i="10"/>
  <c r="P342" i="10"/>
  <c r="K342" i="10"/>
  <c r="J342" i="10"/>
  <c r="W341" i="10"/>
  <c r="U341" i="10"/>
  <c r="T341" i="10"/>
  <c r="V341" i="10" s="1"/>
  <c r="S341" i="10"/>
  <c r="R341" i="10"/>
  <c r="Q341" i="10"/>
  <c r="P341" i="10"/>
  <c r="K341" i="10"/>
  <c r="J341" i="10"/>
  <c r="U340" i="10"/>
  <c r="W340" i="10" s="1"/>
  <c r="T340" i="10"/>
  <c r="V340" i="10" s="1"/>
  <c r="S340" i="10"/>
  <c r="R340" i="10"/>
  <c r="Q340" i="10"/>
  <c r="P340" i="10"/>
  <c r="K340" i="10"/>
  <c r="J340" i="10"/>
  <c r="W339" i="10"/>
  <c r="U339" i="10"/>
  <c r="T339" i="10"/>
  <c r="V339" i="10" s="1"/>
  <c r="S339" i="10"/>
  <c r="R339" i="10"/>
  <c r="Q339" i="10"/>
  <c r="P339" i="10"/>
  <c r="K339" i="10"/>
  <c r="J339" i="10"/>
  <c r="U338" i="10"/>
  <c r="W338" i="10" s="1"/>
  <c r="T338" i="10"/>
  <c r="V338" i="10" s="1"/>
  <c r="S338" i="10"/>
  <c r="R338" i="10"/>
  <c r="Q338" i="10"/>
  <c r="P338" i="10"/>
  <c r="K338" i="10"/>
  <c r="J338" i="10"/>
  <c r="W337" i="10"/>
  <c r="U337" i="10"/>
  <c r="T337" i="10"/>
  <c r="V337" i="10" s="1"/>
  <c r="S337" i="10"/>
  <c r="R337" i="10"/>
  <c r="Q337" i="10"/>
  <c r="P337" i="10"/>
  <c r="K337" i="10"/>
  <c r="J337" i="10"/>
  <c r="W336" i="10"/>
  <c r="U336" i="10"/>
  <c r="T336" i="10"/>
  <c r="V336" i="10" s="1"/>
  <c r="S336" i="10"/>
  <c r="R336" i="10"/>
  <c r="Q336" i="10"/>
  <c r="P336" i="10"/>
  <c r="K336" i="10"/>
  <c r="J336" i="10"/>
  <c r="U335" i="10"/>
  <c r="W335" i="10" s="1"/>
  <c r="T335" i="10"/>
  <c r="V335" i="10" s="1"/>
  <c r="S335" i="10"/>
  <c r="R335" i="10"/>
  <c r="Q335" i="10"/>
  <c r="P335" i="10"/>
  <c r="K335" i="10"/>
  <c r="J335" i="10"/>
  <c r="U334" i="10"/>
  <c r="W334" i="10" s="1"/>
  <c r="T334" i="10"/>
  <c r="V334" i="10" s="1"/>
  <c r="S334" i="10"/>
  <c r="R334" i="10"/>
  <c r="Q334" i="10"/>
  <c r="P334" i="10"/>
  <c r="K334" i="10"/>
  <c r="J334" i="10"/>
  <c r="W333" i="10"/>
  <c r="U333" i="10"/>
  <c r="T333" i="10"/>
  <c r="V333" i="10" s="1"/>
  <c r="S333" i="10"/>
  <c r="R333" i="10"/>
  <c r="Q333" i="10"/>
  <c r="P333" i="10"/>
  <c r="K333" i="10"/>
  <c r="J333" i="10"/>
  <c r="U332" i="10"/>
  <c r="W332" i="10" s="1"/>
  <c r="T332" i="10"/>
  <c r="V332" i="10" s="1"/>
  <c r="S332" i="10"/>
  <c r="R332" i="10"/>
  <c r="Q332" i="10"/>
  <c r="P332" i="10"/>
  <c r="K332" i="10"/>
  <c r="J332" i="10"/>
  <c r="U331" i="10"/>
  <c r="W331" i="10" s="1"/>
  <c r="T331" i="10"/>
  <c r="V331" i="10" s="1"/>
  <c r="S331" i="10"/>
  <c r="R331" i="10"/>
  <c r="Q331" i="10"/>
  <c r="P331" i="10"/>
  <c r="K331" i="10"/>
  <c r="J331" i="10"/>
  <c r="W330" i="10"/>
  <c r="U330" i="10"/>
  <c r="T330" i="10"/>
  <c r="V330" i="10" s="1"/>
  <c r="S330" i="10"/>
  <c r="R330" i="10"/>
  <c r="Q330" i="10"/>
  <c r="P330" i="10"/>
  <c r="K330" i="10"/>
  <c r="J330" i="10"/>
  <c r="W329" i="10"/>
  <c r="U329" i="10"/>
  <c r="T329" i="10"/>
  <c r="V329" i="10" s="1"/>
  <c r="S329" i="10"/>
  <c r="R329" i="10"/>
  <c r="Q329" i="10"/>
  <c r="P329" i="10"/>
  <c r="K329" i="10"/>
  <c r="J329" i="10"/>
  <c r="U328" i="10"/>
  <c r="W328" i="10" s="1"/>
  <c r="T328" i="10"/>
  <c r="V328" i="10" s="1"/>
  <c r="S328" i="10"/>
  <c r="R328" i="10"/>
  <c r="Q328" i="10"/>
  <c r="P328" i="10"/>
  <c r="K328" i="10"/>
  <c r="J328" i="10"/>
  <c r="W327" i="10"/>
  <c r="U327" i="10"/>
  <c r="T327" i="10"/>
  <c r="V327" i="10" s="1"/>
  <c r="S327" i="10"/>
  <c r="R327" i="10"/>
  <c r="Q327" i="10"/>
  <c r="P327" i="10"/>
  <c r="K327" i="10"/>
  <c r="J327" i="10"/>
  <c r="W326" i="10"/>
  <c r="U326" i="10"/>
  <c r="T326" i="10"/>
  <c r="V326" i="10" s="1"/>
  <c r="S326" i="10"/>
  <c r="R326" i="10"/>
  <c r="Q326" i="10"/>
  <c r="P326" i="10"/>
  <c r="K326" i="10"/>
  <c r="J326" i="10"/>
  <c r="U325" i="10"/>
  <c r="W325" i="10" s="1"/>
  <c r="T325" i="10"/>
  <c r="V325" i="10" s="1"/>
  <c r="S325" i="10"/>
  <c r="R325" i="10"/>
  <c r="Q325" i="10"/>
  <c r="P325" i="10"/>
  <c r="K325" i="10"/>
  <c r="J325" i="10"/>
  <c r="W324" i="10"/>
  <c r="U324" i="10"/>
  <c r="T324" i="10"/>
  <c r="V324" i="10" s="1"/>
  <c r="S324" i="10"/>
  <c r="R324" i="10"/>
  <c r="Q324" i="10"/>
  <c r="P324" i="10"/>
  <c r="K324" i="10"/>
  <c r="J324" i="10"/>
  <c r="U323" i="10"/>
  <c r="W323" i="10" s="1"/>
  <c r="T323" i="10"/>
  <c r="V323" i="10" s="1"/>
  <c r="S323" i="10"/>
  <c r="R323" i="10"/>
  <c r="Q323" i="10"/>
  <c r="P323" i="10"/>
  <c r="K323" i="10"/>
  <c r="J323" i="10"/>
  <c r="U322" i="10"/>
  <c r="W322" i="10" s="1"/>
  <c r="T322" i="10"/>
  <c r="V322" i="10" s="1"/>
  <c r="S322" i="10"/>
  <c r="R322" i="10"/>
  <c r="Q322" i="10"/>
  <c r="P322" i="10"/>
  <c r="K322" i="10"/>
  <c r="J322" i="10"/>
  <c r="W321" i="10"/>
  <c r="U321" i="10"/>
  <c r="T321" i="10"/>
  <c r="V321" i="10" s="1"/>
  <c r="S321" i="10"/>
  <c r="R321" i="10"/>
  <c r="Q321" i="10"/>
  <c r="P321" i="10"/>
  <c r="K321" i="10"/>
  <c r="J321" i="10"/>
  <c r="U320" i="10"/>
  <c r="W320" i="10" s="1"/>
  <c r="T320" i="10"/>
  <c r="V320" i="10" s="1"/>
  <c r="S320" i="10"/>
  <c r="R320" i="10"/>
  <c r="Q320" i="10"/>
  <c r="P320" i="10"/>
  <c r="K320" i="10"/>
  <c r="J320" i="10"/>
  <c r="W319" i="10"/>
  <c r="U319" i="10"/>
  <c r="T319" i="10"/>
  <c r="V319" i="10" s="1"/>
  <c r="S319" i="10"/>
  <c r="R319" i="10"/>
  <c r="Q319" i="10"/>
  <c r="P319" i="10"/>
  <c r="K319" i="10"/>
  <c r="J319" i="10"/>
  <c r="W318" i="10"/>
  <c r="U318" i="10"/>
  <c r="T318" i="10"/>
  <c r="V318" i="10" s="1"/>
  <c r="S318" i="10"/>
  <c r="R318" i="10"/>
  <c r="Q318" i="10"/>
  <c r="P318" i="10"/>
  <c r="K318" i="10"/>
  <c r="J318" i="10"/>
  <c r="U317" i="10"/>
  <c r="W317" i="10" s="1"/>
  <c r="T317" i="10"/>
  <c r="V317" i="10" s="1"/>
  <c r="S317" i="10"/>
  <c r="R317" i="10"/>
  <c r="Q317" i="10"/>
  <c r="P317" i="10"/>
  <c r="K317" i="10"/>
  <c r="J317" i="10"/>
  <c r="W316" i="10"/>
  <c r="U316" i="10"/>
  <c r="T316" i="10"/>
  <c r="V316" i="10" s="1"/>
  <c r="S316" i="10"/>
  <c r="R316" i="10"/>
  <c r="Q316" i="10"/>
  <c r="P316" i="10"/>
  <c r="K316" i="10"/>
  <c r="J316" i="10"/>
  <c r="U315" i="10"/>
  <c r="W315" i="10" s="1"/>
  <c r="T315" i="10"/>
  <c r="V315" i="10" s="1"/>
  <c r="S315" i="10"/>
  <c r="R315" i="10"/>
  <c r="Q315" i="10"/>
  <c r="P315" i="10"/>
  <c r="K315" i="10"/>
  <c r="J315" i="10"/>
  <c r="U314" i="10"/>
  <c r="W314" i="10" s="1"/>
  <c r="T314" i="10"/>
  <c r="V314" i="10" s="1"/>
  <c r="S314" i="10"/>
  <c r="R314" i="10"/>
  <c r="Q314" i="10"/>
  <c r="P314" i="10"/>
  <c r="K314" i="10"/>
  <c r="J314" i="10"/>
  <c r="W313" i="10"/>
  <c r="U313" i="10"/>
  <c r="T313" i="10"/>
  <c r="V313" i="10" s="1"/>
  <c r="S313" i="10"/>
  <c r="R313" i="10"/>
  <c r="Q313" i="10"/>
  <c r="P313" i="10"/>
  <c r="K313" i="10"/>
  <c r="J313" i="10"/>
  <c r="U312" i="10"/>
  <c r="W312" i="10" s="1"/>
  <c r="T312" i="10"/>
  <c r="V312" i="10" s="1"/>
  <c r="S312" i="10"/>
  <c r="R312" i="10"/>
  <c r="Q312" i="10"/>
  <c r="P312" i="10"/>
  <c r="K312" i="10"/>
  <c r="J312" i="10"/>
  <c r="W311" i="10"/>
  <c r="U311" i="10"/>
  <c r="T311" i="10"/>
  <c r="V311" i="10" s="1"/>
  <c r="S311" i="10"/>
  <c r="R311" i="10"/>
  <c r="Q311" i="10"/>
  <c r="P311" i="10"/>
  <c r="K311" i="10"/>
  <c r="J311" i="10"/>
  <c r="W310" i="10"/>
  <c r="U310" i="10"/>
  <c r="T310" i="10"/>
  <c r="V310" i="10" s="1"/>
  <c r="S310" i="10"/>
  <c r="R310" i="10"/>
  <c r="Q310" i="10"/>
  <c r="P310" i="10"/>
  <c r="K310" i="10"/>
  <c r="J310" i="10"/>
  <c r="U309" i="10"/>
  <c r="W309" i="10" s="1"/>
  <c r="T309" i="10"/>
  <c r="V309" i="10" s="1"/>
  <c r="S309" i="10"/>
  <c r="R309" i="10"/>
  <c r="Q309" i="10"/>
  <c r="P309" i="10"/>
  <c r="K309" i="10"/>
  <c r="J309" i="10"/>
  <c r="W308" i="10"/>
  <c r="U308" i="10"/>
  <c r="T308" i="10"/>
  <c r="V308" i="10" s="1"/>
  <c r="S308" i="10"/>
  <c r="R308" i="10"/>
  <c r="Q308" i="10"/>
  <c r="P308" i="10"/>
  <c r="K308" i="10"/>
  <c r="J308" i="10"/>
  <c r="U307" i="10"/>
  <c r="W307" i="10" s="1"/>
  <c r="T307" i="10"/>
  <c r="V307" i="10" s="1"/>
  <c r="S307" i="10"/>
  <c r="R307" i="10"/>
  <c r="Q307" i="10"/>
  <c r="P307" i="10"/>
  <c r="K307" i="10"/>
  <c r="J307" i="10"/>
  <c r="U306" i="10"/>
  <c r="W306" i="10" s="1"/>
  <c r="T306" i="10"/>
  <c r="V306" i="10" s="1"/>
  <c r="S306" i="10"/>
  <c r="R306" i="10"/>
  <c r="Q306" i="10"/>
  <c r="P306" i="10"/>
  <c r="K306" i="10"/>
  <c r="J306" i="10"/>
  <c r="W305" i="10"/>
  <c r="U305" i="10"/>
  <c r="T305" i="10"/>
  <c r="V305" i="10" s="1"/>
  <c r="S305" i="10"/>
  <c r="R305" i="10"/>
  <c r="Q305" i="10"/>
  <c r="P305" i="10"/>
  <c r="K305" i="10"/>
  <c r="J305" i="10"/>
  <c r="U304" i="10"/>
  <c r="W304" i="10" s="1"/>
  <c r="T304" i="10"/>
  <c r="V304" i="10" s="1"/>
  <c r="S304" i="10"/>
  <c r="R304" i="10"/>
  <c r="Q304" i="10"/>
  <c r="P304" i="10"/>
  <c r="K304" i="10"/>
  <c r="J304" i="10"/>
  <c r="W303" i="10"/>
  <c r="U303" i="10"/>
  <c r="T303" i="10"/>
  <c r="V303" i="10" s="1"/>
  <c r="S303" i="10"/>
  <c r="R303" i="10"/>
  <c r="Q303" i="10"/>
  <c r="P303" i="10"/>
  <c r="K303" i="10"/>
  <c r="J303" i="10"/>
  <c r="W302" i="10"/>
  <c r="U302" i="10"/>
  <c r="T302" i="10"/>
  <c r="V302" i="10" s="1"/>
  <c r="S302" i="10"/>
  <c r="R302" i="10"/>
  <c r="Q302" i="10"/>
  <c r="P302" i="10"/>
  <c r="K302" i="10"/>
  <c r="J302" i="10"/>
  <c r="U301" i="10"/>
  <c r="W301" i="10" s="1"/>
  <c r="T301" i="10"/>
  <c r="V301" i="10" s="1"/>
  <c r="S301" i="10"/>
  <c r="R301" i="10"/>
  <c r="Q301" i="10"/>
  <c r="P301" i="10"/>
  <c r="K301" i="10"/>
  <c r="J301" i="10"/>
  <c r="W300" i="10"/>
  <c r="U300" i="10"/>
  <c r="T300" i="10"/>
  <c r="V300" i="10" s="1"/>
  <c r="S300" i="10"/>
  <c r="R300" i="10"/>
  <c r="Q300" i="10"/>
  <c r="P300" i="10"/>
  <c r="K300" i="10"/>
  <c r="J300" i="10"/>
  <c r="U299" i="10"/>
  <c r="W299" i="10" s="1"/>
  <c r="T299" i="10"/>
  <c r="V299" i="10" s="1"/>
  <c r="S299" i="10"/>
  <c r="R299" i="10"/>
  <c r="Q299" i="10"/>
  <c r="P299" i="10"/>
  <c r="K299" i="10"/>
  <c r="J299" i="10"/>
  <c r="U298" i="10"/>
  <c r="W298" i="10" s="1"/>
  <c r="T298" i="10"/>
  <c r="V298" i="10" s="1"/>
  <c r="S298" i="10"/>
  <c r="R298" i="10"/>
  <c r="Q298" i="10"/>
  <c r="P298" i="10"/>
  <c r="K298" i="10"/>
  <c r="J298" i="10"/>
  <c r="W297" i="10"/>
  <c r="U297" i="10"/>
  <c r="T297" i="10"/>
  <c r="V297" i="10" s="1"/>
  <c r="S297" i="10"/>
  <c r="R297" i="10"/>
  <c r="Q297" i="10"/>
  <c r="P297" i="10"/>
  <c r="K297" i="10"/>
  <c r="J297" i="10"/>
  <c r="U296" i="10"/>
  <c r="W296" i="10" s="1"/>
  <c r="T296" i="10"/>
  <c r="V296" i="10" s="1"/>
  <c r="S296" i="10"/>
  <c r="R296" i="10"/>
  <c r="Q296" i="10"/>
  <c r="P296" i="10"/>
  <c r="K296" i="10"/>
  <c r="J296" i="10"/>
  <c r="W295" i="10"/>
  <c r="U295" i="10"/>
  <c r="T295" i="10"/>
  <c r="V295" i="10" s="1"/>
  <c r="S295" i="10"/>
  <c r="R295" i="10"/>
  <c r="Q295" i="10"/>
  <c r="P295" i="10"/>
  <c r="K295" i="10"/>
  <c r="J295" i="10"/>
  <c r="W294" i="10"/>
  <c r="U294" i="10"/>
  <c r="T294" i="10"/>
  <c r="V294" i="10" s="1"/>
  <c r="S294" i="10"/>
  <c r="R294" i="10"/>
  <c r="Q294" i="10"/>
  <c r="P294" i="10"/>
  <c r="K294" i="10"/>
  <c r="J294" i="10"/>
  <c r="U293" i="10"/>
  <c r="W293" i="10" s="1"/>
  <c r="T293" i="10"/>
  <c r="V293" i="10" s="1"/>
  <c r="S293" i="10"/>
  <c r="R293" i="10"/>
  <c r="Q293" i="10"/>
  <c r="P293" i="10"/>
  <c r="K293" i="10"/>
  <c r="J293" i="10"/>
  <c r="W292" i="10"/>
  <c r="U292" i="10"/>
  <c r="T292" i="10"/>
  <c r="V292" i="10" s="1"/>
  <c r="S292" i="10"/>
  <c r="R292" i="10"/>
  <c r="Q292" i="10"/>
  <c r="P292" i="10"/>
  <c r="K292" i="10"/>
  <c r="J292" i="10"/>
  <c r="U291" i="10"/>
  <c r="W291" i="10" s="1"/>
  <c r="T291" i="10"/>
  <c r="V291" i="10" s="1"/>
  <c r="S291" i="10"/>
  <c r="R291" i="10"/>
  <c r="Q291" i="10"/>
  <c r="P291" i="10"/>
  <c r="K291" i="10"/>
  <c r="J291" i="10"/>
  <c r="U290" i="10"/>
  <c r="W290" i="10" s="1"/>
  <c r="T290" i="10"/>
  <c r="V290" i="10" s="1"/>
  <c r="S290" i="10"/>
  <c r="R290" i="10"/>
  <c r="Q290" i="10"/>
  <c r="P290" i="10"/>
  <c r="K290" i="10"/>
  <c r="J290" i="10"/>
  <c r="W289" i="10"/>
  <c r="U289" i="10"/>
  <c r="T289" i="10"/>
  <c r="V289" i="10" s="1"/>
  <c r="S289" i="10"/>
  <c r="R289" i="10"/>
  <c r="Q289" i="10"/>
  <c r="P289" i="10"/>
  <c r="K289" i="10"/>
  <c r="J289" i="10"/>
  <c r="U288" i="10"/>
  <c r="W288" i="10" s="1"/>
  <c r="T288" i="10"/>
  <c r="V288" i="10" s="1"/>
  <c r="S288" i="10"/>
  <c r="R288" i="10"/>
  <c r="Q288" i="10"/>
  <c r="P288" i="10"/>
  <c r="K288" i="10"/>
  <c r="J288" i="10"/>
  <c r="W287" i="10"/>
  <c r="U287" i="10"/>
  <c r="T287" i="10"/>
  <c r="V287" i="10" s="1"/>
  <c r="S287" i="10"/>
  <c r="R287" i="10"/>
  <c r="Q287" i="10"/>
  <c r="P287" i="10"/>
  <c r="K287" i="10"/>
  <c r="J287" i="10"/>
  <c r="W286" i="10"/>
  <c r="U286" i="10"/>
  <c r="T286" i="10"/>
  <c r="V286" i="10" s="1"/>
  <c r="S286" i="10"/>
  <c r="R286" i="10"/>
  <c r="Q286" i="10"/>
  <c r="P286" i="10"/>
  <c r="K286" i="10"/>
  <c r="J286" i="10"/>
  <c r="U285" i="10"/>
  <c r="W285" i="10" s="1"/>
  <c r="T285" i="10"/>
  <c r="V285" i="10" s="1"/>
  <c r="S285" i="10"/>
  <c r="R285" i="10"/>
  <c r="Q285" i="10"/>
  <c r="P285" i="10"/>
  <c r="K285" i="10"/>
  <c r="J285" i="10"/>
  <c r="W284" i="10"/>
  <c r="U284" i="10"/>
  <c r="T284" i="10"/>
  <c r="V284" i="10" s="1"/>
  <c r="S284" i="10"/>
  <c r="R284" i="10"/>
  <c r="Q284" i="10"/>
  <c r="P284" i="10"/>
  <c r="K284" i="10"/>
  <c r="J284" i="10"/>
  <c r="U283" i="10"/>
  <c r="W283" i="10" s="1"/>
  <c r="T283" i="10"/>
  <c r="V283" i="10" s="1"/>
  <c r="S283" i="10"/>
  <c r="R283" i="10"/>
  <c r="Q283" i="10"/>
  <c r="P283" i="10"/>
  <c r="K283" i="10"/>
  <c r="J283" i="10"/>
  <c r="V282" i="10"/>
  <c r="U282" i="10"/>
  <c r="W282" i="10" s="1"/>
  <c r="T282" i="10"/>
  <c r="S282" i="10"/>
  <c r="R282" i="10"/>
  <c r="Q282" i="10"/>
  <c r="P282" i="10"/>
  <c r="K282" i="10"/>
  <c r="J282" i="10"/>
  <c r="W281" i="10"/>
  <c r="U281" i="10"/>
  <c r="T281" i="10"/>
  <c r="V281" i="10" s="1"/>
  <c r="S281" i="10"/>
  <c r="R281" i="10"/>
  <c r="Q281" i="10"/>
  <c r="P281" i="10"/>
  <c r="K281" i="10"/>
  <c r="J281" i="10"/>
  <c r="U280" i="10"/>
  <c r="W280" i="10" s="1"/>
  <c r="T280" i="10"/>
  <c r="V280" i="10" s="1"/>
  <c r="S280" i="10"/>
  <c r="R280" i="10"/>
  <c r="Q280" i="10"/>
  <c r="P280" i="10"/>
  <c r="K280" i="10"/>
  <c r="J280" i="10"/>
  <c r="W279" i="10"/>
  <c r="U279" i="10"/>
  <c r="T279" i="10"/>
  <c r="V279" i="10" s="1"/>
  <c r="S279" i="10"/>
  <c r="R279" i="10"/>
  <c r="Q279" i="10"/>
  <c r="P279" i="10"/>
  <c r="K279" i="10"/>
  <c r="J279" i="10"/>
  <c r="W278" i="10"/>
  <c r="U278" i="10"/>
  <c r="T278" i="10"/>
  <c r="V278" i="10" s="1"/>
  <c r="S278" i="10"/>
  <c r="R278" i="10"/>
  <c r="Q278" i="10"/>
  <c r="P278" i="10"/>
  <c r="K278" i="10"/>
  <c r="J278" i="10"/>
  <c r="U277" i="10"/>
  <c r="W277" i="10" s="1"/>
  <c r="T277" i="10"/>
  <c r="V277" i="10" s="1"/>
  <c r="S277" i="10"/>
  <c r="R277" i="10"/>
  <c r="Q277" i="10"/>
  <c r="P277" i="10"/>
  <c r="K277" i="10"/>
  <c r="J277" i="10"/>
  <c r="W276" i="10"/>
  <c r="U276" i="10"/>
  <c r="T276" i="10"/>
  <c r="V276" i="10" s="1"/>
  <c r="S276" i="10"/>
  <c r="R276" i="10"/>
  <c r="Q276" i="10"/>
  <c r="P276" i="10"/>
  <c r="K276" i="10"/>
  <c r="J276" i="10"/>
  <c r="U275" i="10"/>
  <c r="W275" i="10" s="1"/>
  <c r="T275" i="10"/>
  <c r="V275" i="10" s="1"/>
  <c r="S275" i="10"/>
  <c r="R275" i="10"/>
  <c r="Q275" i="10"/>
  <c r="P275" i="10"/>
  <c r="K275" i="10"/>
  <c r="J275" i="10"/>
  <c r="U274" i="10"/>
  <c r="W274" i="10" s="1"/>
  <c r="T274" i="10"/>
  <c r="V274" i="10" s="1"/>
  <c r="S274" i="10"/>
  <c r="R274" i="10"/>
  <c r="Q274" i="10"/>
  <c r="P274" i="10"/>
  <c r="K274" i="10"/>
  <c r="J274" i="10"/>
  <c r="W273" i="10"/>
  <c r="U273" i="10"/>
  <c r="T273" i="10"/>
  <c r="V273" i="10" s="1"/>
  <c r="S273" i="10"/>
  <c r="R273" i="10"/>
  <c r="Q273" i="10"/>
  <c r="P273" i="10"/>
  <c r="K273" i="10"/>
  <c r="J273" i="10"/>
  <c r="U272" i="10"/>
  <c r="W272" i="10" s="1"/>
  <c r="T272" i="10"/>
  <c r="V272" i="10" s="1"/>
  <c r="S272" i="10"/>
  <c r="R272" i="10"/>
  <c r="Q272" i="10"/>
  <c r="P272" i="10"/>
  <c r="K272" i="10"/>
  <c r="J272" i="10"/>
  <c r="W271" i="10"/>
  <c r="U271" i="10"/>
  <c r="T271" i="10"/>
  <c r="V271" i="10" s="1"/>
  <c r="S271" i="10"/>
  <c r="R271" i="10"/>
  <c r="Q271" i="10"/>
  <c r="P271" i="10"/>
  <c r="K271" i="10"/>
  <c r="J271" i="10"/>
  <c r="W270" i="10"/>
  <c r="U270" i="10"/>
  <c r="T270" i="10"/>
  <c r="V270" i="10" s="1"/>
  <c r="S270" i="10"/>
  <c r="R270" i="10"/>
  <c r="Q270" i="10"/>
  <c r="P270" i="10"/>
  <c r="K270" i="10"/>
  <c r="J270" i="10"/>
  <c r="U269" i="10"/>
  <c r="W269" i="10" s="1"/>
  <c r="T269" i="10"/>
  <c r="V269" i="10" s="1"/>
  <c r="S269" i="10"/>
  <c r="R269" i="10"/>
  <c r="Q269" i="10"/>
  <c r="P269" i="10"/>
  <c r="K269" i="10"/>
  <c r="J269" i="10"/>
  <c r="W268" i="10"/>
  <c r="U268" i="10"/>
  <c r="T268" i="10"/>
  <c r="V268" i="10" s="1"/>
  <c r="S268" i="10"/>
  <c r="R268" i="10"/>
  <c r="Q268" i="10"/>
  <c r="P268" i="10"/>
  <c r="K268" i="10"/>
  <c r="J268" i="10"/>
  <c r="U267" i="10"/>
  <c r="W267" i="10" s="1"/>
  <c r="T267" i="10"/>
  <c r="V267" i="10" s="1"/>
  <c r="S267" i="10"/>
  <c r="R267" i="10"/>
  <c r="Q267" i="10"/>
  <c r="P267" i="10"/>
  <c r="K267" i="10"/>
  <c r="J267" i="10"/>
  <c r="U266" i="10"/>
  <c r="W266" i="10" s="1"/>
  <c r="T266" i="10"/>
  <c r="V266" i="10" s="1"/>
  <c r="S266" i="10"/>
  <c r="R266" i="10"/>
  <c r="Q266" i="10"/>
  <c r="P266" i="10"/>
  <c r="K266" i="10"/>
  <c r="J266" i="10"/>
  <c r="W265" i="10"/>
  <c r="U265" i="10"/>
  <c r="T265" i="10"/>
  <c r="V265" i="10" s="1"/>
  <c r="S265" i="10"/>
  <c r="R265" i="10"/>
  <c r="Q265" i="10"/>
  <c r="P265" i="10"/>
  <c r="K265" i="10"/>
  <c r="J265" i="10"/>
  <c r="U264" i="10"/>
  <c r="W264" i="10" s="1"/>
  <c r="T264" i="10"/>
  <c r="V264" i="10" s="1"/>
  <c r="S264" i="10"/>
  <c r="R264" i="10"/>
  <c r="Q264" i="10"/>
  <c r="P264" i="10"/>
  <c r="K264" i="10"/>
  <c r="J264" i="10"/>
  <c r="U263" i="10"/>
  <c r="W263" i="10" s="1"/>
  <c r="T263" i="10"/>
  <c r="V263" i="10" s="1"/>
  <c r="S263" i="10"/>
  <c r="R263" i="10"/>
  <c r="Q263" i="10"/>
  <c r="P263" i="10"/>
  <c r="K263" i="10"/>
  <c r="J263" i="10"/>
  <c r="W262" i="10"/>
  <c r="U262" i="10"/>
  <c r="T262" i="10"/>
  <c r="V262" i="10" s="1"/>
  <c r="S262" i="10"/>
  <c r="R262" i="10"/>
  <c r="Q262" i="10"/>
  <c r="P262" i="10"/>
  <c r="K262" i="10"/>
  <c r="J262" i="10"/>
  <c r="U261" i="10"/>
  <c r="W261" i="10" s="1"/>
  <c r="T261" i="10"/>
  <c r="V261" i="10" s="1"/>
  <c r="S261" i="10"/>
  <c r="R261" i="10"/>
  <c r="Q261" i="10"/>
  <c r="P261" i="10"/>
  <c r="K261" i="10"/>
  <c r="J261" i="10"/>
  <c r="W260" i="10"/>
  <c r="U260" i="10"/>
  <c r="T260" i="10"/>
  <c r="V260" i="10" s="1"/>
  <c r="S260" i="10"/>
  <c r="R260" i="10"/>
  <c r="Q260" i="10"/>
  <c r="P260" i="10"/>
  <c r="K260" i="10"/>
  <c r="J260" i="10"/>
  <c r="U259" i="10"/>
  <c r="W259" i="10" s="1"/>
  <c r="T259" i="10"/>
  <c r="V259" i="10" s="1"/>
  <c r="S259" i="10"/>
  <c r="R259" i="10"/>
  <c r="Q259" i="10"/>
  <c r="P259" i="10"/>
  <c r="K259" i="10"/>
  <c r="J259" i="10"/>
  <c r="V258" i="10"/>
  <c r="U258" i="10"/>
  <c r="W258" i="10" s="1"/>
  <c r="T258" i="10"/>
  <c r="S258" i="10"/>
  <c r="R258" i="10"/>
  <c r="Q258" i="10"/>
  <c r="P258" i="10"/>
  <c r="K258" i="10"/>
  <c r="J258" i="10"/>
  <c r="W257" i="10"/>
  <c r="U257" i="10"/>
  <c r="T257" i="10"/>
  <c r="V257" i="10" s="1"/>
  <c r="S257" i="10"/>
  <c r="R257" i="10"/>
  <c r="Q257" i="10"/>
  <c r="P257" i="10"/>
  <c r="K257" i="10"/>
  <c r="J257" i="10"/>
  <c r="U256" i="10"/>
  <c r="W256" i="10" s="1"/>
  <c r="T256" i="10"/>
  <c r="V256" i="10" s="1"/>
  <c r="S256" i="10"/>
  <c r="R256" i="10"/>
  <c r="Q256" i="10"/>
  <c r="P256" i="10"/>
  <c r="K256" i="10"/>
  <c r="J256" i="10"/>
  <c r="U255" i="10"/>
  <c r="W255" i="10" s="1"/>
  <c r="T255" i="10"/>
  <c r="V255" i="10" s="1"/>
  <c r="S255" i="10"/>
  <c r="R255" i="10"/>
  <c r="Q255" i="10"/>
  <c r="P255" i="10"/>
  <c r="K255" i="10"/>
  <c r="J255" i="10"/>
  <c r="W254" i="10"/>
  <c r="U254" i="10"/>
  <c r="T254" i="10"/>
  <c r="V254" i="10" s="1"/>
  <c r="S254" i="10"/>
  <c r="R254" i="10"/>
  <c r="Q254" i="10"/>
  <c r="P254" i="10"/>
  <c r="K254" i="10"/>
  <c r="J254" i="10"/>
  <c r="U253" i="10"/>
  <c r="W253" i="10" s="1"/>
  <c r="T253" i="10"/>
  <c r="V253" i="10" s="1"/>
  <c r="S253" i="10"/>
  <c r="R253" i="10"/>
  <c r="Q253" i="10"/>
  <c r="P253" i="10"/>
  <c r="K253" i="10"/>
  <c r="J253" i="10"/>
  <c r="W252" i="10"/>
  <c r="U252" i="10"/>
  <c r="T252" i="10"/>
  <c r="V252" i="10" s="1"/>
  <c r="S252" i="10"/>
  <c r="R252" i="10"/>
  <c r="Q252" i="10"/>
  <c r="P252" i="10"/>
  <c r="K252" i="10"/>
  <c r="J252" i="10"/>
  <c r="U251" i="10"/>
  <c r="W251" i="10" s="1"/>
  <c r="T251" i="10"/>
  <c r="V251" i="10" s="1"/>
  <c r="S251" i="10"/>
  <c r="R251" i="10"/>
  <c r="Q251" i="10"/>
  <c r="P251" i="10"/>
  <c r="K251" i="10"/>
  <c r="J251" i="10"/>
  <c r="U250" i="10"/>
  <c r="W250" i="10" s="1"/>
  <c r="T250" i="10"/>
  <c r="V250" i="10" s="1"/>
  <c r="S250" i="10"/>
  <c r="R250" i="10"/>
  <c r="Q250" i="10"/>
  <c r="P250" i="10"/>
  <c r="K250" i="10"/>
  <c r="J250" i="10"/>
  <c r="W249" i="10"/>
  <c r="U249" i="10"/>
  <c r="T249" i="10"/>
  <c r="V249" i="10" s="1"/>
  <c r="S249" i="10"/>
  <c r="R249" i="10"/>
  <c r="Q249" i="10"/>
  <c r="P249" i="10"/>
  <c r="K249" i="10"/>
  <c r="J249" i="10"/>
  <c r="U248" i="10"/>
  <c r="W248" i="10" s="1"/>
  <c r="T248" i="10"/>
  <c r="V248" i="10" s="1"/>
  <c r="S248" i="10"/>
  <c r="R248" i="10"/>
  <c r="Q248" i="10"/>
  <c r="P248" i="10"/>
  <c r="K248" i="10"/>
  <c r="J248" i="10"/>
  <c r="U247" i="10"/>
  <c r="W247" i="10" s="1"/>
  <c r="T247" i="10"/>
  <c r="V247" i="10" s="1"/>
  <c r="S247" i="10"/>
  <c r="R247" i="10"/>
  <c r="Q247" i="10"/>
  <c r="P247" i="10"/>
  <c r="K247" i="10"/>
  <c r="J247" i="10"/>
  <c r="W246" i="10"/>
  <c r="U246" i="10"/>
  <c r="T246" i="10"/>
  <c r="V246" i="10" s="1"/>
  <c r="S246" i="10"/>
  <c r="R246" i="10"/>
  <c r="Q246" i="10"/>
  <c r="P246" i="10"/>
  <c r="K246" i="10"/>
  <c r="J246" i="10"/>
  <c r="U245" i="10"/>
  <c r="W245" i="10" s="1"/>
  <c r="T245" i="10"/>
  <c r="V245" i="10" s="1"/>
  <c r="S245" i="10"/>
  <c r="R245" i="10"/>
  <c r="Q245" i="10"/>
  <c r="P245" i="10"/>
  <c r="K245" i="10"/>
  <c r="J245" i="10"/>
  <c r="W244" i="10"/>
  <c r="U244" i="10"/>
  <c r="T244" i="10"/>
  <c r="V244" i="10" s="1"/>
  <c r="S244" i="10"/>
  <c r="R244" i="10"/>
  <c r="Q244" i="10"/>
  <c r="P244" i="10"/>
  <c r="K244" i="10"/>
  <c r="J244" i="10"/>
  <c r="U243" i="10"/>
  <c r="W243" i="10" s="1"/>
  <c r="T243" i="10"/>
  <c r="V243" i="10" s="1"/>
  <c r="S243" i="10"/>
  <c r="R243" i="10"/>
  <c r="Q243" i="10"/>
  <c r="P243" i="10"/>
  <c r="K243" i="10"/>
  <c r="J243" i="10"/>
  <c r="U242" i="10"/>
  <c r="W242" i="10" s="1"/>
  <c r="T242" i="10"/>
  <c r="V242" i="10" s="1"/>
  <c r="S242" i="10"/>
  <c r="R242" i="10"/>
  <c r="Q242" i="10"/>
  <c r="P242" i="10"/>
  <c r="K242" i="10"/>
  <c r="J242" i="10"/>
  <c r="W241" i="10"/>
  <c r="U241" i="10"/>
  <c r="T241" i="10"/>
  <c r="V241" i="10" s="1"/>
  <c r="S241" i="10"/>
  <c r="R241" i="10"/>
  <c r="Q241" i="10"/>
  <c r="P241" i="10"/>
  <c r="K241" i="10"/>
  <c r="J241" i="10"/>
  <c r="U240" i="10"/>
  <c r="W240" i="10" s="1"/>
  <c r="T240" i="10"/>
  <c r="V240" i="10" s="1"/>
  <c r="S240" i="10"/>
  <c r="R240" i="10"/>
  <c r="Q240" i="10"/>
  <c r="P240" i="10"/>
  <c r="K240" i="10"/>
  <c r="J240" i="10"/>
  <c r="U239" i="10"/>
  <c r="W239" i="10" s="1"/>
  <c r="T239" i="10"/>
  <c r="V239" i="10" s="1"/>
  <c r="S239" i="10"/>
  <c r="R239" i="10"/>
  <c r="Q239" i="10"/>
  <c r="P239" i="10"/>
  <c r="K239" i="10"/>
  <c r="J239" i="10"/>
  <c r="W238" i="10"/>
  <c r="U238" i="10"/>
  <c r="T238" i="10"/>
  <c r="V238" i="10" s="1"/>
  <c r="S238" i="10"/>
  <c r="R238" i="10"/>
  <c r="Q238" i="10"/>
  <c r="P238" i="10"/>
  <c r="K238" i="10"/>
  <c r="J238" i="10"/>
  <c r="U237" i="10"/>
  <c r="W237" i="10" s="1"/>
  <c r="T237" i="10"/>
  <c r="V237" i="10" s="1"/>
  <c r="S237" i="10"/>
  <c r="R237" i="10"/>
  <c r="Q237" i="10"/>
  <c r="P237" i="10"/>
  <c r="K237" i="10"/>
  <c r="J237" i="10"/>
  <c r="W236" i="10"/>
  <c r="U236" i="10"/>
  <c r="T236" i="10"/>
  <c r="V236" i="10" s="1"/>
  <c r="S236" i="10"/>
  <c r="R236" i="10"/>
  <c r="Q236" i="10"/>
  <c r="P236" i="10"/>
  <c r="K236" i="10"/>
  <c r="J236" i="10"/>
  <c r="U235" i="10"/>
  <c r="W235" i="10" s="1"/>
  <c r="T235" i="10"/>
  <c r="V235" i="10" s="1"/>
  <c r="S235" i="10"/>
  <c r="R235" i="10"/>
  <c r="Q235" i="10"/>
  <c r="P235" i="10"/>
  <c r="K235" i="10"/>
  <c r="J235" i="10"/>
  <c r="U234" i="10"/>
  <c r="W234" i="10" s="1"/>
  <c r="T234" i="10"/>
  <c r="V234" i="10" s="1"/>
  <c r="S234" i="10"/>
  <c r="R234" i="10"/>
  <c r="Q234" i="10"/>
  <c r="P234" i="10"/>
  <c r="K234" i="10"/>
  <c r="J234" i="10"/>
  <c r="W233" i="10"/>
  <c r="U233" i="10"/>
  <c r="T233" i="10"/>
  <c r="V233" i="10" s="1"/>
  <c r="S233" i="10"/>
  <c r="R233" i="10"/>
  <c r="Q233" i="10"/>
  <c r="P233" i="10"/>
  <c r="K233" i="10"/>
  <c r="J233" i="10"/>
  <c r="U232" i="10"/>
  <c r="W232" i="10" s="1"/>
  <c r="T232" i="10"/>
  <c r="V232" i="10" s="1"/>
  <c r="S232" i="10"/>
  <c r="R232" i="10"/>
  <c r="Q232" i="10"/>
  <c r="P232" i="10"/>
  <c r="K232" i="10"/>
  <c r="J232" i="10"/>
  <c r="U231" i="10"/>
  <c r="W231" i="10" s="1"/>
  <c r="T231" i="10"/>
  <c r="V231" i="10" s="1"/>
  <c r="S231" i="10"/>
  <c r="R231" i="10"/>
  <c r="Q231" i="10"/>
  <c r="P231" i="10"/>
  <c r="K231" i="10"/>
  <c r="J231" i="10"/>
  <c r="W230" i="10"/>
  <c r="U230" i="10"/>
  <c r="T230" i="10"/>
  <c r="V230" i="10" s="1"/>
  <c r="S230" i="10"/>
  <c r="R230" i="10"/>
  <c r="Q230" i="10"/>
  <c r="P230" i="10"/>
  <c r="K230" i="10"/>
  <c r="J230" i="10"/>
  <c r="U229" i="10"/>
  <c r="W229" i="10" s="1"/>
  <c r="T229" i="10"/>
  <c r="V229" i="10" s="1"/>
  <c r="S229" i="10"/>
  <c r="R229" i="10"/>
  <c r="Q229" i="10"/>
  <c r="P229" i="10"/>
  <c r="K229" i="10"/>
  <c r="J229" i="10"/>
  <c r="W228" i="10"/>
  <c r="U228" i="10"/>
  <c r="T228" i="10"/>
  <c r="V228" i="10" s="1"/>
  <c r="S228" i="10"/>
  <c r="R228" i="10"/>
  <c r="Q228" i="10"/>
  <c r="P228" i="10"/>
  <c r="K228" i="10"/>
  <c r="J228" i="10"/>
  <c r="U227" i="10"/>
  <c r="W227" i="10" s="1"/>
  <c r="T227" i="10"/>
  <c r="V227" i="10" s="1"/>
  <c r="S227" i="10"/>
  <c r="R227" i="10"/>
  <c r="Q227" i="10"/>
  <c r="P227" i="10"/>
  <c r="K227" i="10"/>
  <c r="J227" i="10"/>
  <c r="V226" i="10"/>
  <c r="U226" i="10"/>
  <c r="W226" i="10" s="1"/>
  <c r="T226" i="10"/>
  <c r="S226" i="10"/>
  <c r="R226" i="10"/>
  <c r="Q226" i="10"/>
  <c r="P226" i="10"/>
  <c r="K226" i="10"/>
  <c r="J226" i="10"/>
  <c r="W225" i="10"/>
  <c r="U225" i="10"/>
  <c r="T225" i="10"/>
  <c r="V225" i="10" s="1"/>
  <c r="S225" i="10"/>
  <c r="R225" i="10"/>
  <c r="Q225" i="10"/>
  <c r="P225" i="10"/>
  <c r="K225" i="10"/>
  <c r="J225" i="10"/>
  <c r="U224" i="10"/>
  <c r="W224" i="10" s="1"/>
  <c r="T224" i="10"/>
  <c r="V224" i="10" s="1"/>
  <c r="S224" i="10"/>
  <c r="R224" i="10"/>
  <c r="Q224" i="10"/>
  <c r="P224" i="10"/>
  <c r="K224" i="10"/>
  <c r="J224" i="10"/>
  <c r="U223" i="10"/>
  <c r="W223" i="10" s="1"/>
  <c r="T223" i="10"/>
  <c r="V223" i="10" s="1"/>
  <c r="S223" i="10"/>
  <c r="R223" i="10"/>
  <c r="Q223" i="10"/>
  <c r="P223" i="10"/>
  <c r="K223" i="10"/>
  <c r="J223" i="10"/>
  <c r="W222" i="10"/>
  <c r="U222" i="10"/>
  <c r="T222" i="10"/>
  <c r="V222" i="10" s="1"/>
  <c r="S222" i="10"/>
  <c r="R222" i="10"/>
  <c r="Q222" i="10"/>
  <c r="P222" i="10"/>
  <c r="K222" i="10"/>
  <c r="J222" i="10"/>
  <c r="U221" i="10"/>
  <c r="W221" i="10" s="1"/>
  <c r="T221" i="10"/>
  <c r="V221" i="10" s="1"/>
  <c r="S221" i="10"/>
  <c r="R221" i="10"/>
  <c r="Q221" i="10"/>
  <c r="P221" i="10"/>
  <c r="K221" i="10"/>
  <c r="J221" i="10"/>
  <c r="W220" i="10"/>
  <c r="V220" i="10"/>
  <c r="U220" i="10"/>
  <c r="T220" i="10"/>
  <c r="S220" i="10"/>
  <c r="R220" i="10"/>
  <c r="Q220" i="10"/>
  <c r="P220" i="10"/>
  <c r="K220" i="10"/>
  <c r="J220" i="10"/>
  <c r="U219" i="10"/>
  <c r="W219" i="10" s="1"/>
  <c r="T219" i="10"/>
  <c r="V219" i="10" s="1"/>
  <c r="S219" i="10"/>
  <c r="R219" i="10"/>
  <c r="Q219" i="10"/>
  <c r="P219" i="10"/>
  <c r="K219" i="10"/>
  <c r="J219" i="10"/>
  <c r="U218" i="10"/>
  <c r="W218" i="10" s="1"/>
  <c r="T218" i="10"/>
  <c r="V218" i="10" s="1"/>
  <c r="S218" i="10"/>
  <c r="R218" i="10"/>
  <c r="Q218" i="10"/>
  <c r="P218" i="10"/>
  <c r="K218" i="10"/>
  <c r="J218" i="10"/>
  <c r="W217" i="10"/>
  <c r="U217" i="10"/>
  <c r="T217" i="10"/>
  <c r="V217" i="10" s="1"/>
  <c r="S217" i="10"/>
  <c r="R217" i="10"/>
  <c r="Q217" i="10"/>
  <c r="P217" i="10"/>
  <c r="K217" i="10"/>
  <c r="J217" i="10"/>
  <c r="U216" i="10"/>
  <c r="W216" i="10" s="1"/>
  <c r="T216" i="10"/>
  <c r="V216" i="10" s="1"/>
  <c r="S216" i="10"/>
  <c r="R216" i="10"/>
  <c r="Q216" i="10"/>
  <c r="P216" i="10"/>
  <c r="K216" i="10"/>
  <c r="J216" i="10"/>
  <c r="U215" i="10"/>
  <c r="W215" i="10" s="1"/>
  <c r="T215" i="10"/>
  <c r="V215" i="10" s="1"/>
  <c r="S215" i="10"/>
  <c r="R215" i="10"/>
  <c r="Q215" i="10"/>
  <c r="P215" i="10"/>
  <c r="K215" i="10"/>
  <c r="J215" i="10"/>
  <c r="W214" i="10"/>
  <c r="U214" i="10"/>
  <c r="T214" i="10"/>
  <c r="V214" i="10" s="1"/>
  <c r="S214" i="10"/>
  <c r="R214" i="10"/>
  <c r="Q214" i="10"/>
  <c r="P214" i="10"/>
  <c r="K214" i="10"/>
  <c r="J214" i="10"/>
  <c r="U213" i="10"/>
  <c r="W213" i="10" s="1"/>
  <c r="T213" i="10"/>
  <c r="V213" i="10" s="1"/>
  <c r="S213" i="10"/>
  <c r="R213" i="10"/>
  <c r="Q213" i="10"/>
  <c r="P213" i="10"/>
  <c r="K213" i="10"/>
  <c r="J213" i="10"/>
  <c r="W212" i="10"/>
  <c r="U212" i="10"/>
  <c r="T212" i="10"/>
  <c r="V212" i="10" s="1"/>
  <c r="S212" i="10"/>
  <c r="R212" i="10"/>
  <c r="Q212" i="10"/>
  <c r="P212" i="10"/>
  <c r="K212" i="10"/>
  <c r="J212" i="10"/>
  <c r="U211" i="10"/>
  <c r="W211" i="10" s="1"/>
  <c r="T211" i="10"/>
  <c r="V211" i="10" s="1"/>
  <c r="S211" i="10"/>
  <c r="R211" i="10"/>
  <c r="Q211" i="10"/>
  <c r="P211" i="10"/>
  <c r="K211" i="10"/>
  <c r="J211" i="10"/>
  <c r="U210" i="10"/>
  <c r="W210" i="10" s="1"/>
  <c r="T210" i="10"/>
  <c r="V210" i="10" s="1"/>
  <c r="S210" i="10"/>
  <c r="R210" i="10"/>
  <c r="Q210" i="10"/>
  <c r="P210" i="10"/>
  <c r="K210" i="10"/>
  <c r="J210" i="10"/>
  <c r="W209" i="10"/>
  <c r="U209" i="10"/>
  <c r="T209" i="10"/>
  <c r="V209" i="10" s="1"/>
  <c r="S209" i="10"/>
  <c r="R209" i="10"/>
  <c r="Q209" i="10"/>
  <c r="P209" i="10"/>
  <c r="K209" i="10"/>
  <c r="J209" i="10"/>
  <c r="U208" i="10"/>
  <c r="W208" i="10" s="1"/>
  <c r="T208" i="10"/>
  <c r="V208" i="10" s="1"/>
  <c r="S208" i="10"/>
  <c r="R208" i="10"/>
  <c r="Q208" i="10"/>
  <c r="P208" i="10"/>
  <c r="K208" i="10"/>
  <c r="J208" i="10"/>
  <c r="U207" i="10"/>
  <c r="W207" i="10" s="1"/>
  <c r="T207" i="10"/>
  <c r="V207" i="10" s="1"/>
  <c r="S207" i="10"/>
  <c r="R207" i="10"/>
  <c r="Q207" i="10"/>
  <c r="P207" i="10"/>
  <c r="K207" i="10"/>
  <c r="J207" i="10"/>
  <c r="W206" i="10"/>
  <c r="U206" i="10"/>
  <c r="T206" i="10"/>
  <c r="V206" i="10" s="1"/>
  <c r="S206" i="10"/>
  <c r="R206" i="10"/>
  <c r="Q206" i="10"/>
  <c r="P206" i="10"/>
  <c r="K206" i="10"/>
  <c r="J206" i="10"/>
  <c r="U205" i="10"/>
  <c r="W205" i="10" s="1"/>
  <c r="T205" i="10"/>
  <c r="V205" i="10" s="1"/>
  <c r="S205" i="10"/>
  <c r="R205" i="10"/>
  <c r="Q205" i="10"/>
  <c r="P205" i="10"/>
  <c r="K205" i="10"/>
  <c r="J205" i="10"/>
  <c r="W204" i="10"/>
  <c r="U204" i="10"/>
  <c r="T204" i="10"/>
  <c r="V204" i="10" s="1"/>
  <c r="S204" i="10"/>
  <c r="R204" i="10"/>
  <c r="Q204" i="10"/>
  <c r="P204" i="10"/>
  <c r="K204" i="10"/>
  <c r="J204" i="10"/>
  <c r="U203" i="10"/>
  <c r="W203" i="10" s="1"/>
  <c r="T203" i="10"/>
  <c r="V203" i="10" s="1"/>
  <c r="S203" i="10"/>
  <c r="R203" i="10"/>
  <c r="Q203" i="10"/>
  <c r="P203" i="10"/>
  <c r="K203" i="10"/>
  <c r="J203" i="10"/>
  <c r="U202" i="10"/>
  <c r="W202" i="10" s="1"/>
  <c r="T202" i="10"/>
  <c r="V202" i="10" s="1"/>
  <c r="S202" i="10"/>
  <c r="R202" i="10"/>
  <c r="Q202" i="10"/>
  <c r="P202" i="10"/>
  <c r="K202" i="10"/>
  <c r="J202" i="10"/>
  <c r="W201" i="10"/>
  <c r="U201" i="10"/>
  <c r="T201" i="10"/>
  <c r="V201" i="10" s="1"/>
  <c r="S201" i="10"/>
  <c r="R201" i="10"/>
  <c r="Q201" i="10"/>
  <c r="P201" i="10"/>
  <c r="K201" i="10"/>
  <c r="J201" i="10"/>
  <c r="U200" i="10"/>
  <c r="W200" i="10" s="1"/>
  <c r="T200" i="10"/>
  <c r="V200" i="10" s="1"/>
  <c r="S200" i="10"/>
  <c r="R200" i="10"/>
  <c r="Q200" i="10"/>
  <c r="P200" i="10"/>
  <c r="K200" i="10"/>
  <c r="J200" i="10"/>
  <c r="U199" i="10"/>
  <c r="W199" i="10" s="1"/>
  <c r="T199" i="10"/>
  <c r="V199" i="10" s="1"/>
  <c r="S199" i="10"/>
  <c r="R199" i="10"/>
  <c r="Q199" i="10"/>
  <c r="P199" i="10"/>
  <c r="K199" i="10"/>
  <c r="J199" i="10"/>
  <c r="W198" i="10"/>
  <c r="U198" i="10"/>
  <c r="T198" i="10"/>
  <c r="V198" i="10" s="1"/>
  <c r="S198" i="10"/>
  <c r="R198" i="10"/>
  <c r="Q198" i="10"/>
  <c r="P198" i="10"/>
  <c r="K198" i="10"/>
  <c r="J198" i="10"/>
  <c r="U197" i="10"/>
  <c r="W197" i="10" s="1"/>
  <c r="T197" i="10"/>
  <c r="V197" i="10" s="1"/>
  <c r="S197" i="10"/>
  <c r="R197" i="10"/>
  <c r="Q197" i="10"/>
  <c r="P197" i="10"/>
  <c r="K197" i="10"/>
  <c r="J197" i="10"/>
  <c r="W196" i="10"/>
  <c r="U196" i="10"/>
  <c r="T196" i="10"/>
  <c r="V196" i="10" s="1"/>
  <c r="S196" i="10"/>
  <c r="R196" i="10"/>
  <c r="Q196" i="10"/>
  <c r="P196" i="10"/>
  <c r="K196" i="10"/>
  <c r="J196" i="10"/>
  <c r="U195" i="10"/>
  <c r="W195" i="10" s="1"/>
  <c r="T195" i="10"/>
  <c r="V195" i="10" s="1"/>
  <c r="S195" i="10"/>
  <c r="R195" i="10"/>
  <c r="Q195" i="10"/>
  <c r="P195" i="10"/>
  <c r="K195" i="10"/>
  <c r="J195" i="10"/>
  <c r="U194" i="10"/>
  <c r="W194" i="10" s="1"/>
  <c r="T194" i="10"/>
  <c r="V194" i="10" s="1"/>
  <c r="S194" i="10"/>
  <c r="R194" i="10"/>
  <c r="Q194" i="10"/>
  <c r="P194" i="10"/>
  <c r="K194" i="10"/>
  <c r="J194" i="10"/>
  <c r="W193" i="10"/>
  <c r="U193" i="10"/>
  <c r="T193" i="10"/>
  <c r="V193" i="10" s="1"/>
  <c r="S193" i="10"/>
  <c r="R193" i="10"/>
  <c r="Q193" i="10"/>
  <c r="P193" i="10"/>
  <c r="K193" i="10"/>
  <c r="J193" i="10"/>
  <c r="U192" i="10"/>
  <c r="W192" i="10" s="1"/>
  <c r="T192" i="10"/>
  <c r="V192" i="10" s="1"/>
  <c r="S192" i="10"/>
  <c r="R192" i="10"/>
  <c r="Q192" i="10"/>
  <c r="P192" i="10"/>
  <c r="K192" i="10"/>
  <c r="J192" i="10"/>
  <c r="U191" i="10"/>
  <c r="W191" i="10" s="1"/>
  <c r="T191" i="10"/>
  <c r="V191" i="10" s="1"/>
  <c r="S191" i="10"/>
  <c r="R191" i="10"/>
  <c r="Q191" i="10"/>
  <c r="P191" i="10"/>
  <c r="K191" i="10"/>
  <c r="J191" i="10"/>
  <c r="W190" i="10"/>
  <c r="U190" i="10"/>
  <c r="T190" i="10"/>
  <c r="V190" i="10" s="1"/>
  <c r="S190" i="10"/>
  <c r="R190" i="10"/>
  <c r="Q190" i="10"/>
  <c r="P190" i="10"/>
  <c r="K190" i="10"/>
  <c r="J190" i="10"/>
  <c r="U189" i="10"/>
  <c r="W189" i="10" s="1"/>
  <c r="T189" i="10"/>
  <c r="V189" i="10" s="1"/>
  <c r="S189" i="10"/>
  <c r="R189" i="10"/>
  <c r="Q189" i="10"/>
  <c r="P189" i="10"/>
  <c r="K189" i="10"/>
  <c r="J189" i="10"/>
  <c r="W188" i="10"/>
  <c r="U188" i="10"/>
  <c r="T188" i="10"/>
  <c r="V188" i="10" s="1"/>
  <c r="S188" i="10"/>
  <c r="R188" i="10"/>
  <c r="Q188" i="10"/>
  <c r="P188" i="10"/>
  <c r="K188" i="10"/>
  <c r="J188" i="10"/>
  <c r="U187" i="10"/>
  <c r="W187" i="10" s="1"/>
  <c r="T187" i="10"/>
  <c r="V187" i="10" s="1"/>
  <c r="S187" i="10"/>
  <c r="R187" i="10"/>
  <c r="Q187" i="10"/>
  <c r="P187" i="10"/>
  <c r="K187" i="10"/>
  <c r="J187" i="10"/>
  <c r="U186" i="10"/>
  <c r="W186" i="10" s="1"/>
  <c r="T186" i="10"/>
  <c r="V186" i="10" s="1"/>
  <c r="S186" i="10"/>
  <c r="R186" i="10"/>
  <c r="Q186" i="10"/>
  <c r="P186" i="10"/>
  <c r="K186" i="10"/>
  <c r="J186" i="10"/>
  <c r="W185" i="10"/>
  <c r="U185" i="10"/>
  <c r="T185" i="10"/>
  <c r="V185" i="10" s="1"/>
  <c r="S185" i="10"/>
  <c r="R185" i="10"/>
  <c r="Q185" i="10"/>
  <c r="P185" i="10"/>
  <c r="K185" i="10"/>
  <c r="J185" i="10"/>
  <c r="U184" i="10"/>
  <c r="W184" i="10" s="1"/>
  <c r="T184" i="10"/>
  <c r="V184" i="10" s="1"/>
  <c r="S184" i="10"/>
  <c r="R184" i="10"/>
  <c r="Q184" i="10"/>
  <c r="P184" i="10"/>
  <c r="K184" i="10"/>
  <c r="J184" i="10"/>
  <c r="U183" i="10"/>
  <c r="W183" i="10" s="1"/>
  <c r="T183" i="10"/>
  <c r="V183" i="10" s="1"/>
  <c r="S183" i="10"/>
  <c r="R183" i="10"/>
  <c r="Q183" i="10"/>
  <c r="P183" i="10"/>
  <c r="K183" i="10"/>
  <c r="J183" i="10"/>
  <c r="W182" i="10"/>
  <c r="U182" i="10"/>
  <c r="T182" i="10"/>
  <c r="V182" i="10" s="1"/>
  <c r="S182" i="10"/>
  <c r="R182" i="10"/>
  <c r="Q182" i="10"/>
  <c r="P182" i="10"/>
  <c r="K182" i="10"/>
  <c r="J182" i="10"/>
  <c r="U181" i="10"/>
  <c r="W181" i="10" s="1"/>
  <c r="T181" i="10"/>
  <c r="V181" i="10" s="1"/>
  <c r="S181" i="10"/>
  <c r="R181" i="10"/>
  <c r="Q181" i="10"/>
  <c r="P181" i="10"/>
  <c r="K181" i="10"/>
  <c r="J181" i="10"/>
  <c r="W180" i="10"/>
  <c r="U180" i="10"/>
  <c r="T180" i="10"/>
  <c r="V180" i="10" s="1"/>
  <c r="S180" i="10"/>
  <c r="R180" i="10"/>
  <c r="Q180" i="10"/>
  <c r="P180" i="10"/>
  <c r="K180" i="10"/>
  <c r="J180" i="10"/>
  <c r="U179" i="10"/>
  <c r="W179" i="10" s="1"/>
  <c r="T179" i="10"/>
  <c r="V179" i="10" s="1"/>
  <c r="S179" i="10"/>
  <c r="R179" i="10"/>
  <c r="Q179" i="10"/>
  <c r="P179" i="10"/>
  <c r="K179" i="10"/>
  <c r="J179" i="10"/>
  <c r="U178" i="10"/>
  <c r="W178" i="10" s="1"/>
  <c r="T178" i="10"/>
  <c r="V178" i="10" s="1"/>
  <c r="S178" i="10"/>
  <c r="R178" i="10"/>
  <c r="Q178" i="10"/>
  <c r="P178" i="10"/>
  <c r="K178" i="10"/>
  <c r="J178" i="10"/>
  <c r="W177" i="10"/>
  <c r="U177" i="10"/>
  <c r="T177" i="10"/>
  <c r="V177" i="10" s="1"/>
  <c r="S177" i="10"/>
  <c r="R177" i="10"/>
  <c r="Q177" i="10"/>
  <c r="P177" i="10"/>
  <c r="K177" i="10"/>
  <c r="J177" i="10"/>
  <c r="U176" i="10"/>
  <c r="W176" i="10" s="1"/>
  <c r="T176" i="10"/>
  <c r="V176" i="10" s="1"/>
  <c r="S176" i="10"/>
  <c r="R176" i="10"/>
  <c r="Q176" i="10"/>
  <c r="P176" i="10"/>
  <c r="K176" i="10"/>
  <c r="J176" i="10"/>
  <c r="U175" i="10"/>
  <c r="W175" i="10" s="1"/>
  <c r="T175" i="10"/>
  <c r="V175" i="10" s="1"/>
  <c r="S175" i="10"/>
  <c r="R175" i="10"/>
  <c r="Q175" i="10"/>
  <c r="P175" i="10"/>
  <c r="K175" i="10"/>
  <c r="J175" i="10"/>
  <c r="W174" i="10"/>
  <c r="U174" i="10"/>
  <c r="T174" i="10"/>
  <c r="V174" i="10" s="1"/>
  <c r="S174" i="10"/>
  <c r="R174" i="10"/>
  <c r="Q174" i="10"/>
  <c r="P174" i="10"/>
  <c r="K174" i="10"/>
  <c r="J174" i="10"/>
  <c r="U173" i="10"/>
  <c r="W173" i="10" s="1"/>
  <c r="T173" i="10"/>
  <c r="V173" i="10" s="1"/>
  <c r="S173" i="10"/>
  <c r="R173" i="10"/>
  <c r="Q173" i="10"/>
  <c r="P173" i="10"/>
  <c r="K173" i="10"/>
  <c r="J173" i="10"/>
  <c r="W172" i="10"/>
  <c r="U172" i="10"/>
  <c r="T172" i="10"/>
  <c r="V172" i="10" s="1"/>
  <c r="S172" i="10"/>
  <c r="R172" i="10"/>
  <c r="Q172" i="10"/>
  <c r="P172" i="10"/>
  <c r="K172" i="10"/>
  <c r="J172" i="10"/>
  <c r="U171" i="10"/>
  <c r="W171" i="10" s="1"/>
  <c r="T171" i="10"/>
  <c r="V171" i="10" s="1"/>
  <c r="S171" i="10"/>
  <c r="R171" i="10"/>
  <c r="Q171" i="10"/>
  <c r="P171" i="10"/>
  <c r="K171" i="10"/>
  <c r="J171" i="10"/>
  <c r="U170" i="10"/>
  <c r="W170" i="10" s="1"/>
  <c r="T170" i="10"/>
  <c r="V170" i="10" s="1"/>
  <c r="S170" i="10"/>
  <c r="R170" i="10"/>
  <c r="Q170" i="10"/>
  <c r="P170" i="10"/>
  <c r="K170" i="10"/>
  <c r="J170" i="10"/>
  <c r="W169" i="10"/>
  <c r="U169" i="10"/>
  <c r="T169" i="10"/>
  <c r="V169" i="10" s="1"/>
  <c r="S169" i="10"/>
  <c r="R169" i="10"/>
  <c r="Q169" i="10"/>
  <c r="P169" i="10"/>
  <c r="K169" i="10"/>
  <c r="J169" i="10"/>
  <c r="U168" i="10"/>
  <c r="W168" i="10" s="1"/>
  <c r="T168" i="10"/>
  <c r="V168" i="10" s="1"/>
  <c r="S168" i="10"/>
  <c r="R168" i="10"/>
  <c r="Q168" i="10"/>
  <c r="P168" i="10"/>
  <c r="K168" i="10"/>
  <c r="J168" i="10"/>
  <c r="U167" i="10"/>
  <c r="W167" i="10" s="1"/>
  <c r="T167" i="10"/>
  <c r="V167" i="10" s="1"/>
  <c r="S167" i="10"/>
  <c r="R167" i="10"/>
  <c r="Q167" i="10"/>
  <c r="P167" i="10"/>
  <c r="K167" i="10"/>
  <c r="J167" i="10"/>
  <c r="W166" i="10"/>
  <c r="U166" i="10"/>
  <c r="T166" i="10"/>
  <c r="V166" i="10" s="1"/>
  <c r="S166" i="10"/>
  <c r="R166" i="10"/>
  <c r="Q166" i="10"/>
  <c r="P166" i="10"/>
  <c r="K166" i="10"/>
  <c r="J166" i="10"/>
  <c r="U165" i="10"/>
  <c r="W165" i="10" s="1"/>
  <c r="T165" i="10"/>
  <c r="V165" i="10" s="1"/>
  <c r="S165" i="10"/>
  <c r="R165" i="10"/>
  <c r="Q165" i="10"/>
  <c r="P165" i="10"/>
  <c r="K165" i="10"/>
  <c r="J165" i="10"/>
  <c r="W164" i="10"/>
  <c r="U164" i="10"/>
  <c r="T164" i="10"/>
  <c r="V164" i="10" s="1"/>
  <c r="S164" i="10"/>
  <c r="R164" i="10"/>
  <c r="Q164" i="10"/>
  <c r="P164" i="10"/>
  <c r="K164" i="10"/>
  <c r="J164" i="10"/>
  <c r="U163" i="10"/>
  <c r="W163" i="10" s="1"/>
  <c r="T163" i="10"/>
  <c r="V163" i="10" s="1"/>
  <c r="S163" i="10"/>
  <c r="R163" i="10"/>
  <c r="Q163" i="10"/>
  <c r="P163" i="10"/>
  <c r="K163" i="10"/>
  <c r="J163" i="10"/>
  <c r="U162" i="10"/>
  <c r="W162" i="10" s="1"/>
  <c r="T162" i="10"/>
  <c r="V162" i="10" s="1"/>
  <c r="S162" i="10"/>
  <c r="R162" i="10"/>
  <c r="Q162" i="10"/>
  <c r="P162" i="10"/>
  <c r="K162" i="10"/>
  <c r="J162" i="10"/>
  <c r="W161" i="10"/>
  <c r="U161" i="10"/>
  <c r="T161" i="10"/>
  <c r="V161" i="10" s="1"/>
  <c r="S161" i="10"/>
  <c r="R161" i="10"/>
  <c r="Q161" i="10"/>
  <c r="P161" i="10"/>
  <c r="K161" i="10"/>
  <c r="J161" i="10"/>
  <c r="U160" i="10"/>
  <c r="W160" i="10" s="1"/>
  <c r="T160" i="10"/>
  <c r="V160" i="10" s="1"/>
  <c r="S160" i="10"/>
  <c r="R160" i="10"/>
  <c r="Q160" i="10"/>
  <c r="P160" i="10"/>
  <c r="K160" i="10"/>
  <c r="J160" i="10"/>
  <c r="U159" i="10"/>
  <c r="W159" i="10" s="1"/>
  <c r="T159" i="10"/>
  <c r="V159" i="10" s="1"/>
  <c r="S159" i="10"/>
  <c r="R159" i="10"/>
  <c r="Q159" i="10"/>
  <c r="P159" i="10"/>
  <c r="K159" i="10"/>
  <c r="J159" i="10"/>
  <c r="W158" i="10"/>
  <c r="U158" i="10"/>
  <c r="T158" i="10"/>
  <c r="V158" i="10" s="1"/>
  <c r="S158" i="10"/>
  <c r="R158" i="10"/>
  <c r="Q158" i="10"/>
  <c r="P158" i="10"/>
  <c r="K158" i="10"/>
  <c r="J158" i="10"/>
  <c r="U157" i="10"/>
  <c r="W157" i="10" s="1"/>
  <c r="T157" i="10"/>
  <c r="V157" i="10" s="1"/>
  <c r="S157" i="10"/>
  <c r="R157" i="10"/>
  <c r="Q157" i="10"/>
  <c r="P157" i="10"/>
  <c r="K157" i="10"/>
  <c r="J157" i="10"/>
  <c r="W156" i="10"/>
  <c r="U156" i="10"/>
  <c r="T156" i="10"/>
  <c r="V156" i="10" s="1"/>
  <c r="S156" i="10"/>
  <c r="R156" i="10"/>
  <c r="Q156" i="10"/>
  <c r="P156" i="10"/>
  <c r="K156" i="10"/>
  <c r="J156" i="10"/>
  <c r="U155" i="10"/>
  <c r="W155" i="10" s="1"/>
  <c r="T155" i="10"/>
  <c r="V155" i="10" s="1"/>
  <c r="S155" i="10"/>
  <c r="R155" i="10"/>
  <c r="Q155" i="10"/>
  <c r="P155" i="10"/>
  <c r="K155" i="10"/>
  <c r="J155" i="10"/>
  <c r="U154" i="10"/>
  <c r="W154" i="10" s="1"/>
  <c r="T154" i="10"/>
  <c r="V154" i="10" s="1"/>
  <c r="S154" i="10"/>
  <c r="R154" i="10"/>
  <c r="Q154" i="10"/>
  <c r="P154" i="10"/>
  <c r="K154" i="10"/>
  <c r="J154" i="10"/>
  <c r="W153" i="10"/>
  <c r="U153" i="10"/>
  <c r="T153" i="10"/>
  <c r="V153" i="10" s="1"/>
  <c r="S153" i="10"/>
  <c r="R153" i="10"/>
  <c r="Q153" i="10"/>
  <c r="P153" i="10"/>
  <c r="K153" i="10"/>
  <c r="J153" i="10"/>
  <c r="U152" i="10"/>
  <c r="W152" i="10" s="1"/>
  <c r="T152" i="10"/>
  <c r="V152" i="10" s="1"/>
  <c r="S152" i="10"/>
  <c r="R152" i="10"/>
  <c r="Q152" i="10"/>
  <c r="P152" i="10"/>
  <c r="K152" i="10"/>
  <c r="J152" i="10"/>
  <c r="W151" i="10"/>
  <c r="U151" i="10"/>
  <c r="T151" i="10"/>
  <c r="V151" i="10" s="1"/>
  <c r="S151" i="10"/>
  <c r="R151" i="10"/>
  <c r="Q151" i="10"/>
  <c r="P151" i="10"/>
  <c r="K151" i="10"/>
  <c r="J151" i="10"/>
  <c r="W150" i="10"/>
  <c r="U150" i="10"/>
  <c r="T150" i="10"/>
  <c r="V150" i="10" s="1"/>
  <c r="S150" i="10"/>
  <c r="R150" i="10"/>
  <c r="Q150" i="10"/>
  <c r="P150" i="10"/>
  <c r="K150" i="10"/>
  <c r="J150" i="10"/>
  <c r="U149" i="10"/>
  <c r="W149" i="10" s="1"/>
  <c r="T149" i="10"/>
  <c r="V149" i="10" s="1"/>
  <c r="S149" i="10"/>
  <c r="R149" i="10"/>
  <c r="Q149" i="10"/>
  <c r="P149" i="10"/>
  <c r="K149" i="10"/>
  <c r="J149" i="10"/>
  <c r="W148" i="10"/>
  <c r="U148" i="10"/>
  <c r="T148" i="10"/>
  <c r="V148" i="10" s="1"/>
  <c r="S148" i="10"/>
  <c r="R148" i="10"/>
  <c r="Q148" i="10"/>
  <c r="P148" i="10"/>
  <c r="K148" i="10"/>
  <c r="J148" i="10"/>
  <c r="U147" i="10"/>
  <c r="W147" i="10" s="1"/>
  <c r="T147" i="10"/>
  <c r="V147" i="10" s="1"/>
  <c r="S147" i="10"/>
  <c r="R147" i="10"/>
  <c r="Q147" i="10"/>
  <c r="P147" i="10"/>
  <c r="K147" i="10"/>
  <c r="J147" i="10"/>
  <c r="V146" i="10"/>
  <c r="U146" i="10"/>
  <c r="W146" i="10" s="1"/>
  <c r="T146" i="10"/>
  <c r="S146" i="10"/>
  <c r="R146" i="10"/>
  <c r="Q146" i="10"/>
  <c r="P146" i="10"/>
  <c r="K146" i="10"/>
  <c r="J146" i="10"/>
  <c r="W145" i="10"/>
  <c r="U145" i="10"/>
  <c r="T145" i="10"/>
  <c r="V145" i="10" s="1"/>
  <c r="S145" i="10"/>
  <c r="R145" i="10"/>
  <c r="Q145" i="10"/>
  <c r="P145" i="10"/>
  <c r="K145" i="10"/>
  <c r="J145" i="10"/>
  <c r="U144" i="10"/>
  <c r="W144" i="10" s="1"/>
  <c r="T144" i="10"/>
  <c r="V144" i="10" s="1"/>
  <c r="S144" i="10"/>
  <c r="R144" i="10"/>
  <c r="Q144" i="10"/>
  <c r="P144" i="10"/>
  <c r="K144" i="10"/>
  <c r="J144" i="10"/>
  <c r="U143" i="10"/>
  <c r="W143" i="10" s="1"/>
  <c r="T143" i="10"/>
  <c r="V143" i="10" s="1"/>
  <c r="S143" i="10"/>
  <c r="R143" i="10"/>
  <c r="Q143" i="10"/>
  <c r="P143" i="10"/>
  <c r="K143" i="10"/>
  <c r="J143" i="10"/>
  <c r="W142" i="10"/>
  <c r="U142" i="10"/>
  <c r="T142" i="10"/>
  <c r="V142" i="10" s="1"/>
  <c r="S142" i="10"/>
  <c r="R142" i="10"/>
  <c r="Q142" i="10"/>
  <c r="P142" i="10"/>
  <c r="K142" i="10"/>
  <c r="J142" i="10"/>
  <c r="U141" i="10"/>
  <c r="W141" i="10" s="1"/>
  <c r="T141" i="10"/>
  <c r="V141" i="10" s="1"/>
  <c r="S141" i="10"/>
  <c r="R141" i="10"/>
  <c r="Q141" i="10"/>
  <c r="P141" i="10"/>
  <c r="K141" i="10"/>
  <c r="J141" i="10"/>
  <c r="W140" i="10"/>
  <c r="V140" i="10"/>
  <c r="U140" i="10"/>
  <c r="T140" i="10"/>
  <c r="S140" i="10"/>
  <c r="R140" i="10"/>
  <c r="Q140" i="10"/>
  <c r="P140" i="10"/>
  <c r="K140" i="10"/>
  <c r="J140" i="10"/>
  <c r="U139" i="10"/>
  <c r="W139" i="10" s="1"/>
  <c r="T139" i="10"/>
  <c r="V139" i="10" s="1"/>
  <c r="S139" i="10"/>
  <c r="R139" i="10"/>
  <c r="Q139" i="10"/>
  <c r="P139" i="10"/>
  <c r="K139" i="10"/>
  <c r="J139" i="10"/>
  <c r="U138" i="10"/>
  <c r="W138" i="10" s="1"/>
  <c r="T138" i="10"/>
  <c r="V138" i="10" s="1"/>
  <c r="S138" i="10"/>
  <c r="R138" i="10"/>
  <c r="Q138" i="10"/>
  <c r="P138" i="10"/>
  <c r="K138" i="10"/>
  <c r="J138" i="10"/>
  <c r="W137" i="10"/>
  <c r="U137" i="10"/>
  <c r="T137" i="10"/>
  <c r="V137" i="10" s="1"/>
  <c r="S137" i="10"/>
  <c r="R137" i="10"/>
  <c r="Q137" i="10"/>
  <c r="P137" i="10"/>
  <c r="K137" i="10"/>
  <c r="J137" i="10"/>
  <c r="U136" i="10"/>
  <c r="W136" i="10" s="1"/>
  <c r="T136" i="10"/>
  <c r="V136" i="10" s="1"/>
  <c r="S136" i="10"/>
  <c r="R136" i="10"/>
  <c r="Q136" i="10"/>
  <c r="P136" i="10"/>
  <c r="K136" i="10"/>
  <c r="J136" i="10"/>
  <c r="W135" i="10"/>
  <c r="U135" i="10"/>
  <c r="T135" i="10"/>
  <c r="V135" i="10" s="1"/>
  <c r="S135" i="10"/>
  <c r="R135" i="10"/>
  <c r="Q135" i="10"/>
  <c r="P135" i="10"/>
  <c r="K135" i="10"/>
  <c r="J135" i="10"/>
  <c r="W134" i="10"/>
  <c r="U134" i="10"/>
  <c r="T134" i="10"/>
  <c r="V134" i="10" s="1"/>
  <c r="S134" i="10"/>
  <c r="R134" i="10"/>
  <c r="Q134" i="10"/>
  <c r="P134" i="10"/>
  <c r="K134" i="10"/>
  <c r="J134" i="10"/>
  <c r="U133" i="10"/>
  <c r="W133" i="10" s="1"/>
  <c r="T133" i="10"/>
  <c r="V133" i="10" s="1"/>
  <c r="S133" i="10"/>
  <c r="R133" i="10"/>
  <c r="Q133" i="10"/>
  <c r="P133" i="10"/>
  <c r="K133" i="10"/>
  <c r="J133" i="10"/>
  <c r="W132" i="10"/>
  <c r="U132" i="10"/>
  <c r="T132" i="10"/>
  <c r="V132" i="10" s="1"/>
  <c r="S132" i="10"/>
  <c r="R132" i="10"/>
  <c r="Q132" i="10"/>
  <c r="P132" i="10"/>
  <c r="K132" i="10"/>
  <c r="J132" i="10"/>
  <c r="U131" i="10"/>
  <c r="W131" i="10" s="1"/>
  <c r="T131" i="10"/>
  <c r="V131" i="10" s="1"/>
  <c r="S131" i="10"/>
  <c r="R131" i="10"/>
  <c r="Q131" i="10"/>
  <c r="P131" i="10"/>
  <c r="K131" i="10"/>
  <c r="J131" i="10"/>
  <c r="U130" i="10"/>
  <c r="W130" i="10" s="1"/>
  <c r="T130" i="10"/>
  <c r="V130" i="10" s="1"/>
  <c r="S130" i="10"/>
  <c r="R130" i="10"/>
  <c r="Q130" i="10"/>
  <c r="P130" i="10"/>
  <c r="K130" i="10"/>
  <c r="J130" i="10"/>
  <c r="W129" i="10"/>
  <c r="U129" i="10"/>
  <c r="T129" i="10"/>
  <c r="V129" i="10" s="1"/>
  <c r="S129" i="10"/>
  <c r="R129" i="10"/>
  <c r="Q129" i="10"/>
  <c r="P129" i="10"/>
  <c r="K129" i="10"/>
  <c r="J129" i="10"/>
  <c r="U128" i="10"/>
  <c r="W128" i="10" s="1"/>
  <c r="T128" i="10"/>
  <c r="V128" i="10" s="1"/>
  <c r="S128" i="10"/>
  <c r="R128" i="10"/>
  <c r="Q128" i="10"/>
  <c r="P128" i="10"/>
  <c r="K128" i="10"/>
  <c r="J128" i="10"/>
  <c r="U127" i="10"/>
  <c r="W127" i="10" s="1"/>
  <c r="T127" i="10"/>
  <c r="V127" i="10" s="1"/>
  <c r="S127" i="10"/>
  <c r="R127" i="10"/>
  <c r="Q127" i="10"/>
  <c r="P127" i="10"/>
  <c r="K127" i="10"/>
  <c r="J127" i="10"/>
  <c r="W126" i="10"/>
  <c r="U126" i="10"/>
  <c r="T126" i="10"/>
  <c r="V126" i="10" s="1"/>
  <c r="S126" i="10"/>
  <c r="R126" i="10"/>
  <c r="Q126" i="10"/>
  <c r="P126" i="10"/>
  <c r="K126" i="10"/>
  <c r="J126" i="10"/>
  <c r="U125" i="10"/>
  <c r="W125" i="10" s="1"/>
  <c r="T125" i="10"/>
  <c r="V125" i="10" s="1"/>
  <c r="S125" i="10"/>
  <c r="R125" i="10"/>
  <c r="Q125" i="10"/>
  <c r="P125" i="10"/>
  <c r="K125" i="10"/>
  <c r="J125" i="10"/>
  <c r="W124" i="10"/>
  <c r="U124" i="10"/>
  <c r="T124" i="10"/>
  <c r="V124" i="10" s="1"/>
  <c r="S124" i="10"/>
  <c r="R124" i="10"/>
  <c r="Q124" i="10"/>
  <c r="P124" i="10"/>
  <c r="K124" i="10"/>
  <c r="J124" i="10"/>
  <c r="U123" i="10"/>
  <c r="W123" i="10" s="1"/>
  <c r="T123" i="10"/>
  <c r="V123" i="10" s="1"/>
  <c r="S123" i="10"/>
  <c r="R123" i="10"/>
  <c r="Q123" i="10"/>
  <c r="P123" i="10"/>
  <c r="K123" i="10"/>
  <c r="J123" i="10"/>
  <c r="U122" i="10"/>
  <c r="W122" i="10" s="1"/>
  <c r="T122" i="10"/>
  <c r="V122" i="10" s="1"/>
  <c r="S122" i="10"/>
  <c r="R122" i="10"/>
  <c r="Q122" i="10"/>
  <c r="P122" i="10"/>
  <c r="K122" i="10"/>
  <c r="J122" i="10"/>
  <c r="W121" i="10"/>
  <c r="U121" i="10"/>
  <c r="T121" i="10"/>
  <c r="V121" i="10" s="1"/>
  <c r="S121" i="10"/>
  <c r="R121" i="10"/>
  <c r="Q121" i="10"/>
  <c r="P121" i="10"/>
  <c r="K121" i="10"/>
  <c r="J121" i="10"/>
  <c r="U120" i="10"/>
  <c r="W120" i="10" s="1"/>
  <c r="T120" i="10"/>
  <c r="V120" i="10" s="1"/>
  <c r="S120" i="10"/>
  <c r="R120" i="10"/>
  <c r="Q120" i="10"/>
  <c r="P120" i="10"/>
  <c r="K120" i="10"/>
  <c r="J120" i="10"/>
  <c r="W119" i="10"/>
  <c r="U119" i="10"/>
  <c r="T119" i="10"/>
  <c r="V119" i="10" s="1"/>
  <c r="S119" i="10"/>
  <c r="R119" i="10"/>
  <c r="Q119" i="10"/>
  <c r="P119" i="10"/>
  <c r="K119" i="10"/>
  <c r="J119" i="10"/>
  <c r="U118" i="10"/>
  <c r="W118" i="10" s="1"/>
  <c r="T118" i="10"/>
  <c r="V118" i="10" s="1"/>
  <c r="S118" i="10"/>
  <c r="R118" i="10"/>
  <c r="Q118" i="10"/>
  <c r="P118" i="10"/>
  <c r="K118" i="10"/>
  <c r="J118" i="10"/>
  <c r="U117" i="10"/>
  <c r="W117" i="10" s="1"/>
  <c r="T117" i="10"/>
  <c r="V117" i="10" s="1"/>
  <c r="S117" i="10"/>
  <c r="R117" i="10"/>
  <c r="Q117" i="10"/>
  <c r="P117" i="10"/>
  <c r="K117" i="10"/>
  <c r="J117" i="10"/>
  <c r="W116" i="10"/>
  <c r="U116" i="10"/>
  <c r="T116" i="10"/>
  <c r="V116" i="10" s="1"/>
  <c r="S116" i="10"/>
  <c r="R116" i="10"/>
  <c r="Q116" i="10"/>
  <c r="P116" i="10"/>
  <c r="K116" i="10"/>
  <c r="J116" i="10"/>
  <c r="W115" i="10"/>
  <c r="U115" i="10"/>
  <c r="T115" i="10"/>
  <c r="V115" i="10" s="1"/>
  <c r="S115" i="10"/>
  <c r="R115" i="10"/>
  <c r="Q115" i="10"/>
  <c r="P115" i="10"/>
  <c r="K115" i="10"/>
  <c r="J115" i="10"/>
  <c r="U114" i="10"/>
  <c r="W114" i="10" s="1"/>
  <c r="T114" i="10"/>
  <c r="V114" i="10" s="1"/>
  <c r="S114" i="10"/>
  <c r="R114" i="10"/>
  <c r="Q114" i="10"/>
  <c r="P114" i="10"/>
  <c r="K114" i="10"/>
  <c r="J114" i="10"/>
  <c r="W113" i="10"/>
  <c r="U113" i="10"/>
  <c r="T113" i="10"/>
  <c r="V113" i="10" s="1"/>
  <c r="S113" i="10"/>
  <c r="R113" i="10"/>
  <c r="Q113" i="10"/>
  <c r="P113" i="10"/>
  <c r="K113" i="10"/>
  <c r="J113" i="10"/>
  <c r="U112" i="10"/>
  <c r="W112" i="10" s="1"/>
  <c r="T112" i="10"/>
  <c r="V112" i="10" s="1"/>
  <c r="S112" i="10"/>
  <c r="R112" i="10"/>
  <c r="Q112" i="10"/>
  <c r="P112" i="10"/>
  <c r="K112" i="10"/>
  <c r="J112" i="10"/>
  <c r="U111" i="10"/>
  <c r="W111" i="10" s="1"/>
  <c r="T111" i="10"/>
  <c r="V111" i="10" s="1"/>
  <c r="S111" i="10"/>
  <c r="R111" i="10"/>
  <c r="Q111" i="10"/>
  <c r="P111" i="10"/>
  <c r="K111" i="10"/>
  <c r="J111" i="10"/>
  <c r="W110" i="10"/>
  <c r="U110" i="10"/>
  <c r="T110" i="10"/>
  <c r="V110" i="10" s="1"/>
  <c r="S110" i="10"/>
  <c r="R110" i="10"/>
  <c r="Q110" i="10"/>
  <c r="P110" i="10"/>
  <c r="K110" i="10"/>
  <c r="J110" i="10"/>
  <c r="W109" i="10"/>
  <c r="U109" i="10"/>
  <c r="T109" i="10"/>
  <c r="V109" i="10" s="1"/>
  <c r="S109" i="10"/>
  <c r="R109" i="10"/>
  <c r="Q109" i="10"/>
  <c r="P109" i="10"/>
  <c r="K109" i="10"/>
  <c r="J109" i="10"/>
  <c r="W108" i="10"/>
  <c r="U108" i="10"/>
  <c r="T108" i="10"/>
  <c r="V108" i="10" s="1"/>
  <c r="S108" i="10"/>
  <c r="R108" i="10"/>
  <c r="Q108" i="10"/>
  <c r="P108" i="10"/>
  <c r="K108" i="10"/>
  <c r="J108" i="10"/>
  <c r="U107" i="10"/>
  <c r="W107" i="10" s="1"/>
  <c r="T107" i="10"/>
  <c r="V107" i="10" s="1"/>
  <c r="S107" i="10"/>
  <c r="R107" i="10"/>
  <c r="Q107" i="10"/>
  <c r="P107" i="10"/>
  <c r="K107" i="10"/>
  <c r="J107" i="10"/>
  <c r="W106" i="10"/>
  <c r="U106" i="10"/>
  <c r="T106" i="10"/>
  <c r="V106" i="10" s="1"/>
  <c r="S106" i="10"/>
  <c r="R106" i="10"/>
  <c r="Q106" i="10"/>
  <c r="P106" i="10"/>
  <c r="K106" i="10"/>
  <c r="J106" i="10"/>
  <c r="U105" i="10"/>
  <c r="W105" i="10" s="1"/>
  <c r="T105" i="10"/>
  <c r="V105" i="10" s="1"/>
  <c r="S105" i="10"/>
  <c r="R105" i="10"/>
  <c r="Q105" i="10"/>
  <c r="P105" i="10"/>
  <c r="K105" i="10"/>
  <c r="J105" i="10"/>
  <c r="W104" i="10"/>
  <c r="U104" i="10"/>
  <c r="T104" i="10"/>
  <c r="V104" i="10" s="1"/>
  <c r="S104" i="10"/>
  <c r="R104" i="10"/>
  <c r="Q104" i="10"/>
  <c r="P104" i="10"/>
  <c r="K104" i="10"/>
  <c r="J104" i="10"/>
  <c r="W103" i="10"/>
  <c r="U103" i="10"/>
  <c r="T103" i="10"/>
  <c r="V103" i="10" s="1"/>
  <c r="S103" i="10"/>
  <c r="R103" i="10"/>
  <c r="Q103" i="10"/>
  <c r="P103" i="10"/>
  <c r="K103" i="10"/>
  <c r="J103" i="10"/>
  <c r="U102" i="10"/>
  <c r="W102" i="10" s="1"/>
  <c r="T102" i="10"/>
  <c r="V102" i="10" s="1"/>
  <c r="S102" i="10"/>
  <c r="R102" i="10"/>
  <c r="Q102" i="10"/>
  <c r="P102" i="10"/>
  <c r="K102" i="10"/>
  <c r="J102" i="10"/>
  <c r="W101" i="10"/>
  <c r="U101" i="10"/>
  <c r="T101" i="10"/>
  <c r="V101" i="10" s="1"/>
  <c r="S101" i="10"/>
  <c r="R101" i="10"/>
  <c r="Q101" i="10"/>
  <c r="P101" i="10"/>
  <c r="K101" i="10"/>
  <c r="J101" i="10"/>
  <c r="U100" i="10"/>
  <c r="W100" i="10" s="1"/>
  <c r="T100" i="10"/>
  <c r="V100" i="10" s="1"/>
  <c r="S100" i="10"/>
  <c r="R100" i="10"/>
  <c r="Q100" i="10"/>
  <c r="P100" i="10"/>
  <c r="K100" i="10"/>
  <c r="J100" i="10"/>
  <c r="U99" i="10"/>
  <c r="W99" i="10" s="1"/>
  <c r="T99" i="10"/>
  <c r="V99" i="10" s="1"/>
  <c r="S99" i="10"/>
  <c r="R99" i="10"/>
  <c r="Q99" i="10"/>
  <c r="P99" i="10"/>
  <c r="K99" i="10"/>
  <c r="J99" i="10"/>
  <c r="W98" i="10"/>
  <c r="U98" i="10"/>
  <c r="T98" i="10"/>
  <c r="V98" i="10" s="1"/>
  <c r="S98" i="10"/>
  <c r="R98" i="10"/>
  <c r="Q98" i="10"/>
  <c r="P98" i="10"/>
  <c r="K98" i="10"/>
  <c r="J98" i="10"/>
  <c r="U97" i="10"/>
  <c r="W97" i="10" s="1"/>
  <c r="T97" i="10"/>
  <c r="V97" i="10" s="1"/>
  <c r="S97" i="10"/>
  <c r="R97" i="10"/>
  <c r="Q97" i="10"/>
  <c r="P97" i="10"/>
  <c r="K97" i="10"/>
  <c r="J97" i="10"/>
  <c r="U96" i="10"/>
  <c r="W96" i="10" s="1"/>
  <c r="T96" i="10"/>
  <c r="V96" i="10" s="1"/>
  <c r="S96" i="10"/>
  <c r="R96" i="10"/>
  <c r="Q96" i="10"/>
  <c r="P96" i="10"/>
  <c r="K96" i="10"/>
  <c r="J96" i="10"/>
  <c r="W95" i="10"/>
  <c r="U95" i="10"/>
  <c r="T95" i="10"/>
  <c r="V95" i="10" s="1"/>
  <c r="S95" i="10"/>
  <c r="R95" i="10"/>
  <c r="Q95" i="10"/>
  <c r="P95" i="10"/>
  <c r="K95" i="10"/>
  <c r="J95" i="10"/>
  <c r="U94" i="10"/>
  <c r="W94" i="10" s="1"/>
  <c r="T94" i="10"/>
  <c r="V94" i="10" s="1"/>
  <c r="S94" i="10"/>
  <c r="R94" i="10"/>
  <c r="Q94" i="10"/>
  <c r="P94" i="10"/>
  <c r="K94" i="10"/>
  <c r="J94" i="10"/>
  <c r="W93" i="10"/>
  <c r="U93" i="10"/>
  <c r="T93" i="10"/>
  <c r="V93" i="10" s="1"/>
  <c r="S93" i="10"/>
  <c r="R93" i="10"/>
  <c r="Q93" i="10"/>
  <c r="P93" i="10"/>
  <c r="K93" i="10"/>
  <c r="J93" i="10"/>
  <c r="W92" i="10"/>
  <c r="U92" i="10"/>
  <c r="T92" i="10"/>
  <c r="V92" i="10" s="1"/>
  <c r="S92" i="10"/>
  <c r="R92" i="10"/>
  <c r="Q92" i="10"/>
  <c r="P92" i="10"/>
  <c r="K92" i="10"/>
  <c r="J92" i="10"/>
  <c r="W91" i="10"/>
  <c r="U91" i="10"/>
  <c r="T91" i="10"/>
  <c r="V91" i="10" s="1"/>
  <c r="S91" i="10"/>
  <c r="R91" i="10"/>
  <c r="Q91" i="10"/>
  <c r="P91" i="10"/>
  <c r="K91" i="10"/>
  <c r="J91" i="10"/>
  <c r="W90" i="10"/>
  <c r="U90" i="10"/>
  <c r="T90" i="10"/>
  <c r="V90" i="10" s="1"/>
  <c r="S90" i="10"/>
  <c r="R90" i="10"/>
  <c r="Q90" i="10"/>
  <c r="P90" i="10"/>
  <c r="K90" i="10"/>
  <c r="J90" i="10"/>
  <c r="U89" i="10"/>
  <c r="W89" i="10" s="1"/>
  <c r="T89" i="10"/>
  <c r="V89" i="10" s="1"/>
  <c r="S89" i="10"/>
  <c r="R89" i="10"/>
  <c r="Q89" i="10"/>
  <c r="P89" i="10"/>
  <c r="K89" i="10"/>
  <c r="J89" i="10"/>
  <c r="U88" i="10"/>
  <c r="W88" i="10" s="1"/>
  <c r="T88" i="10"/>
  <c r="V88" i="10" s="1"/>
  <c r="S88" i="10"/>
  <c r="R88" i="10"/>
  <c r="Q88" i="10"/>
  <c r="P88" i="10"/>
  <c r="K88" i="10"/>
  <c r="J88" i="10"/>
  <c r="W87" i="10"/>
  <c r="U87" i="10"/>
  <c r="T87" i="10"/>
  <c r="V87" i="10" s="1"/>
  <c r="S87" i="10"/>
  <c r="R87" i="10"/>
  <c r="Q87" i="10"/>
  <c r="P87" i="10"/>
  <c r="K87" i="10"/>
  <c r="J87" i="10"/>
  <c r="U86" i="10"/>
  <c r="W86" i="10" s="1"/>
  <c r="T86" i="10"/>
  <c r="V86" i="10" s="1"/>
  <c r="S86" i="10"/>
  <c r="R86" i="10"/>
  <c r="Q86" i="10"/>
  <c r="P86" i="10"/>
  <c r="K86" i="10"/>
  <c r="J86" i="10"/>
  <c r="W85" i="10"/>
  <c r="U85" i="10"/>
  <c r="T85" i="10"/>
  <c r="V85" i="10" s="1"/>
  <c r="S85" i="10"/>
  <c r="R85" i="10"/>
  <c r="Q85" i="10"/>
  <c r="P85" i="10"/>
  <c r="K85" i="10"/>
  <c r="J85" i="10"/>
  <c r="W84" i="10"/>
  <c r="U84" i="10"/>
  <c r="T84" i="10"/>
  <c r="V84" i="10" s="1"/>
  <c r="S84" i="10"/>
  <c r="R84" i="10"/>
  <c r="Q84" i="10"/>
  <c r="P84" i="10"/>
  <c r="K84" i="10"/>
  <c r="J84" i="10"/>
  <c r="U83" i="10"/>
  <c r="W83" i="10" s="1"/>
  <c r="T83" i="10"/>
  <c r="V83" i="10" s="1"/>
  <c r="S83" i="10"/>
  <c r="R83" i="10"/>
  <c r="Q83" i="10"/>
  <c r="P83" i="10"/>
  <c r="K83" i="10"/>
  <c r="J83" i="10"/>
  <c r="W82" i="10"/>
  <c r="U82" i="10"/>
  <c r="T82" i="10"/>
  <c r="V82" i="10" s="1"/>
  <c r="S82" i="10"/>
  <c r="R82" i="10"/>
  <c r="Q82" i="10"/>
  <c r="P82" i="10"/>
  <c r="K82" i="10"/>
  <c r="J82" i="10"/>
  <c r="U81" i="10"/>
  <c r="W81" i="10" s="1"/>
  <c r="T81" i="10"/>
  <c r="V81" i="10" s="1"/>
  <c r="S81" i="10"/>
  <c r="R81" i="10"/>
  <c r="Q81" i="10"/>
  <c r="P81" i="10"/>
  <c r="K81" i="10"/>
  <c r="J81" i="10"/>
  <c r="U80" i="10"/>
  <c r="W80" i="10" s="1"/>
  <c r="T80" i="10"/>
  <c r="V80" i="10" s="1"/>
  <c r="S80" i="10"/>
  <c r="R80" i="10"/>
  <c r="Q80" i="10"/>
  <c r="P80" i="10"/>
  <c r="K80" i="10"/>
  <c r="J80" i="10"/>
  <c r="W79" i="10"/>
  <c r="U79" i="10"/>
  <c r="T79" i="10"/>
  <c r="V79" i="10" s="1"/>
  <c r="S79" i="10"/>
  <c r="R79" i="10"/>
  <c r="Q79" i="10"/>
  <c r="P79" i="10"/>
  <c r="K79" i="10"/>
  <c r="J79" i="10"/>
  <c r="U78" i="10"/>
  <c r="W78" i="10" s="1"/>
  <c r="T78" i="10"/>
  <c r="V78" i="10" s="1"/>
  <c r="S78" i="10"/>
  <c r="R78" i="10"/>
  <c r="Q78" i="10"/>
  <c r="P78" i="10"/>
  <c r="K78" i="10"/>
  <c r="J78" i="10"/>
  <c r="W77" i="10"/>
  <c r="U77" i="10"/>
  <c r="T77" i="10"/>
  <c r="V77" i="10" s="1"/>
  <c r="S77" i="10"/>
  <c r="R77" i="10"/>
  <c r="Q77" i="10"/>
  <c r="P77" i="10"/>
  <c r="K77" i="10"/>
  <c r="J77" i="10"/>
  <c r="U76" i="10"/>
  <c r="T76" i="10"/>
  <c r="S76" i="10"/>
  <c r="R76" i="10"/>
  <c r="Q76" i="10"/>
  <c r="P76" i="10"/>
  <c r="K76" i="10"/>
  <c r="J76" i="10"/>
  <c r="U75" i="10"/>
  <c r="W75" i="10" s="1"/>
  <c r="T75" i="10"/>
  <c r="V75" i="10" s="1"/>
  <c r="S75" i="10"/>
  <c r="R75" i="10"/>
  <c r="Q75" i="10"/>
  <c r="P75" i="10"/>
  <c r="K75" i="10"/>
  <c r="J75" i="10"/>
  <c r="U74" i="10"/>
  <c r="W74" i="10" s="1"/>
  <c r="T74" i="10"/>
  <c r="V74" i="10" s="1"/>
  <c r="S74" i="10"/>
  <c r="R74" i="10"/>
  <c r="Q74" i="10"/>
  <c r="P74" i="10"/>
  <c r="K74" i="10"/>
  <c r="J74" i="10"/>
  <c r="W73" i="10"/>
  <c r="U73" i="10"/>
  <c r="T73" i="10"/>
  <c r="V73" i="10" s="1"/>
  <c r="S73" i="10"/>
  <c r="R73" i="10"/>
  <c r="Q73" i="10"/>
  <c r="P73" i="10"/>
  <c r="K73" i="10"/>
  <c r="J73" i="10"/>
  <c r="U72" i="10"/>
  <c r="W72" i="10" s="1"/>
  <c r="T72" i="10"/>
  <c r="V72" i="10" s="1"/>
  <c r="S72" i="10"/>
  <c r="R72" i="10"/>
  <c r="Q72" i="10"/>
  <c r="P72" i="10"/>
  <c r="K72" i="10"/>
  <c r="J72" i="10"/>
  <c r="W71" i="10"/>
  <c r="U71" i="10"/>
  <c r="T71" i="10"/>
  <c r="V71" i="10" s="1"/>
  <c r="S71" i="10"/>
  <c r="R71" i="10"/>
  <c r="Q71" i="10"/>
  <c r="P71" i="10"/>
  <c r="K71" i="10"/>
  <c r="J71" i="10"/>
  <c r="W70" i="10"/>
  <c r="U70" i="10"/>
  <c r="T70" i="10"/>
  <c r="V70" i="10" s="1"/>
  <c r="S70" i="10"/>
  <c r="R70" i="10"/>
  <c r="Q70" i="10"/>
  <c r="P70" i="10"/>
  <c r="K70" i="10"/>
  <c r="J70" i="10"/>
  <c r="U69" i="10"/>
  <c r="W69" i="10" s="1"/>
  <c r="T69" i="10"/>
  <c r="V69" i="10" s="1"/>
  <c r="S69" i="10"/>
  <c r="R69" i="10"/>
  <c r="Q69" i="10"/>
  <c r="P69" i="10"/>
  <c r="K69" i="10"/>
  <c r="J69" i="10"/>
  <c r="W68" i="10"/>
  <c r="U68" i="10"/>
  <c r="T68" i="10"/>
  <c r="V68" i="10" s="1"/>
  <c r="S68" i="10"/>
  <c r="R68" i="10"/>
  <c r="Q68" i="10"/>
  <c r="P68" i="10"/>
  <c r="K68" i="10"/>
  <c r="J68" i="10"/>
  <c r="U67" i="10"/>
  <c r="W67" i="10" s="1"/>
  <c r="T67" i="10"/>
  <c r="V67" i="10" s="1"/>
  <c r="S67" i="10"/>
  <c r="R67" i="10"/>
  <c r="Q67" i="10"/>
  <c r="P67" i="10"/>
  <c r="K67" i="10"/>
  <c r="J67" i="10"/>
  <c r="U66" i="10"/>
  <c r="W66" i="10" s="1"/>
  <c r="T66" i="10"/>
  <c r="V66" i="10" s="1"/>
  <c r="S66" i="10"/>
  <c r="R66" i="10"/>
  <c r="Q66" i="10"/>
  <c r="P66" i="10"/>
  <c r="K66" i="10"/>
  <c r="J66" i="10"/>
  <c r="W65" i="10"/>
  <c r="U65" i="10"/>
  <c r="T65" i="10"/>
  <c r="V65" i="10" s="1"/>
  <c r="S65" i="10"/>
  <c r="R65" i="10"/>
  <c r="Q65" i="10"/>
  <c r="P65" i="10"/>
  <c r="K65" i="10"/>
  <c r="J65" i="10"/>
  <c r="U64" i="10"/>
  <c r="W64" i="10" s="1"/>
  <c r="T64" i="10"/>
  <c r="V64" i="10" s="1"/>
  <c r="S64" i="10"/>
  <c r="R64" i="10"/>
  <c r="Q64" i="10"/>
  <c r="P64" i="10"/>
  <c r="K64" i="10"/>
  <c r="J64" i="10"/>
  <c r="W63" i="10"/>
  <c r="U63" i="10"/>
  <c r="T63" i="10"/>
  <c r="V63" i="10" s="1"/>
  <c r="S63" i="10"/>
  <c r="R63" i="10"/>
  <c r="Q63" i="10"/>
  <c r="P63" i="10"/>
  <c r="K63" i="10"/>
  <c r="J63" i="10"/>
  <c r="W62" i="10"/>
  <c r="U62" i="10"/>
  <c r="T62" i="10"/>
  <c r="V62" i="10" s="1"/>
  <c r="S62" i="10"/>
  <c r="R62" i="10"/>
  <c r="Q62" i="10"/>
  <c r="P62" i="10"/>
  <c r="K62" i="10"/>
  <c r="J62" i="10"/>
  <c r="U61" i="10"/>
  <c r="W61" i="10" s="1"/>
  <c r="T61" i="10"/>
  <c r="V61" i="10" s="1"/>
  <c r="S61" i="10"/>
  <c r="R61" i="10"/>
  <c r="Q61" i="10"/>
  <c r="P61" i="10"/>
  <c r="K61" i="10"/>
  <c r="J61" i="10"/>
  <c r="W60" i="10"/>
  <c r="U60" i="10"/>
  <c r="T60" i="10"/>
  <c r="V60" i="10" s="1"/>
  <c r="S60" i="10"/>
  <c r="R60" i="10"/>
  <c r="Q60" i="10"/>
  <c r="P60" i="10"/>
  <c r="K60" i="10"/>
  <c r="J60" i="10"/>
  <c r="U59" i="10"/>
  <c r="W59" i="10" s="1"/>
  <c r="T59" i="10"/>
  <c r="V59" i="10" s="1"/>
  <c r="S59" i="10"/>
  <c r="R59" i="10"/>
  <c r="Q59" i="10"/>
  <c r="P59" i="10"/>
  <c r="K59" i="10"/>
  <c r="J59" i="10"/>
  <c r="U58" i="10"/>
  <c r="W58" i="10" s="1"/>
  <c r="T58" i="10"/>
  <c r="V58" i="10" s="1"/>
  <c r="S58" i="10"/>
  <c r="R58" i="10"/>
  <c r="Q58" i="10"/>
  <c r="P58" i="10"/>
  <c r="K58" i="10"/>
  <c r="J58" i="10"/>
  <c r="W57" i="10"/>
  <c r="U57" i="10"/>
  <c r="T57" i="10"/>
  <c r="V57" i="10" s="1"/>
  <c r="S57" i="10"/>
  <c r="R57" i="10"/>
  <c r="Q57" i="10"/>
  <c r="P57" i="10"/>
  <c r="K57" i="10"/>
  <c r="J57" i="10"/>
  <c r="U56" i="10"/>
  <c r="W56" i="10" s="1"/>
  <c r="T56" i="10"/>
  <c r="V56" i="10" s="1"/>
  <c r="S56" i="10"/>
  <c r="R56" i="10"/>
  <c r="Q56" i="10"/>
  <c r="P56" i="10"/>
  <c r="K56" i="10"/>
  <c r="J56" i="10"/>
  <c r="W55" i="10"/>
  <c r="U55" i="10"/>
  <c r="T55" i="10"/>
  <c r="V55" i="10" s="1"/>
  <c r="S55" i="10"/>
  <c r="R55" i="10"/>
  <c r="Q55" i="10"/>
  <c r="P55" i="10"/>
  <c r="K55" i="10"/>
  <c r="J55" i="10"/>
  <c r="W54" i="10"/>
  <c r="U54" i="10"/>
  <c r="T54" i="10"/>
  <c r="V54" i="10" s="1"/>
  <c r="S54" i="10"/>
  <c r="R54" i="10"/>
  <c r="Q54" i="10"/>
  <c r="P54" i="10"/>
  <c r="K54" i="10"/>
  <c r="J54" i="10"/>
  <c r="V53" i="10"/>
  <c r="U53" i="10"/>
  <c r="W53" i="10" s="1"/>
  <c r="T53" i="10"/>
  <c r="S53" i="10"/>
  <c r="R53" i="10"/>
  <c r="Q53" i="10"/>
  <c r="P53" i="10"/>
  <c r="K53" i="10"/>
  <c r="J53" i="10"/>
  <c r="W52" i="10"/>
  <c r="U52" i="10"/>
  <c r="T52" i="10"/>
  <c r="V52" i="10" s="1"/>
  <c r="S52" i="10"/>
  <c r="R52" i="10"/>
  <c r="Q52" i="10"/>
  <c r="P52" i="10"/>
  <c r="K52" i="10"/>
  <c r="J52" i="10"/>
  <c r="U51" i="10"/>
  <c r="W51" i="10" s="1"/>
  <c r="T51" i="10"/>
  <c r="V51" i="10" s="1"/>
  <c r="S51" i="10"/>
  <c r="R51" i="10"/>
  <c r="Q51" i="10"/>
  <c r="P51" i="10"/>
  <c r="K51" i="10"/>
  <c r="J51" i="10"/>
  <c r="U50" i="10"/>
  <c r="W50" i="10" s="1"/>
  <c r="T50" i="10"/>
  <c r="V50" i="10" s="1"/>
  <c r="S50" i="10"/>
  <c r="R50" i="10"/>
  <c r="Q50" i="10"/>
  <c r="P50" i="10"/>
  <c r="K50" i="10"/>
  <c r="J50" i="10"/>
  <c r="W49" i="10"/>
  <c r="U49" i="10"/>
  <c r="T49" i="10"/>
  <c r="V49" i="10" s="1"/>
  <c r="S49" i="10"/>
  <c r="R49" i="10"/>
  <c r="Q49" i="10"/>
  <c r="P49" i="10"/>
  <c r="K49" i="10"/>
  <c r="J49" i="10"/>
  <c r="U48" i="10"/>
  <c r="W48" i="10" s="1"/>
  <c r="T48" i="10"/>
  <c r="V48" i="10" s="1"/>
  <c r="S48" i="10"/>
  <c r="R48" i="10"/>
  <c r="Q48" i="10"/>
  <c r="P48" i="10"/>
  <c r="K48" i="10"/>
  <c r="J48" i="10"/>
  <c r="U47" i="10"/>
  <c r="W47" i="10" s="1"/>
  <c r="T47" i="10"/>
  <c r="V47" i="10" s="1"/>
  <c r="S47" i="10"/>
  <c r="R47" i="10"/>
  <c r="Q47" i="10"/>
  <c r="P47" i="10"/>
  <c r="K47" i="10"/>
  <c r="J47" i="10"/>
  <c r="W46" i="10"/>
  <c r="U46" i="10"/>
  <c r="T46" i="10"/>
  <c r="V46" i="10" s="1"/>
  <c r="S46" i="10"/>
  <c r="R46" i="10"/>
  <c r="Q46" i="10"/>
  <c r="P46" i="10"/>
  <c r="K46" i="10"/>
  <c r="J46" i="10"/>
  <c r="U45" i="10"/>
  <c r="W45" i="10" s="1"/>
  <c r="T45" i="10"/>
  <c r="V45" i="10" s="1"/>
  <c r="S45" i="10"/>
  <c r="R45" i="10"/>
  <c r="Q45" i="10"/>
  <c r="P45" i="10"/>
  <c r="K45" i="10"/>
  <c r="J45" i="10"/>
  <c r="W44" i="10"/>
  <c r="U44" i="10"/>
  <c r="T44" i="10"/>
  <c r="V44" i="10" s="1"/>
  <c r="S44" i="10"/>
  <c r="R44" i="10"/>
  <c r="Q44" i="10"/>
  <c r="P44" i="10"/>
  <c r="K44" i="10"/>
  <c r="J44" i="10"/>
  <c r="W43" i="10"/>
  <c r="U43" i="10"/>
  <c r="T43" i="10"/>
  <c r="V43" i="10" s="1"/>
  <c r="S43" i="10"/>
  <c r="R43" i="10"/>
  <c r="Q43" i="10"/>
  <c r="P43" i="10"/>
  <c r="K43" i="10"/>
  <c r="J43" i="10"/>
  <c r="W42" i="10"/>
  <c r="U42" i="10"/>
  <c r="T42" i="10"/>
  <c r="V42" i="10" s="1"/>
  <c r="S42" i="10"/>
  <c r="R42" i="10"/>
  <c r="Q42" i="10"/>
  <c r="P42" i="10"/>
  <c r="K42" i="10"/>
  <c r="J42" i="10"/>
  <c r="W41" i="10"/>
  <c r="U41" i="10"/>
  <c r="T41" i="10"/>
  <c r="V41" i="10" s="1"/>
  <c r="S41" i="10"/>
  <c r="R41" i="10"/>
  <c r="Q41" i="10"/>
  <c r="P41" i="10"/>
  <c r="K41" i="10"/>
  <c r="J41" i="10"/>
  <c r="W40" i="10"/>
  <c r="U40" i="10"/>
  <c r="T40" i="10"/>
  <c r="V40" i="10" s="1"/>
  <c r="S40" i="10"/>
  <c r="R40" i="10"/>
  <c r="Q40" i="10"/>
  <c r="P40" i="10"/>
  <c r="K40" i="10"/>
  <c r="J40" i="10"/>
  <c r="W39" i="10"/>
  <c r="U39" i="10"/>
  <c r="T39" i="10"/>
  <c r="V39" i="10" s="1"/>
  <c r="S39" i="10"/>
  <c r="R39" i="10"/>
  <c r="Q39" i="10"/>
  <c r="P39" i="10"/>
  <c r="K39" i="10"/>
  <c r="J39" i="10"/>
  <c r="W38" i="10"/>
  <c r="U38" i="10"/>
  <c r="T38" i="10"/>
  <c r="V38" i="10" s="1"/>
  <c r="S38" i="10"/>
  <c r="R38" i="10"/>
  <c r="Q38" i="10"/>
  <c r="P38" i="10"/>
  <c r="K38" i="10"/>
  <c r="J38" i="10"/>
  <c r="U37" i="10"/>
  <c r="W37" i="10" s="1"/>
  <c r="T37" i="10"/>
  <c r="V37" i="10" s="1"/>
  <c r="S37" i="10"/>
  <c r="R37" i="10"/>
  <c r="Q37" i="10"/>
  <c r="P37" i="10"/>
  <c r="K37" i="10"/>
  <c r="J37" i="10"/>
  <c r="W36" i="10"/>
  <c r="U36" i="10"/>
  <c r="T36" i="10"/>
  <c r="V36" i="10" s="1"/>
  <c r="S36" i="10"/>
  <c r="R36" i="10"/>
  <c r="Q36" i="10"/>
  <c r="P36" i="10"/>
  <c r="K36" i="10"/>
  <c r="J36" i="10"/>
  <c r="W35" i="10"/>
  <c r="U35" i="10"/>
  <c r="T35" i="10"/>
  <c r="V35" i="10" s="1"/>
  <c r="S35" i="10"/>
  <c r="R35" i="10"/>
  <c r="Q35" i="10"/>
  <c r="P35" i="10"/>
  <c r="K35" i="10"/>
  <c r="J35" i="10"/>
  <c r="U34" i="10"/>
  <c r="W34" i="10" s="1"/>
  <c r="T34" i="10"/>
  <c r="V34" i="10" s="1"/>
  <c r="S34" i="10"/>
  <c r="R34" i="10"/>
  <c r="Q34" i="10"/>
  <c r="P34" i="10"/>
  <c r="K34" i="10"/>
  <c r="J34" i="10"/>
  <c r="W33" i="10"/>
  <c r="U33" i="10"/>
  <c r="T33" i="10"/>
  <c r="V33" i="10" s="1"/>
  <c r="S33" i="10"/>
  <c r="R33" i="10"/>
  <c r="Q33" i="10"/>
  <c r="P33" i="10"/>
  <c r="K33" i="10"/>
  <c r="J33" i="10"/>
  <c r="W32" i="10"/>
  <c r="U32" i="10"/>
  <c r="T32" i="10"/>
  <c r="V32" i="10" s="1"/>
  <c r="S32" i="10"/>
  <c r="R32" i="10"/>
  <c r="Q32" i="10"/>
  <c r="P32" i="10"/>
  <c r="K32" i="10"/>
  <c r="J32" i="10"/>
  <c r="W31" i="10"/>
  <c r="U31" i="10"/>
  <c r="T31" i="10"/>
  <c r="V31" i="10" s="1"/>
  <c r="S31" i="10"/>
  <c r="R31" i="10"/>
  <c r="Q31" i="10"/>
  <c r="P31" i="10"/>
  <c r="K31" i="10"/>
  <c r="J31" i="10"/>
  <c r="W30" i="10"/>
  <c r="U30" i="10"/>
  <c r="T30" i="10"/>
  <c r="V30" i="10" s="1"/>
  <c r="S30" i="10"/>
  <c r="R30" i="10"/>
  <c r="Q30" i="10"/>
  <c r="P30" i="10"/>
  <c r="K30" i="10"/>
  <c r="J30" i="10"/>
  <c r="W29" i="10"/>
  <c r="U29" i="10"/>
  <c r="T29" i="10"/>
  <c r="V29" i="10" s="1"/>
  <c r="S29" i="10"/>
  <c r="R29" i="10"/>
  <c r="Q29" i="10"/>
  <c r="P29" i="10"/>
  <c r="K29" i="10"/>
  <c r="J29" i="10"/>
  <c r="W28" i="10"/>
  <c r="U28" i="10"/>
  <c r="T28" i="10"/>
  <c r="V28" i="10" s="1"/>
  <c r="S28" i="10"/>
  <c r="R28" i="10"/>
  <c r="Q28" i="10"/>
  <c r="P28" i="10"/>
  <c r="K28" i="10"/>
  <c r="J28" i="10"/>
  <c r="W27" i="10"/>
  <c r="U27" i="10"/>
  <c r="T27" i="10"/>
  <c r="V27" i="10" s="1"/>
  <c r="S27" i="10"/>
  <c r="R27" i="10"/>
  <c r="Q27" i="10"/>
  <c r="P27" i="10"/>
  <c r="K27" i="10"/>
  <c r="J27" i="10"/>
  <c r="W26" i="10"/>
  <c r="U26" i="10"/>
  <c r="T26" i="10"/>
  <c r="V26" i="10" s="1"/>
  <c r="S26" i="10"/>
  <c r="R26" i="10"/>
  <c r="Q26" i="10"/>
  <c r="P26" i="10"/>
  <c r="K26" i="10"/>
  <c r="J26" i="10"/>
  <c r="W25" i="10"/>
  <c r="U25" i="10"/>
  <c r="T25" i="10"/>
  <c r="V25" i="10" s="1"/>
  <c r="S25" i="10"/>
  <c r="R25" i="10"/>
  <c r="Q25" i="10"/>
  <c r="P25" i="10"/>
  <c r="K25" i="10"/>
  <c r="J25" i="10"/>
  <c r="U24" i="10"/>
  <c r="W24" i="10" s="1"/>
  <c r="T24" i="10"/>
  <c r="V24" i="10" s="1"/>
  <c r="S24" i="10"/>
  <c r="R24" i="10"/>
  <c r="Q24" i="10"/>
  <c r="P24" i="10"/>
  <c r="K24" i="10"/>
  <c r="J24" i="10"/>
  <c r="U23" i="10"/>
  <c r="W23" i="10" s="1"/>
  <c r="T23" i="10"/>
  <c r="V23" i="10" s="1"/>
  <c r="S23" i="10"/>
  <c r="R23" i="10"/>
  <c r="Q23" i="10"/>
  <c r="P23" i="10"/>
  <c r="K23" i="10"/>
  <c r="J23" i="10"/>
  <c r="W22" i="10"/>
  <c r="U22" i="10"/>
  <c r="T22" i="10"/>
  <c r="V22" i="10" s="1"/>
  <c r="S22" i="10"/>
  <c r="R22" i="10"/>
  <c r="Q22" i="10"/>
  <c r="P22" i="10"/>
  <c r="K22" i="10"/>
  <c r="J22" i="10"/>
  <c r="U21" i="10"/>
  <c r="W21" i="10" s="1"/>
  <c r="T21" i="10"/>
  <c r="V21" i="10" s="1"/>
  <c r="S21" i="10"/>
  <c r="R21" i="10"/>
  <c r="Q21" i="10"/>
  <c r="P21" i="10"/>
  <c r="K21" i="10"/>
  <c r="J21" i="10"/>
  <c r="W20" i="10"/>
  <c r="U20" i="10"/>
  <c r="T20" i="10"/>
  <c r="V20" i="10" s="1"/>
  <c r="S20" i="10"/>
  <c r="R20" i="10"/>
  <c r="Q20" i="10"/>
  <c r="P20" i="10"/>
  <c r="K20" i="10"/>
  <c r="J20" i="10"/>
  <c r="W19" i="10"/>
  <c r="U19" i="10"/>
  <c r="T19" i="10"/>
  <c r="V19" i="10" s="1"/>
  <c r="S19" i="10"/>
  <c r="R19" i="10"/>
  <c r="Q19" i="10"/>
  <c r="P19" i="10"/>
  <c r="K19" i="10"/>
  <c r="J19" i="10"/>
  <c r="K564" i="1" l="1"/>
  <c r="K565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88" i="1"/>
  <c r="K88" i="1"/>
  <c r="J89" i="1"/>
  <c r="K89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17" i="1"/>
  <c r="K117" i="1"/>
  <c r="J118" i="1"/>
  <c r="K118" i="1"/>
  <c r="J119" i="1"/>
  <c r="K119" i="1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J171" i="1"/>
  <c r="K171" i="1"/>
  <c r="J172" i="1"/>
  <c r="K172" i="1"/>
  <c r="J173" i="1"/>
  <c r="K173" i="1"/>
  <c r="J174" i="1"/>
  <c r="K174" i="1"/>
  <c r="J175" i="1"/>
  <c r="K175" i="1"/>
  <c r="J176" i="1"/>
  <c r="K176" i="1"/>
  <c r="J177" i="1"/>
  <c r="K177" i="1"/>
  <c r="J178" i="1"/>
  <c r="K178" i="1"/>
  <c r="J179" i="1"/>
  <c r="K179" i="1"/>
  <c r="J180" i="1"/>
  <c r="K180" i="1"/>
  <c r="J181" i="1"/>
  <c r="K181" i="1"/>
  <c r="J182" i="1"/>
  <c r="K182" i="1"/>
  <c r="J183" i="1"/>
  <c r="K183" i="1"/>
  <c r="J184" i="1"/>
  <c r="K184" i="1"/>
  <c r="J185" i="1"/>
  <c r="K185" i="1"/>
  <c r="J186" i="1"/>
  <c r="K186" i="1"/>
  <c r="J187" i="1"/>
  <c r="K187" i="1"/>
  <c r="J188" i="1"/>
  <c r="K188" i="1"/>
  <c r="J189" i="1"/>
  <c r="K189" i="1"/>
  <c r="J190" i="1"/>
  <c r="K190" i="1"/>
  <c r="J191" i="1"/>
  <c r="K191" i="1"/>
  <c r="J192" i="1"/>
  <c r="K192" i="1"/>
  <c r="J193" i="1"/>
  <c r="K193" i="1"/>
  <c r="J194" i="1"/>
  <c r="K194" i="1"/>
  <c r="J195" i="1"/>
  <c r="K195" i="1"/>
  <c r="J196" i="1"/>
  <c r="K196" i="1"/>
  <c r="J197" i="1"/>
  <c r="K197" i="1"/>
  <c r="J198" i="1"/>
  <c r="K198" i="1"/>
  <c r="J199" i="1"/>
  <c r="K199" i="1"/>
  <c r="J200" i="1"/>
  <c r="K200" i="1"/>
  <c r="J201" i="1"/>
  <c r="K201" i="1"/>
  <c r="J202" i="1"/>
  <c r="K202" i="1"/>
  <c r="J203" i="1"/>
  <c r="K203" i="1"/>
  <c r="J204" i="1"/>
  <c r="K204" i="1"/>
  <c r="J205" i="1"/>
  <c r="K205" i="1"/>
  <c r="J206" i="1"/>
  <c r="K206" i="1"/>
  <c r="J207" i="1"/>
  <c r="K207" i="1"/>
  <c r="J208" i="1"/>
  <c r="K208" i="1"/>
  <c r="J209" i="1"/>
  <c r="K209" i="1"/>
  <c r="J210" i="1"/>
  <c r="K210" i="1"/>
  <c r="J211" i="1"/>
  <c r="K211" i="1"/>
  <c r="J212" i="1"/>
  <c r="K212" i="1"/>
  <c r="J213" i="1"/>
  <c r="K213" i="1"/>
  <c r="J214" i="1"/>
  <c r="K214" i="1"/>
  <c r="J215" i="1"/>
  <c r="K215" i="1"/>
  <c r="J216" i="1"/>
  <c r="K216" i="1"/>
  <c r="J217" i="1"/>
  <c r="K217" i="1"/>
  <c r="J218" i="1"/>
  <c r="K218" i="1"/>
  <c r="J219" i="1"/>
  <c r="K219" i="1"/>
  <c r="J220" i="1"/>
  <c r="K220" i="1"/>
  <c r="J221" i="1"/>
  <c r="K221" i="1"/>
  <c r="J222" i="1"/>
  <c r="K222" i="1"/>
  <c r="J223" i="1"/>
  <c r="K223" i="1"/>
  <c r="J224" i="1"/>
  <c r="K224" i="1"/>
  <c r="J225" i="1"/>
  <c r="K225" i="1"/>
  <c r="J226" i="1"/>
  <c r="K226" i="1"/>
  <c r="J227" i="1"/>
  <c r="K227" i="1"/>
  <c r="J228" i="1"/>
  <c r="K228" i="1"/>
  <c r="J229" i="1"/>
  <c r="K229" i="1"/>
  <c r="J230" i="1"/>
  <c r="K230" i="1"/>
  <c r="J231" i="1"/>
  <c r="K231" i="1"/>
  <c r="J232" i="1"/>
  <c r="K232" i="1"/>
  <c r="J233" i="1"/>
  <c r="K233" i="1"/>
  <c r="J234" i="1"/>
  <c r="K234" i="1"/>
  <c r="J235" i="1"/>
  <c r="K235" i="1"/>
  <c r="J236" i="1"/>
  <c r="K236" i="1"/>
  <c r="J237" i="1"/>
  <c r="K237" i="1"/>
  <c r="J238" i="1"/>
  <c r="K238" i="1"/>
  <c r="J239" i="1"/>
  <c r="K239" i="1"/>
  <c r="J240" i="1"/>
  <c r="K240" i="1"/>
  <c r="J241" i="1"/>
  <c r="K241" i="1"/>
  <c r="J242" i="1"/>
  <c r="K242" i="1"/>
  <c r="J243" i="1"/>
  <c r="K243" i="1"/>
  <c r="J244" i="1"/>
  <c r="K244" i="1"/>
  <c r="J245" i="1"/>
  <c r="K245" i="1"/>
  <c r="J246" i="1"/>
  <c r="K246" i="1"/>
  <c r="J247" i="1"/>
  <c r="K247" i="1"/>
  <c r="J248" i="1"/>
  <c r="K248" i="1"/>
  <c r="J249" i="1"/>
  <c r="K249" i="1"/>
  <c r="J250" i="1"/>
  <c r="K250" i="1"/>
  <c r="J251" i="1"/>
  <c r="K251" i="1"/>
  <c r="J252" i="1"/>
  <c r="K252" i="1"/>
  <c r="J253" i="1"/>
  <c r="K253" i="1"/>
  <c r="J254" i="1"/>
  <c r="K254" i="1"/>
  <c r="J255" i="1"/>
  <c r="K255" i="1"/>
  <c r="J256" i="1"/>
  <c r="K256" i="1"/>
  <c r="J257" i="1"/>
  <c r="K257" i="1"/>
  <c r="J258" i="1"/>
  <c r="K258" i="1"/>
  <c r="J259" i="1"/>
  <c r="K259" i="1"/>
  <c r="J260" i="1"/>
  <c r="K260" i="1"/>
  <c r="J261" i="1"/>
  <c r="K261" i="1"/>
  <c r="J262" i="1"/>
  <c r="K262" i="1"/>
  <c r="J263" i="1"/>
  <c r="K263" i="1"/>
  <c r="J264" i="1"/>
  <c r="K264" i="1"/>
  <c r="J265" i="1"/>
  <c r="K265" i="1"/>
  <c r="J266" i="1"/>
  <c r="K266" i="1"/>
  <c r="J267" i="1"/>
  <c r="K267" i="1"/>
  <c r="J268" i="1"/>
  <c r="K268" i="1"/>
  <c r="J269" i="1"/>
  <c r="K269" i="1"/>
  <c r="J270" i="1"/>
  <c r="K270" i="1"/>
  <c r="J271" i="1"/>
  <c r="K271" i="1"/>
  <c r="J272" i="1"/>
  <c r="K272" i="1"/>
  <c r="J273" i="1"/>
  <c r="K273" i="1"/>
  <c r="J274" i="1"/>
  <c r="K274" i="1"/>
  <c r="J275" i="1"/>
  <c r="K275" i="1"/>
  <c r="J276" i="1"/>
  <c r="K276" i="1"/>
  <c r="J277" i="1"/>
  <c r="K277" i="1"/>
  <c r="J278" i="1"/>
  <c r="K278" i="1"/>
  <c r="J279" i="1"/>
  <c r="K279" i="1"/>
  <c r="J280" i="1"/>
  <c r="K280" i="1"/>
  <c r="J281" i="1"/>
  <c r="K281" i="1"/>
  <c r="J282" i="1"/>
  <c r="K282" i="1"/>
  <c r="J283" i="1"/>
  <c r="K283" i="1"/>
  <c r="J284" i="1"/>
  <c r="K284" i="1"/>
  <c r="J285" i="1"/>
  <c r="K285" i="1"/>
  <c r="J286" i="1"/>
  <c r="K286" i="1"/>
  <c r="J287" i="1"/>
  <c r="K287" i="1"/>
  <c r="J288" i="1"/>
  <c r="K288" i="1"/>
  <c r="J289" i="1"/>
  <c r="K289" i="1"/>
  <c r="J290" i="1"/>
  <c r="K290" i="1"/>
  <c r="J291" i="1"/>
  <c r="K291" i="1"/>
  <c r="J292" i="1"/>
  <c r="K292" i="1"/>
  <c r="J293" i="1"/>
  <c r="K293" i="1"/>
  <c r="J294" i="1"/>
  <c r="K294" i="1"/>
  <c r="J295" i="1"/>
  <c r="K295" i="1"/>
  <c r="J296" i="1"/>
  <c r="K296" i="1"/>
  <c r="J297" i="1"/>
  <c r="K297" i="1"/>
  <c r="J298" i="1"/>
  <c r="K298" i="1"/>
  <c r="J299" i="1"/>
  <c r="K299" i="1"/>
  <c r="J300" i="1"/>
  <c r="K300" i="1"/>
  <c r="J301" i="1"/>
  <c r="K301" i="1"/>
  <c r="J302" i="1"/>
  <c r="K302" i="1"/>
  <c r="J303" i="1"/>
  <c r="K303" i="1"/>
  <c r="J304" i="1"/>
  <c r="K304" i="1"/>
  <c r="J305" i="1"/>
  <c r="K305" i="1"/>
  <c r="J306" i="1"/>
  <c r="K306" i="1"/>
  <c r="J307" i="1"/>
  <c r="K307" i="1"/>
  <c r="J308" i="1"/>
  <c r="K308" i="1"/>
  <c r="J309" i="1"/>
  <c r="K309" i="1"/>
  <c r="J310" i="1"/>
  <c r="K310" i="1"/>
  <c r="J311" i="1"/>
  <c r="K311" i="1"/>
  <c r="J312" i="1"/>
  <c r="K312" i="1"/>
  <c r="J313" i="1"/>
  <c r="K313" i="1"/>
  <c r="J314" i="1"/>
  <c r="K314" i="1"/>
  <c r="J315" i="1"/>
  <c r="K315" i="1"/>
  <c r="J316" i="1"/>
  <c r="K316" i="1"/>
  <c r="J317" i="1"/>
  <c r="K317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J325" i="1"/>
  <c r="K325" i="1"/>
  <c r="J326" i="1"/>
  <c r="K326" i="1"/>
  <c r="J327" i="1"/>
  <c r="K327" i="1"/>
  <c r="J328" i="1"/>
  <c r="K328" i="1"/>
  <c r="J329" i="1"/>
  <c r="K329" i="1"/>
  <c r="J330" i="1"/>
  <c r="K330" i="1"/>
  <c r="J331" i="1"/>
  <c r="K331" i="1"/>
  <c r="J332" i="1"/>
  <c r="K332" i="1"/>
  <c r="J333" i="1"/>
  <c r="K333" i="1"/>
  <c r="J334" i="1"/>
  <c r="K334" i="1"/>
  <c r="J335" i="1"/>
  <c r="K335" i="1"/>
  <c r="J336" i="1"/>
  <c r="K336" i="1"/>
  <c r="J337" i="1"/>
  <c r="K337" i="1"/>
  <c r="J338" i="1"/>
  <c r="K338" i="1"/>
  <c r="J339" i="1"/>
  <c r="K339" i="1"/>
  <c r="J340" i="1"/>
  <c r="K340" i="1"/>
  <c r="J341" i="1"/>
  <c r="K341" i="1"/>
  <c r="J342" i="1"/>
  <c r="K342" i="1"/>
  <c r="J343" i="1"/>
  <c r="K343" i="1"/>
  <c r="J344" i="1"/>
  <c r="K344" i="1"/>
  <c r="J345" i="1"/>
  <c r="K345" i="1"/>
  <c r="J346" i="1"/>
  <c r="K346" i="1"/>
  <c r="J347" i="1"/>
  <c r="K347" i="1"/>
  <c r="J348" i="1"/>
  <c r="K348" i="1"/>
  <c r="J349" i="1"/>
  <c r="K349" i="1"/>
  <c r="J350" i="1"/>
  <c r="K350" i="1"/>
  <c r="J351" i="1"/>
  <c r="K351" i="1"/>
  <c r="J352" i="1"/>
  <c r="K352" i="1"/>
  <c r="J353" i="1"/>
  <c r="K353" i="1"/>
  <c r="J354" i="1"/>
  <c r="K354" i="1"/>
  <c r="J355" i="1"/>
  <c r="K355" i="1"/>
  <c r="J356" i="1"/>
  <c r="K356" i="1"/>
  <c r="J357" i="1"/>
  <c r="K357" i="1"/>
  <c r="J358" i="1"/>
  <c r="K358" i="1"/>
  <c r="J359" i="1"/>
  <c r="K359" i="1"/>
  <c r="J360" i="1"/>
  <c r="K360" i="1"/>
  <c r="J361" i="1"/>
  <c r="K361" i="1"/>
  <c r="J362" i="1"/>
  <c r="K362" i="1"/>
  <c r="J363" i="1"/>
  <c r="K363" i="1"/>
  <c r="J364" i="1"/>
  <c r="K364" i="1"/>
  <c r="J365" i="1"/>
  <c r="K365" i="1"/>
  <c r="J366" i="1"/>
  <c r="K366" i="1"/>
  <c r="J367" i="1"/>
  <c r="K367" i="1"/>
  <c r="J368" i="1"/>
  <c r="K368" i="1"/>
  <c r="J369" i="1"/>
  <c r="K369" i="1"/>
  <c r="J370" i="1"/>
  <c r="K370" i="1"/>
  <c r="J371" i="1"/>
  <c r="K371" i="1"/>
  <c r="J372" i="1"/>
  <c r="K372" i="1"/>
  <c r="J373" i="1"/>
  <c r="K373" i="1"/>
  <c r="J374" i="1"/>
  <c r="K374" i="1"/>
  <c r="J375" i="1"/>
  <c r="K375" i="1"/>
  <c r="J376" i="1"/>
  <c r="K376" i="1"/>
  <c r="J377" i="1"/>
  <c r="K377" i="1"/>
  <c r="J378" i="1"/>
  <c r="K378" i="1"/>
  <c r="J379" i="1"/>
  <c r="K379" i="1"/>
  <c r="J380" i="1"/>
  <c r="K380" i="1"/>
  <c r="J381" i="1"/>
  <c r="K381" i="1"/>
  <c r="J382" i="1"/>
  <c r="K382" i="1"/>
  <c r="J383" i="1"/>
  <c r="K383" i="1"/>
  <c r="J384" i="1"/>
  <c r="K384" i="1"/>
  <c r="J385" i="1"/>
  <c r="K385" i="1"/>
  <c r="J386" i="1"/>
  <c r="K386" i="1"/>
  <c r="J387" i="1"/>
  <c r="K387" i="1"/>
  <c r="J388" i="1"/>
  <c r="K388" i="1"/>
  <c r="J389" i="1"/>
  <c r="K389" i="1"/>
  <c r="J390" i="1"/>
  <c r="K390" i="1"/>
  <c r="J391" i="1"/>
  <c r="K391" i="1"/>
  <c r="J392" i="1"/>
  <c r="K392" i="1"/>
  <c r="J393" i="1"/>
  <c r="K393" i="1"/>
  <c r="J394" i="1"/>
  <c r="K394" i="1"/>
  <c r="J395" i="1"/>
  <c r="K395" i="1"/>
  <c r="J396" i="1"/>
  <c r="K396" i="1"/>
  <c r="J397" i="1"/>
  <c r="K397" i="1"/>
  <c r="J398" i="1"/>
  <c r="K398" i="1"/>
  <c r="J399" i="1"/>
  <c r="K399" i="1"/>
  <c r="J400" i="1"/>
  <c r="K400" i="1"/>
  <c r="J401" i="1"/>
  <c r="K401" i="1"/>
  <c r="J402" i="1"/>
  <c r="K402" i="1"/>
  <c r="J403" i="1"/>
  <c r="K403" i="1"/>
  <c r="J404" i="1"/>
  <c r="K404" i="1"/>
  <c r="J405" i="1"/>
  <c r="K405" i="1"/>
  <c r="J406" i="1"/>
  <c r="K406" i="1"/>
  <c r="J407" i="1"/>
  <c r="K407" i="1"/>
  <c r="J408" i="1"/>
  <c r="K408" i="1"/>
  <c r="J409" i="1"/>
  <c r="K409" i="1"/>
  <c r="J410" i="1"/>
  <c r="K410" i="1"/>
  <c r="J411" i="1"/>
  <c r="K411" i="1"/>
  <c r="J412" i="1"/>
  <c r="K412" i="1"/>
  <c r="J413" i="1"/>
  <c r="K413" i="1"/>
  <c r="J414" i="1"/>
  <c r="K414" i="1"/>
  <c r="J415" i="1"/>
  <c r="K415" i="1"/>
  <c r="J416" i="1"/>
  <c r="K416" i="1"/>
  <c r="J417" i="1"/>
  <c r="K417" i="1"/>
  <c r="J418" i="1"/>
  <c r="K418" i="1"/>
  <c r="J419" i="1"/>
  <c r="K419" i="1"/>
  <c r="J420" i="1"/>
  <c r="K420" i="1"/>
  <c r="J421" i="1"/>
  <c r="K421" i="1"/>
  <c r="J422" i="1"/>
  <c r="K422" i="1"/>
  <c r="J423" i="1"/>
  <c r="K423" i="1"/>
  <c r="J424" i="1"/>
  <c r="K424" i="1"/>
  <c r="J425" i="1"/>
  <c r="K425" i="1"/>
  <c r="J426" i="1"/>
  <c r="K426" i="1"/>
  <c r="J427" i="1"/>
  <c r="K427" i="1"/>
  <c r="J428" i="1"/>
  <c r="K428" i="1"/>
  <c r="J429" i="1"/>
  <c r="K429" i="1"/>
  <c r="J430" i="1"/>
  <c r="K430" i="1"/>
  <c r="J431" i="1"/>
  <c r="K431" i="1"/>
  <c r="J432" i="1"/>
  <c r="K432" i="1"/>
  <c r="J433" i="1"/>
  <c r="K433" i="1"/>
  <c r="J434" i="1"/>
  <c r="K434" i="1"/>
  <c r="J435" i="1"/>
  <c r="K435" i="1"/>
  <c r="J436" i="1"/>
  <c r="K436" i="1"/>
  <c r="J437" i="1"/>
  <c r="K437" i="1"/>
  <c r="J438" i="1"/>
  <c r="K438" i="1"/>
  <c r="J439" i="1"/>
  <c r="K439" i="1"/>
  <c r="J440" i="1"/>
  <c r="K440" i="1"/>
  <c r="J441" i="1"/>
  <c r="K441" i="1"/>
  <c r="J442" i="1"/>
  <c r="K442" i="1"/>
  <c r="J443" i="1"/>
  <c r="K443" i="1"/>
  <c r="J444" i="1"/>
  <c r="K444" i="1"/>
  <c r="J445" i="1"/>
  <c r="K445" i="1"/>
  <c r="J446" i="1"/>
  <c r="K446" i="1"/>
  <c r="J447" i="1"/>
  <c r="K447" i="1"/>
  <c r="J448" i="1"/>
  <c r="K448" i="1"/>
  <c r="J449" i="1"/>
  <c r="K449" i="1"/>
  <c r="J450" i="1"/>
  <c r="K450" i="1"/>
  <c r="J451" i="1"/>
  <c r="K451" i="1"/>
  <c r="J452" i="1"/>
  <c r="K452" i="1"/>
  <c r="J453" i="1"/>
  <c r="K453" i="1"/>
  <c r="J454" i="1"/>
  <c r="K454" i="1"/>
  <c r="J455" i="1"/>
  <c r="K455" i="1"/>
  <c r="J456" i="1"/>
  <c r="K456" i="1"/>
  <c r="J457" i="1"/>
  <c r="K457" i="1"/>
  <c r="J458" i="1"/>
  <c r="K458" i="1"/>
  <c r="J459" i="1"/>
  <c r="K459" i="1"/>
  <c r="J460" i="1"/>
  <c r="K460" i="1"/>
  <c r="J461" i="1"/>
  <c r="K461" i="1"/>
  <c r="J462" i="1"/>
  <c r="K462" i="1"/>
  <c r="J463" i="1"/>
  <c r="K463" i="1"/>
  <c r="J464" i="1"/>
  <c r="K464" i="1"/>
  <c r="J465" i="1"/>
  <c r="K465" i="1"/>
  <c r="J466" i="1"/>
  <c r="K466" i="1"/>
  <c r="J467" i="1"/>
  <c r="K467" i="1"/>
  <c r="J468" i="1"/>
  <c r="K468" i="1"/>
  <c r="J469" i="1"/>
  <c r="K469" i="1"/>
  <c r="J470" i="1"/>
  <c r="K470" i="1"/>
  <c r="J471" i="1"/>
  <c r="K471" i="1"/>
  <c r="J472" i="1"/>
  <c r="K472" i="1"/>
  <c r="J473" i="1"/>
  <c r="K473" i="1"/>
  <c r="J474" i="1"/>
  <c r="K474" i="1"/>
  <c r="J475" i="1"/>
  <c r="K475" i="1"/>
  <c r="J476" i="1"/>
  <c r="K476" i="1"/>
  <c r="J477" i="1"/>
  <c r="K477" i="1"/>
  <c r="J478" i="1"/>
  <c r="K478" i="1"/>
  <c r="J479" i="1"/>
  <c r="K479" i="1"/>
  <c r="J480" i="1"/>
  <c r="K480" i="1"/>
  <c r="J481" i="1"/>
  <c r="K481" i="1"/>
  <c r="J482" i="1"/>
  <c r="K482" i="1"/>
  <c r="J483" i="1"/>
  <c r="K483" i="1"/>
  <c r="J484" i="1"/>
  <c r="K484" i="1"/>
  <c r="J485" i="1"/>
  <c r="K485" i="1"/>
  <c r="J486" i="1"/>
  <c r="K486" i="1"/>
  <c r="J487" i="1"/>
  <c r="K487" i="1"/>
  <c r="J488" i="1"/>
  <c r="K488" i="1"/>
  <c r="J489" i="1"/>
  <c r="K489" i="1"/>
  <c r="J490" i="1"/>
  <c r="K490" i="1"/>
  <c r="J491" i="1"/>
  <c r="K491" i="1"/>
  <c r="J492" i="1"/>
  <c r="K492" i="1"/>
  <c r="J493" i="1"/>
  <c r="K493" i="1"/>
  <c r="J494" i="1"/>
  <c r="K494" i="1"/>
  <c r="J495" i="1"/>
  <c r="K495" i="1"/>
  <c r="J496" i="1"/>
  <c r="K496" i="1"/>
  <c r="J497" i="1"/>
  <c r="K497" i="1"/>
  <c r="J498" i="1"/>
  <c r="K498" i="1"/>
  <c r="J499" i="1"/>
  <c r="K499" i="1"/>
  <c r="J500" i="1"/>
  <c r="K500" i="1"/>
  <c r="J501" i="1"/>
  <c r="K501" i="1"/>
  <c r="J502" i="1"/>
  <c r="K502" i="1"/>
  <c r="J503" i="1"/>
  <c r="K503" i="1"/>
  <c r="J504" i="1"/>
  <c r="K504" i="1"/>
  <c r="J505" i="1"/>
  <c r="K505" i="1"/>
  <c r="J506" i="1"/>
  <c r="K506" i="1"/>
  <c r="J507" i="1"/>
  <c r="K507" i="1"/>
  <c r="J508" i="1"/>
  <c r="K508" i="1"/>
  <c r="J509" i="1"/>
  <c r="K509" i="1"/>
  <c r="J510" i="1"/>
  <c r="K510" i="1"/>
  <c r="J511" i="1"/>
  <c r="K511" i="1"/>
  <c r="J512" i="1"/>
  <c r="K512" i="1"/>
  <c r="J513" i="1"/>
  <c r="K513" i="1"/>
  <c r="J514" i="1"/>
  <c r="K514" i="1"/>
  <c r="J515" i="1"/>
  <c r="K515" i="1"/>
  <c r="J516" i="1"/>
  <c r="K516" i="1"/>
  <c r="J517" i="1"/>
  <c r="K517" i="1"/>
  <c r="J518" i="1"/>
  <c r="K518" i="1"/>
  <c r="J519" i="1"/>
  <c r="K519" i="1"/>
  <c r="J520" i="1"/>
  <c r="K520" i="1"/>
  <c r="J521" i="1"/>
  <c r="K521" i="1"/>
  <c r="J522" i="1"/>
  <c r="K522" i="1"/>
  <c r="J523" i="1"/>
  <c r="K523" i="1"/>
  <c r="J524" i="1"/>
  <c r="K524" i="1"/>
  <c r="J525" i="1"/>
  <c r="K525" i="1"/>
  <c r="J526" i="1"/>
  <c r="K526" i="1"/>
  <c r="J527" i="1"/>
  <c r="K527" i="1"/>
  <c r="J528" i="1"/>
  <c r="K528" i="1"/>
  <c r="J529" i="1"/>
  <c r="K529" i="1"/>
  <c r="J530" i="1"/>
  <c r="K530" i="1"/>
  <c r="J531" i="1"/>
  <c r="K531" i="1"/>
  <c r="J532" i="1"/>
  <c r="K532" i="1"/>
  <c r="J533" i="1"/>
  <c r="K533" i="1"/>
  <c r="J534" i="1"/>
  <c r="K534" i="1"/>
  <c r="J535" i="1"/>
  <c r="K535" i="1"/>
  <c r="J536" i="1"/>
  <c r="K536" i="1"/>
  <c r="J537" i="1"/>
  <c r="K537" i="1"/>
  <c r="J538" i="1"/>
  <c r="K538" i="1"/>
  <c r="J539" i="1"/>
  <c r="K539" i="1"/>
  <c r="J540" i="1"/>
  <c r="K540" i="1"/>
  <c r="J541" i="1"/>
  <c r="K541" i="1"/>
  <c r="J542" i="1"/>
  <c r="K542" i="1"/>
  <c r="J543" i="1"/>
  <c r="K543" i="1"/>
  <c r="J544" i="1"/>
  <c r="K544" i="1"/>
  <c r="J545" i="1"/>
  <c r="K545" i="1"/>
  <c r="J546" i="1"/>
  <c r="K546" i="1"/>
  <c r="J547" i="1"/>
  <c r="K547" i="1"/>
  <c r="J548" i="1"/>
  <c r="K548" i="1"/>
  <c r="J549" i="1"/>
  <c r="K549" i="1"/>
  <c r="J550" i="1"/>
  <c r="K550" i="1"/>
  <c r="J551" i="1"/>
  <c r="K551" i="1"/>
  <c r="J552" i="1"/>
  <c r="K552" i="1"/>
  <c r="J553" i="1"/>
  <c r="K553" i="1"/>
  <c r="J554" i="1"/>
  <c r="K554" i="1"/>
  <c r="J555" i="1"/>
  <c r="K555" i="1"/>
  <c r="J556" i="1"/>
  <c r="K556" i="1"/>
  <c r="J557" i="1"/>
  <c r="K557" i="1"/>
  <c r="J558" i="1"/>
  <c r="K558" i="1"/>
  <c r="J559" i="1"/>
  <c r="K559" i="1"/>
  <c r="J560" i="1"/>
  <c r="K560" i="1"/>
  <c r="J561" i="1"/>
  <c r="K561" i="1"/>
  <c r="J562" i="1"/>
  <c r="K562" i="1"/>
  <c r="J563" i="1"/>
  <c r="K563" i="1"/>
  <c r="J564" i="1"/>
  <c r="J565" i="1"/>
  <c r="J26" i="1"/>
  <c r="K26" i="1"/>
  <c r="P102" i="1" l="1"/>
  <c r="Q102" i="1"/>
  <c r="R102" i="1"/>
  <c r="S102" i="1"/>
  <c r="T102" i="1"/>
  <c r="V102" i="1" s="1"/>
  <c r="U102" i="1"/>
  <c r="W102" i="1" s="1"/>
  <c r="P103" i="1"/>
  <c r="Q103" i="1"/>
  <c r="R103" i="1"/>
  <c r="S103" i="1"/>
  <c r="T103" i="1"/>
  <c r="V103" i="1" s="1"/>
  <c r="U103" i="1"/>
  <c r="W103" i="1" s="1"/>
  <c r="P104" i="1"/>
  <c r="Q104" i="1"/>
  <c r="R104" i="1"/>
  <c r="S104" i="1"/>
  <c r="T104" i="1"/>
  <c r="V104" i="1" s="1"/>
  <c r="U104" i="1"/>
  <c r="W104" i="1" s="1"/>
  <c r="P105" i="1"/>
  <c r="Q105" i="1"/>
  <c r="R105" i="1"/>
  <c r="S105" i="1"/>
  <c r="T105" i="1"/>
  <c r="V105" i="1" s="1"/>
  <c r="U105" i="1"/>
  <c r="W105" i="1" s="1"/>
  <c r="P106" i="1"/>
  <c r="Q106" i="1"/>
  <c r="R106" i="1"/>
  <c r="S106" i="1"/>
  <c r="T106" i="1"/>
  <c r="V106" i="1" s="1"/>
  <c r="U106" i="1"/>
  <c r="W106" i="1" s="1"/>
  <c r="P107" i="1"/>
  <c r="Q107" i="1"/>
  <c r="R107" i="1"/>
  <c r="S107" i="1"/>
  <c r="T107" i="1"/>
  <c r="V107" i="1" s="1"/>
  <c r="U107" i="1"/>
  <c r="W107" i="1" s="1"/>
  <c r="P108" i="1"/>
  <c r="Q108" i="1"/>
  <c r="R108" i="1"/>
  <c r="S108" i="1"/>
  <c r="T108" i="1"/>
  <c r="V108" i="1" s="1"/>
  <c r="U108" i="1"/>
  <c r="W108" i="1" s="1"/>
  <c r="U115" i="1" l="1"/>
  <c r="W115" i="1" s="1"/>
  <c r="T115" i="1"/>
  <c r="V115" i="1" s="1"/>
  <c r="S115" i="1"/>
  <c r="R115" i="1"/>
  <c r="Q115" i="1"/>
  <c r="P115" i="1"/>
  <c r="U114" i="1"/>
  <c r="W114" i="1" s="1"/>
  <c r="T114" i="1"/>
  <c r="V114" i="1" s="1"/>
  <c r="S114" i="1"/>
  <c r="R114" i="1"/>
  <c r="Q114" i="1"/>
  <c r="P114" i="1"/>
  <c r="U113" i="1"/>
  <c r="W113" i="1" s="1"/>
  <c r="T113" i="1"/>
  <c r="V113" i="1" s="1"/>
  <c r="S113" i="1"/>
  <c r="R113" i="1"/>
  <c r="Q113" i="1"/>
  <c r="P113" i="1"/>
  <c r="U112" i="1"/>
  <c r="W112" i="1" s="1"/>
  <c r="T112" i="1"/>
  <c r="V112" i="1" s="1"/>
  <c r="S112" i="1"/>
  <c r="R112" i="1"/>
  <c r="Q112" i="1"/>
  <c r="P112" i="1"/>
  <c r="U111" i="1"/>
  <c r="W111" i="1" s="1"/>
  <c r="T111" i="1"/>
  <c r="V111" i="1" s="1"/>
  <c r="S111" i="1"/>
  <c r="R111" i="1"/>
  <c r="Q111" i="1"/>
  <c r="P111" i="1"/>
  <c r="U110" i="1"/>
  <c r="W110" i="1" s="1"/>
  <c r="T110" i="1"/>
  <c r="V110" i="1" s="1"/>
  <c r="S110" i="1"/>
  <c r="R110" i="1"/>
  <c r="Q110" i="1"/>
  <c r="P110" i="1"/>
  <c r="U396" i="1"/>
  <c r="W396" i="1" s="1"/>
  <c r="T396" i="1"/>
  <c r="V396" i="1" s="1"/>
  <c r="S396" i="1"/>
  <c r="R396" i="1"/>
  <c r="Q396" i="1"/>
  <c r="P396" i="1"/>
  <c r="U395" i="1"/>
  <c r="W395" i="1" s="1"/>
  <c r="T395" i="1"/>
  <c r="V395" i="1" s="1"/>
  <c r="S395" i="1"/>
  <c r="R395" i="1"/>
  <c r="Q395" i="1"/>
  <c r="P395" i="1"/>
  <c r="U394" i="1"/>
  <c r="W394" i="1" s="1"/>
  <c r="T394" i="1"/>
  <c r="V394" i="1" s="1"/>
  <c r="S394" i="1"/>
  <c r="R394" i="1"/>
  <c r="Q394" i="1"/>
  <c r="P394" i="1"/>
  <c r="U393" i="1"/>
  <c r="W393" i="1" s="1"/>
  <c r="T393" i="1"/>
  <c r="V393" i="1" s="1"/>
  <c r="S393" i="1"/>
  <c r="R393" i="1"/>
  <c r="Q393" i="1"/>
  <c r="P393" i="1"/>
  <c r="U392" i="1"/>
  <c r="W392" i="1" s="1"/>
  <c r="T392" i="1"/>
  <c r="V392" i="1" s="1"/>
  <c r="S392" i="1"/>
  <c r="R392" i="1"/>
  <c r="Q392" i="1"/>
  <c r="P392" i="1"/>
  <c r="U391" i="1"/>
  <c r="W391" i="1" s="1"/>
  <c r="T391" i="1"/>
  <c r="V391" i="1" s="1"/>
  <c r="S391" i="1"/>
  <c r="R391" i="1"/>
  <c r="Q391" i="1"/>
  <c r="P391" i="1"/>
  <c r="U390" i="1"/>
  <c r="W390" i="1" s="1"/>
  <c r="T390" i="1"/>
  <c r="V390" i="1" s="1"/>
  <c r="S390" i="1"/>
  <c r="R390" i="1"/>
  <c r="Q390" i="1"/>
  <c r="P390" i="1"/>
  <c r="U389" i="1"/>
  <c r="W389" i="1" s="1"/>
  <c r="T389" i="1"/>
  <c r="V389" i="1" s="1"/>
  <c r="S389" i="1"/>
  <c r="R389" i="1"/>
  <c r="Q389" i="1"/>
  <c r="P389" i="1"/>
  <c r="U388" i="1"/>
  <c r="W388" i="1" s="1"/>
  <c r="T388" i="1"/>
  <c r="V388" i="1" s="1"/>
  <c r="S388" i="1"/>
  <c r="R388" i="1"/>
  <c r="Q388" i="1"/>
  <c r="P388" i="1"/>
  <c r="U387" i="1"/>
  <c r="W387" i="1" s="1"/>
  <c r="T387" i="1"/>
  <c r="V387" i="1" s="1"/>
  <c r="S387" i="1"/>
  <c r="R387" i="1"/>
  <c r="Q387" i="1"/>
  <c r="P387" i="1"/>
  <c r="U386" i="1"/>
  <c r="W386" i="1" s="1"/>
  <c r="T386" i="1"/>
  <c r="V386" i="1" s="1"/>
  <c r="S386" i="1"/>
  <c r="R386" i="1"/>
  <c r="Q386" i="1"/>
  <c r="P386" i="1"/>
  <c r="U385" i="1"/>
  <c r="W385" i="1" s="1"/>
  <c r="T385" i="1"/>
  <c r="V385" i="1" s="1"/>
  <c r="S385" i="1"/>
  <c r="R385" i="1"/>
  <c r="Q385" i="1"/>
  <c r="P385" i="1"/>
  <c r="U384" i="1"/>
  <c r="W384" i="1" s="1"/>
  <c r="T384" i="1"/>
  <c r="V384" i="1" s="1"/>
  <c r="S384" i="1"/>
  <c r="R384" i="1"/>
  <c r="Q384" i="1"/>
  <c r="P384" i="1"/>
  <c r="U383" i="1"/>
  <c r="W383" i="1" s="1"/>
  <c r="T383" i="1"/>
  <c r="V383" i="1" s="1"/>
  <c r="S383" i="1"/>
  <c r="R383" i="1"/>
  <c r="Q383" i="1"/>
  <c r="P383" i="1"/>
  <c r="U382" i="1"/>
  <c r="W382" i="1" s="1"/>
  <c r="T382" i="1"/>
  <c r="V382" i="1" s="1"/>
  <c r="S382" i="1"/>
  <c r="R382" i="1"/>
  <c r="Q382" i="1"/>
  <c r="P382" i="1"/>
  <c r="U381" i="1"/>
  <c r="W381" i="1" s="1"/>
  <c r="T381" i="1"/>
  <c r="V381" i="1" s="1"/>
  <c r="S381" i="1"/>
  <c r="R381" i="1"/>
  <c r="Q381" i="1"/>
  <c r="P381" i="1"/>
  <c r="U380" i="1"/>
  <c r="W380" i="1" s="1"/>
  <c r="T380" i="1"/>
  <c r="V380" i="1" s="1"/>
  <c r="S380" i="1"/>
  <c r="R380" i="1"/>
  <c r="Q380" i="1"/>
  <c r="P380" i="1"/>
  <c r="U379" i="1"/>
  <c r="W379" i="1" s="1"/>
  <c r="T379" i="1"/>
  <c r="V379" i="1" s="1"/>
  <c r="S379" i="1"/>
  <c r="R379" i="1"/>
  <c r="Q379" i="1"/>
  <c r="P379" i="1"/>
  <c r="U378" i="1"/>
  <c r="W378" i="1" s="1"/>
  <c r="T378" i="1"/>
  <c r="V378" i="1" s="1"/>
  <c r="S378" i="1"/>
  <c r="R378" i="1"/>
  <c r="Q378" i="1"/>
  <c r="P378" i="1"/>
  <c r="U377" i="1"/>
  <c r="W377" i="1" s="1"/>
  <c r="T377" i="1"/>
  <c r="V377" i="1" s="1"/>
  <c r="S377" i="1"/>
  <c r="R377" i="1"/>
  <c r="Q377" i="1"/>
  <c r="P377" i="1"/>
  <c r="U376" i="1"/>
  <c r="W376" i="1" s="1"/>
  <c r="T376" i="1"/>
  <c r="V376" i="1" s="1"/>
  <c r="S376" i="1"/>
  <c r="R376" i="1"/>
  <c r="Q376" i="1"/>
  <c r="P376" i="1"/>
  <c r="U375" i="1"/>
  <c r="W375" i="1" s="1"/>
  <c r="T375" i="1"/>
  <c r="V375" i="1" s="1"/>
  <c r="S375" i="1"/>
  <c r="R375" i="1"/>
  <c r="Q375" i="1"/>
  <c r="P375" i="1"/>
  <c r="U374" i="1"/>
  <c r="W374" i="1" s="1"/>
  <c r="T374" i="1"/>
  <c r="V374" i="1" s="1"/>
  <c r="S374" i="1"/>
  <c r="R374" i="1"/>
  <c r="Q374" i="1"/>
  <c r="P374" i="1"/>
  <c r="U373" i="1"/>
  <c r="W373" i="1" s="1"/>
  <c r="T373" i="1"/>
  <c r="V373" i="1" s="1"/>
  <c r="S373" i="1"/>
  <c r="R373" i="1"/>
  <c r="Q373" i="1"/>
  <c r="P373" i="1"/>
  <c r="U372" i="1"/>
  <c r="W372" i="1" s="1"/>
  <c r="T372" i="1"/>
  <c r="V372" i="1" s="1"/>
  <c r="S372" i="1"/>
  <c r="R372" i="1"/>
  <c r="Q372" i="1"/>
  <c r="P372" i="1"/>
  <c r="U371" i="1"/>
  <c r="W371" i="1" s="1"/>
  <c r="T371" i="1"/>
  <c r="V371" i="1" s="1"/>
  <c r="S371" i="1"/>
  <c r="R371" i="1"/>
  <c r="Q371" i="1"/>
  <c r="P371" i="1"/>
  <c r="U370" i="1"/>
  <c r="W370" i="1" s="1"/>
  <c r="T370" i="1"/>
  <c r="V370" i="1" s="1"/>
  <c r="S370" i="1"/>
  <c r="R370" i="1"/>
  <c r="Q370" i="1"/>
  <c r="P370" i="1"/>
  <c r="U369" i="1"/>
  <c r="W369" i="1" s="1"/>
  <c r="T369" i="1"/>
  <c r="V369" i="1" s="1"/>
  <c r="S369" i="1"/>
  <c r="R369" i="1"/>
  <c r="Q369" i="1"/>
  <c r="P369" i="1"/>
  <c r="U368" i="1"/>
  <c r="W368" i="1" s="1"/>
  <c r="T368" i="1"/>
  <c r="V368" i="1" s="1"/>
  <c r="S368" i="1"/>
  <c r="R368" i="1"/>
  <c r="Q368" i="1"/>
  <c r="P368" i="1"/>
  <c r="U367" i="1"/>
  <c r="W367" i="1" s="1"/>
  <c r="T367" i="1"/>
  <c r="V367" i="1" s="1"/>
  <c r="S367" i="1"/>
  <c r="R367" i="1"/>
  <c r="Q367" i="1"/>
  <c r="P367" i="1"/>
  <c r="U366" i="1"/>
  <c r="W366" i="1" s="1"/>
  <c r="T366" i="1"/>
  <c r="V366" i="1" s="1"/>
  <c r="S366" i="1"/>
  <c r="R366" i="1"/>
  <c r="Q366" i="1"/>
  <c r="P366" i="1"/>
  <c r="U365" i="1"/>
  <c r="W365" i="1" s="1"/>
  <c r="T365" i="1"/>
  <c r="V365" i="1" s="1"/>
  <c r="S365" i="1"/>
  <c r="R365" i="1"/>
  <c r="Q365" i="1"/>
  <c r="P365" i="1"/>
  <c r="U364" i="1"/>
  <c r="W364" i="1" s="1"/>
  <c r="T364" i="1"/>
  <c r="V364" i="1" s="1"/>
  <c r="S364" i="1"/>
  <c r="R364" i="1"/>
  <c r="Q364" i="1"/>
  <c r="P364" i="1"/>
  <c r="U363" i="1"/>
  <c r="W363" i="1" s="1"/>
  <c r="T363" i="1"/>
  <c r="V363" i="1" s="1"/>
  <c r="S363" i="1"/>
  <c r="R363" i="1"/>
  <c r="Q363" i="1"/>
  <c r="P363" i="1"/>
  <c r="U362" i="1"/>
  <c r="W362" i="1" s="1"/>
  <c r="T362" i="1"/>
  <c r="V362" i="1" s="1"/>
  <c r="S362" i="1"/>
  <c r="R362" i="1"/>
  <c r="Q362" i="1"/>
  <c r="P362" i="1"/>
  <c r="U361" i="1"/>
  <c r="W361" i="1" s="1"/>
  <c r="T361" i="1"/>
  <c r="V361" i="1" s="1"/>
  <c r="S361" i="1"/>
  <c r="R361" i="1"/>
  <c r="Q361" i="1"/>
  <c r="P361" i="1"/>
  <c r="U360" i="1"/>
  <c r="W360" i="1" s="1"/>
  <c r="T360" i="1"/>
  <c r="V360" i="1" s="1"/>
  <c r="S360" i="1"/>
  <c r="R360" i="1"/>
  <c r="Q360" i="1"/>
  <c r="P360" i="1"/>
  <c r="U359" i="1"/>
  <c r="W359" i="1" s="1"/>
  <c r="T359" i="1"/>
  <c r="V359" i="1" s="1"/>
  <c r="S359" i="1"/>
  <c r="R359" i="1"/>
  <c r="Q359" i="1"/>
  <c r="P359" i="1"/>
  <c r="U358" i="1"/>
  <c r="W358" i="1" s="1"/>
  <c r="T358" i="1"/>
  <c r="V358" i="1" s="1"/>
  <c r="S358" i="1"/>
  <c r="R358" i="1"/>
  <c r="Q358" i="1"/>
  <c r="P358" i="1"/>
  <c r="U357" i="1"/>
  <c r="W357" i="1" s="1"/>
  <c r="T357" i="1"/>
  <c r="V357" i="1" s="1"/>
  <c r="S357" i="1"/>
  <c r="R357" i="1"/>
  <c r="Q357" i="1"/>
  <c r="P357" i="1"/>
  <c r="U356" i="1"/>
  <c r="W356" i="1" s="1"/>
  <c r="T356" i="1"/>
  <c r="V356" i="1" s="1"/>
  <c r="S356" i="1"/>
  <c r="R356" i="1"/>
  <c r="Q356" i="1"/>
  <c r="P356" i="1"/>
  <c r="U355" i="1"/>
  <c r="W355" i="1" s="1"/>
  <c r="T355" i="1"/>
  <c r="V355" i="1" s="1"/>
  <c r="S355" i="1"/>
  <c r="R355" i="1"/>
  <c r="Q355" i="1"/>
  <c r="P355" i="1"/>
  <c r="U354" i="1"/>
  <c r="W354" i="1" s="1"/>
  <c r="T354" i="1"/>
  <c r="V354" i="1" s="1"/>
  <c r="S354" i="1"/>
  <c r="R354" i="1"/>
  <c r="Q354" i="1"/>
  <c r="P354" i="1"/>
  <c r="U353" i="1"/>
  <c r="W353" i="1" s="1"/>
  <c r="T353" i="1"/>
  <c r="V353" i="1" s="1"/>
  <c r="S353" i="1"/>
  <c r="R353" i="1"/>
  <c r="Q353" i="1"/>
  <c r="P353" i="1"/>
  <c r="U352" i="1"/>
  <c r="W352" i="1" s="1"/>
  <c r="T352" i="1"/>
  <c r="V352" i="1" s="1"/>
  <c r="S352" i="1"/>
  <c r="R352" i="1"/>
  <c r="Q352" i="1"/>
  <c r="P352" i="1"/>
  <c r="U351" i="1"/>
  <c r="W351" i="1" s="1"/>
  <c r="T351" i="1"/>
  <c r="V351" i="1" s="1"/>
  <c r="S351" i="1"/>
  <c r="R351" i="1"/>
  <c r="Q351" i="1"/>
  <c r="P351" i="1"/>
  <c r="U350" i="1"/>
  <c r="W350" i="1" s="1"/>
  <c r="T350" i="1"/>
  <c r="V350" i="1" s="1"/>
  <c r="S350" i="1"/>
  <c r="R350" i="1"/>
  <c r="Q350" i="1"/>
  <c r="P350" i="1"/>
  <c r="U349" i="1"/>
  <c r="W349" i="1" s="1"/>
  <c r="T349" i="1"/>
  <c r="V349" i="1" s="1"/>
  <c r="S349" i="1"/>
  <c r="R349" i="1"/>
  <c r="Q349" i="1"/>
  <c r="P349" i="1"/>
  <c r="U348" i="1"/>
  <c r="W348" i="1" s="1"/>
  <c r="T348" i="1"/>
  <c r="V348" i="1" s="1"/>
  <c r="S348" i="1"/>
  <c r="R348" i="1"/>
  <c r="Q348" i="1"/>
  <c r="P348" i="1"/>
  <c r="U347" i="1"/>
  <c r="W347" i="1" s="1"/>
  <c r="T347" i="1"/>
  <c r="V347" i="1" s="1"/>
  <c r="S347" i="1"/>
  <c r="R347" i="1"/>
  <c r="Q347" i="1"/>
  <c r="P347" i="1"/>
  <c r="U346" i="1"/>
  <c r="W346" i="1" s="1"/>
  <c r="T346" i="1"/>
  <c r="V346" i="1" s="1"/>
  <c r="S346" i="1"/>
  <c r="R346" i="1"/>
  <c r="Q346" i="1"/>
  <c r="P346" i="1"/>
  <c r="U345" i="1"/>
  <c r="W345" i="1" s="1"/>
  <c r="T345" i="1"/>
  <c r="V345" i="1" s="1"/>
  <c r="S345" i="1"/>
  <c r="R345" i="1"/>
  <c r="Q345" i="1"/>
  <c r="P345" i="1"/>
  <c r="U344" i="1"/>
  <c r="W344" i="1" s="1"/>
  <c r="T344" i="1"/>
  <c r="V344" i="1" s="1"/>
  <c r="S344" i="1"/>
  <c r="R344" i="1"/>
  <c r="Q344" i="1"/>
  <c r="P344" i="1"/>
  <c r="U343" i="1"/>
  <c r="W343" i="1" s="1"/>
  <c r="T343" i="1"/>
  <c r="V343" i="1" s="1"/>
  <c r="S343" i="1"/>
  <c r="R343" i="1"/>
  <c r="Q343" i="1"/>
  <c r="P343" i="1"/>
  <c r="U342" i="1"/>
  <c r="W342" i="1" s="1"/>
  <c r="T342" i="1"/>
  <c r="V342" i="1" s="1"/>
  <c r="S342" i="1"/>
  <c r="R342" i="1"/>
  <c r="Q342" i="1"/>
  <c r="P342" i="1"/>
  <c r="U341" i="1"/>
  <c r="W341" i="1" s="1"/>
  <c r="T341" i="1"/>
  <c r="V341" i="1" s="1"/>
  <c r="S341" i="1"/>
  <c r="R341" i="1"/>
  <c r="Q341" i="1"/>
  <c r="P341" i="1"/>
  <c r="U340" i="1"/>
  <c r="W340" i="1" s="1"/>
  <c r="T340" i="1"/>
  <c r="V340" i="1" s="1"/>
  <c r="S340" i="1"/>
  <c r="R340" i="1"/>
  <c r="Q340" i="1"/>
  <c r="P340" i="1"/>
  <c r="U339" i="1"/>
  <c r="W339" i="1" s="1"/>
  <c r="T339" i="1"/>
  <c r="V339" i="1" s="1"/>
  <c r="S339" i="1"/>
  <c r="R339" i="1"/>
  <c r="Q339" i="1"/>
  <c r="P339" i="1"/>
  <c r="U338" i="1"/>
  <c r="W338" i="1" s="1"/>
  <c r="T338" i="1"/>
  <c r="V338" i="1" s="1"/>
  <c r="S338" i="1"/>
  <c r="R338" i="1"/>
  <c r="Q338" i="1"/>
  <c r="P338" i="1"/>
  <c r="U337" i="1"/>
  <c r="W337" i="1" s="1"/>
  <c r="T337" i="1"/>
  <c r="V337" i="1" s="1"/>
  <c r="S337" i="1"/>
  <c r="R337" i="1"/>
  <c r="Q337" i="1"/>
  <c r="P337" i="1"/>
  <c r="U336" i="1"/>
  <c r="W336" i="1" s="1"/>
  <c r="T336" i="1"/>
  <c r="V336" i="1" s="1"/>
  <c r="S336" i="1"/>
  <c r="R336" i="1"/>
  <c r="Q336" i="1"/>
  <c r="P336" i="1"/>
  <c r="U335" i="1"/>
  <c r="W335" i="1" s="1"/>
  <c r="T335" i="1"/>
  <c r="V335" i="1" s="1"/>
  <c r="S335" i="1"/>
  <c r="R335" i="1"/>
  <c r="Q335" i="1"/>
  <c r="P335" i="1"/>
  <c r="U334" i="1"/>
  <c r="W334" i="1" s="1"/>
  <c r="T334" i="1"/>
  <c r="V334" i="1" s="1"/>
  <c r="S334" i="1"/>
  <c r="R334" i="1"/>
  <c r="Q334" i="1"/>
  <c r="P334" i="1"/>
  <c r="U333" i="1"/>
  <c r="W333" i="1" s="1"/>
  <c r="T333" i="1"/>
  <c r="V333" i="1" s="1"/>
  <c r="S333" i="1"/>
  <c r="R333" i="1"/>
  <c r="Q333" i="1"/>
  <c r="P333" i="1"/>
  <c r="U332" i="1"/>
  <c r="W332" i="1" s="1"/>
  <c r="T332" i="1"/>
  <c r="V332" i="1" s="1"/>
  <c r="S332" i="1"/>
  <c r="R332" i="1"/>
  <c r="Q332" i="1"/>
  <c r="P332" i="1"/>
  <c r="U331" i="1"/>
  <c r="W331" i="1" s="1"/>
  <c r="T331" i="1"/>
  <c r="V331" i="1" s="1"/>
  <c r="S331" i="1"/>
  <c r="R331" i="1"/>
  <c r="Q331" i="1"/>
  <c r="P331" i="1"/>
  <c r="U330" i="1"/>
  <c r="W330" i="1" s="1"/>
  <c r="T330" i="1"/>
  <c r="V330" i="1" s="1"/>
  <c r="S330" i="1"/>
  <c r="R330" i="1"/>
  <c r="Q330" i="1"/>
  <c r="P330" i="1"/>
  <c r="U329" i="1"/>
  <c r="W329" i="1" s="1"/>
  <c r="T329" i="1"/>
  <c r="V329" i="1" s="1"/>
  <c r="S329" i="1"/>
  <c r="R329" i="1"/>
  <c r="Q329" i="1"/>
  <c r="P329" i="1"/>
  <c r="U328" i="1"/>
  <c r="W328" i="1" s="1"/>
  <c r="T328" i="1"/>
  <c r="V328" i="1" s="1"/>
  <c r="S328" i="1"/>
  <c r="R328" i="1"/>
  <c r="Q328" i="1"/>
  <c r="P328" i="1"/>
  <c r="U327" i="1"/>
  <c r="W327" i="1" s="1"/>
  <c r="T327" i="1"/>
  <c r="V327" i="1" s="1"/>
  <c r="S327" i="1"/>
  <c r="R327" i="1"/>
  <c r="Q327" i="1"/>
  <c r="P327" i="1"/>
  <c r="U326" i="1"/>
  <c r="W326" i="1" s="1"/>
  <c r="T326" i="1"/>
  <c r="V326" i="1" s="1"/>
  <c r="S326" i="1"/>
  <c r="R326" i="1"/>
  <c r="Q326" i="1"/>
  <c r="P326" i="1"/>
  <c r="U325" i="1"/>
  <c r="W325" i="1" s="1"/>
  <c r="T325" i="1"/>
  <c r="V325" i="1" s="1"/>
  <c r="S325" i="1"/>
  <c r="R325" i="1"/>
  <c r="Q325" i="1"/>
  <c r="P325" i="1"/>
  <c r="U324" i="1"/>
  <c r="W324" i="1" s="1"/>
  <c r="T324" i="1"/>
  <c r="V324" i="1" s="1"/>
  <c r="S324" i="1"/>
  <c r="R324" i="1"/>
  <c r="Q324" i="1"/>
  <c r="P324" i="1"/>
  <c r="U323" i="1"/>
  <c r="W323" i="1" s="1"/>
  <c r="T323" i="1"/>
  <c r="V323" i="1" s="1"/>
  <c r="S323" i="1"/>
  <c r="R323" i="1"/>
  <c r="Q323" i="1"/>
  <c r="P323" i="1"/>
  <c r="U322" i="1"/>
  <c r="W322" i="1" s="1"/>
  <c r="T322" i="1"/>
  <c r="V322" i="1" s="1"/>
  <c r="S322" i="1"/>
  <c r="R322" i="1"/>
  <c r="Q322" i="1"/>
  <c r="P322" i="1"/>
  <c r="U321" i="1"/>
  <c r="W321" i="1" s="1"/>
  <c r="T321" i="1"/>
  <c r="V321" i="1" s="1"/>
  <c r="S321" i="1"/>
  <c r="R321" i="1"/>
  <c r="Q321" i="1"/>
  <c r="P321" i="1"/>
  <c r="U320" i="1"/>
  <c r="W320" i="1" s="1"/>
  <c r="T320" i="1"/>
  <c r="V320" i="1" s="1"/>
  <c r="S320" i="1"/>
  <c r="R320" i="1"/>
  <c r="Q320" i="1"/>
  <c r="P320" i="1"/>
  <c r="U319" i="1"/>
  <c r="W319" i="1" s="1"/>
  <c r="T319" i="1"/>
  <c r="V319" i="1" s="1"/>
  <c r="S319" i="1"/>
  <c r="R319" i="1"/>
  <c r="Q319" i="1"/>
  <c r="P319" i="1"/>
  <c r="U318" i="1"/>
  <c r="W318" i="1" s="1"/>
  <c r="T318" i="1"/>
  <c r="V318" i="1" s="1"/>
  <c r="S318" i="1"/>
  <c r="R318" i="1"/>
  <c r="Q318" i="1"/>
  <c r="P318" i="1"/>
  <c r="U317" i="1"/>
  <c r="W317" i="1" s="1"/>
  <c r="T317" i="1"/>
  <c r="V317" i="1" s="1"/>
  <c r="S317" i="1"/>
  <c r="R317" i="1"/>
  <c r="Q317" i="1"/>
  <c r="P317" i="1"/>
  <c r="U316" i="1"/>
  <c r="W316" i="1" s="1"/>
  <c r="T316" i="1"/>
  <c r="V316" i="1" s="1"/>
  <c r="S316" i="1"/>
  <c r="R316" i="1"/>
  <c r="Q316" i="1"/>
  <c r="P316" i="1"/>
  <c r="U315" i="1"/>
  <c r="W315" i="1" s="1"/>
  <c r="T315" i="1"/>
  <c r="V315" i="1" s="1"/>
  <c r="S315" i="1"/>
  <c r="R315" i="1"/>
  <c r="Q315" i="1"/>
  <c r="P315" i="1"/>
  <c r="U314" i="1"/>
  <c r="W314" i="1" s="1"/>
  <c r="T314" i="1"/>
  <c r="V314" i="1" s="1"/>
  <c r="S314" i="1"/>
  <c r="R314" i="1"/>
  <c r="Q314" i="1"/>
  <c r="P314" i="1"/>
  <c r="U313" i="1"/>
  <c r="W313" i="1" s="1"/>
  <c r="T313" i="1"/>
  <c r="V313" i="1" s="1"/>
  <c r="S313" i="1"/>
  <c r="R313" i="1"/>
  <c r="Q313" i="1"/>
  <c r="P313" i="1"/>
  <c r="U312" i="1"/>
  <c r="W312" i="1" s="1"/>
  <c r="T312" i="1"/>
  <c r="V312" i="1" s="1"/>
  <c r="S312" i="1"/>
  <c r="R312" i="1"/>
  <c r="Q312" i="1"/>
  <c r="P312" i="1"/>
  <c r="U311" i="1"/>
  <c r="W311" i="1" s="1"/>
  <c r="T311" i="1"/>
  <c r="V311" i="1" s="1"/>
  <c r="S311" i="1"/>
  <c r="R311" i="1"/>
  <c r="Q311" i="1"/>
  <c r="P311" i="1"/>
  <c r="U310" i="1"/>
  <c r="W310" i="1" s="1"/>
  <c r="T310" i="1"/>
  <c r="V310" i="1" s="1"/>
  <c r="S310" i="1"/>
  <c r="R310" i="1"/>
  <c r="Q310" i="1"/>
  <c r="P310" i="1"/>
  <c r="U309" i="1"/>
  <c r="W309" i="1" s="1"/>
  <c r="T309" i="1"/>
  <c r="V309" i="1" s="1"/>
  <c r="S309" i="1"/>
  <c r="R309" i="1"/>
  <c r="Q309" i="1"/>
  <c r="P309" i="1"/>
  <c r="U308" i="1"/>
  <c r="W308" i="1" s="1"/>
  <c r="T308" i="1"/>
  <c r="V308" i="1" s="1"/>
  <c r="S308" i="1"/>
  <c r="R308" i="1"/>
  <c r="Q308" i="1"/>
  <c r="P308" i="1"/>
  <c r="U307" i="1"/>
  <c r="W307" i="1" s="1"/>
  <c r="T307" i="1"/>
  <c r="V307" i="1" s="1"/>
  <c r="S307" i="1"/>
  <c r="R307" i="1"/>
  <c r="Q307" i="1"/>
  <c r="P307" i="1"/>
  <c r="U306" i="1"/>
  <c r="W306" i="1" s="1"/>
  <c r="T306" i="1"/>
  <c r="V306" i="1" s="1"/>
  <c r="S306" i="1"/>
  <c r="R306" i="1"/>
  <c r="Q306" i="1"/>
  <c r="P306" i="1"/>
  <c r="U305" i="1"/>
  <c r="W305" i="1" s="1"/>
  <c r="T305" i="1"/>
  <c r="V305" i="1" s="1"/>
  <c r="S305" i="1"/>
  <c r="R305" i="1"/>
  <c r="Q305" i="1"/>
  <c r="P305" i="1"/>
  <c r="U304" i="1"/>
  <c r="W304" i="1" s="1"/>
  <c r="T304" i="1"/>
  <c r="V304" i="1" s="1"/>
  <c r="S304" i="1"/>
  <c r="R304" i="1"/>
  <c r="Q304" i="1"/>
  <c r="P304" i="1"/>
  <c r="U303" i="1"/>
  <c r="W303" i="1" s="1"/>
  <c r="T303" i="1"/>
  <c r="V303" i="1" s="1"/>
  <c r="S303" i="1"/>
  <c r="R303" i="1"/>
  <c r="Q303" i="1"/>
  <c r="P303" i="1"/>
  <c r="U302" i="1"/>
  <c r="W302" i="1" s="1"/>
  <c r="T302" i="1"/>
  <c r="V302" i="1" s="1"/>
  <c r="S302" i="1"/>
  <c r="R302" i="1"/>
  <c r="Q302" i="1"/>
  <c r="P302" i="1"/>
  <c r="U301" i="1"/>
  <c r="W301" i="1" s="1"/>
  <c r="T301" i="1"/>
  <c r="V301" i="1" s="1"/>
  <c r="S301" i="1"/>
  <c r="R301" i="1"/>
  <c r="Q301" i="1"/>
  <c r="P301" i="1"/>
  <c r="U300" i="1"/>
  <c r="W300" i="1" s="1"/>
  <c r="T300" i="1"/>
  <c r="V300" i="1" s="1"/>
  <c r="S300" i="1"/>
  <c r="R300" i="1"/>
  <c r="Q300" i="1"/>
  <c r="P300" i="1"/>
  <c r="U299" i="1"/>
  <c r="W299" i="1" s="1"/>
  <c r="T299" i="1"/>
  <c r="V299" i="1" s="1"/>
  <c r="S299" i="1"/>
  <c r="R299" i="1"/>
  <c r="Q299" i="1"/>
  <c r="P299" i="1"/>
  <c r="U298" i="1"/>
  <c r="W298" i="1" s="1"/>
  <c r="T298" i="1"/>
  <c r="V298" i="1" s="1"/>
  <c r="S298" i="1"/>
  <c r="R298" i="1"/>
  <c r="Q298" i="1"/>
  <c r="P298" i="1"/>
  <c r="U297" i="1"/>
  <c r="W297" i="1" s="1"/>
  <c r="T297" i="1"/>
  <c r="V297" i="1" s="1"/>
  <c r="S297" i="1"/>
  <c r="R297" i="1"/>
  <c r="Q297" i="1"/>
  <c r="P297" i="1"/>
  <c r="U296" i="1"/>
  <c r="W296" i="1" s="1"/>
  <c r="T296" i="1"/>
  <c r="V296" i="1" s="1"/>
  <c r="S296" i="1"/>
  <c r="R296" i="1"/>
  <c r="Q296" i="1"/>
  <c r="P296" i="1"/>
  <c r="U295" i="1"/>
  <c r="W295" i="1" s="1"/>
  <c r="T295" i="1"/>
  <c r="V295" i="1" s="1"/>
  <c r="S295" i="1"/>
  <c r="R295" i="1"/>
  <c r="Q295" i="1"/>
  <c r="P295" i="1"/>
  <c r="U294" i="1"/>
  <c r="W294" i="1" s="1"/>
  <c r="T294" i="1"/>
  <c r="V294" i="1" s="1"/>
  <c r="S294" i="1"/>
  <c r="R294" i="1"/>
  <c r="Q294" i="1"/>
  <c r="P294" i="1"/>
  <c r="U293" i="1"/>
  <c r="W293" i="1" s="1"/>
  <c r="T293" i="1"/>
  <c r="V293" i="1" s="1"/>
  <c r="S293" i="1"/>
  <c r="R293" i="1"/>
  <c r="Q293" i="1"/>
  <c r="P293" i="1"/>
  <c r="U292" i="1"/>
  <c r="W292" i="1" s="1"/>
  <c r="T292" i="1"/>
  <c r="V292" i="1" s="1"/>
  <c r="S292" i="1"/>
  <c r="R292" i="1"/>
  <c r="Q292" i="1"/>
  <c r="P292" i="1"/>
  <c r="U291" i="1"/>
  <c r="W291" i="1" s="1"/>
  <c r="T291" i="1"/>
  <c r="V291" i="1" s="1"/>
  <c r="S291" i="1"/>
  <c r="R291" i="1"/>
  <c r="Q291" i="1"/>
  <c r="P291" i="1"/>
  <c r="U290" i="1"/>
  <c r="W290" i="1" s="1"/>
  <c r="T290" i="1"/>
  <c r="V290" i="1" s="1"/>
  <c r="S290" i="1"/>
  <c r="R290" i="1"/>
  <c r="Q290" i="1"/>
  <c r="P290" i="1"/>
  <c r="U289" i="1"/>
  <c r="W289" i="1" s="1"/>
  <c r="T289" i="1"/>
  <c r="V289" i="1" s="1"/>
  <c r="S289" i="1"/>
  <c r="R289" i="1"/>
  <c r="Q289" i="1"/>
  <c r="P289" i="1"/>
  <c r="U288" i="1"/>
  <c r="W288" i="1" s="1"/>
  <c r="T288" i="1"/>
  <c r="V288" i="1" s="1"/>
  <c r="S288" i="1"/>
  <c r="R288" i="1"/>
  <c r="Q288" i="1"/>
  <c r="P288" i="1"/>
  <c r="U287" i="1"/>
  <c r="W287" i="1" s="1"/>
  <c r="T287" i="1"/>
  <c r="V287" i="1" s="1"/>
  <c r="S287" i="1"/>
  <c r="R287" i="1"/>
  <c r="Q287" i="1"/>
  <c r="P287" i="1"/>
  <c r="U286" i="1"/>
  <c r="W286" i="1" s="1"/>
  <c r="T286" i="1"/>
  <c r="V286" i="1" s="1"/>
  <c r="S286" i="1"/>
  <c r="R286" i="1"/>
  <c r="Q286" i="1"/>
  <c r="P286" i="1"/>
  <c r="U285" i="1"/>
  <c r="W285" i="1" s="1"/>
  <c r="T285" i="1"/>
  <c r="V285" i="1" s="1"/>
  <c r="S285" i="1"/>
  <c r="R285" i="1"/>
  <c r="Q285" i="1"/>
  <c r="P285" i="1"/>
  <c r="U284" i="1"/>
  <c r="W284" i="1" s="1"/>
  <c r="T284" i="1"/>
  <c r="V284" i="1" s="1"/>
  <c r="S284" i="1"/>
  <c r="R284" i="1"/>
  <c r="Q284" i="1"/>
  <c r="P284" i="1"/>
  <c r="U283" i="1"/>
  <c r="W283" i="1" s="1"/>
  <c r="T283" i="1"/>
  <c r="V283" i="1" s="1"/>
  <c r="S283" i="1"/>
  <c r="R283" i="1"/>
  <c r="Q283" i="1"/>
  <c r="P283" i="1"/>
  <c r="U282" i="1"/>
  <c r="W282" i="1" s="1"/>
  <c r="T282" i="1"/>
  <c r="V282" i="1" s="1"/>
  <c r="S282" i="1"/>
  <c r="R282" i="1"/>
  <c r="Q282" i="1"/>
  <c r="P282" i="1"/>
  <c r="U281" i="1"/>
  <c r="W281" i="1" s="1"/>
  <c r="T281" i="1"/>
  <c r="V281" i="1" s="1"/>
  <c r="S281" i="1"/>
  <c r="R281" i="1"/>
  <c r="Q281" i="1"/>
  <c r="P281" i="1"/>
  <c r="U280" i="1"/>
  <c r="W280" i="1" s="1"/>
  <c r="T280" i="1"/>
  <c r="V280" i="1" s="1"/>
  <c r="S280" i="1"/>
  <c r="R280" i="1"/>
  <c r="Q280" i="1"/>
  <c r="P280" i="1"/>
  <c r="U279" i="1"/>
  <c r="W279" i="1" s="1"/>
  <c r="T279" i="1"/>
  <c r="V279" i="1" s="1"/>
  <c r="S279" i="1"/>
  <c r="R279" i="1"/>
  <c r="Q279" i="1"/>
  <c r="P279" i="1"/>
  <c r="U278" i="1"/>
  <c r="W278" i="1" s="1"/>
  <c r="T278" i="1"/>
  <c r="V278" i="1" s="1"/>
  <c r="S278" i="1"/>
  <c r="R278" i="1"/>
  <c r="Q278" i="1"/>
  <c r="P278" i="1"/>
  <c r="U277" i="1"/>
  <c r="W277" i="1" s="1"/>
  <c r="T277" i="1"/>
  <c r="V277" i="1" s="1"/>
  <c r="S277" i="1"/>
  <c r="R277" i="1"/>
  <c r="Q277" i="1"/>
  <c r="P277" i="1"/>
  <c r="U276" i="1"/>
  <c r="W276" i="1" s="1"/>
  <c r="T276" i="1"/>
  <c r="V276" i="1" s="1"/>
  <c r="S276" i="1"/>
  <c r="R276" i="1"/>
  <c r="Q276" i="1"/>
  <c r="P276" i="1"/>
  <c r="U275" i="1"/>
  <c r="W275" i="1" s="1"/>
  <c r="T275" i="1"/>
  <c r="V275" i="1" s="1"/>
  <c r="S275" i="1"/>
  <c r="R275" i="1"/>
  <c r="Q275" i="1"/>
  <c r="P275" i="1"/>
  <c r="U274" i="1"/>
  <c r="W274" i="1" s="1"/>
  <c r="T274" i="1"/>
  <c r="V274" i="1" s="1"/>
  <c r="S274" i="1"/>
  <c r="R274" i="1"/>
  <c r="Q274" i="1"/>
  <c r="P274" i="1"/>
  <c r="U273" i="1"/>
  <c r="W273" i="1" s="1"/>
  <c r="T273" i="1"/>
  <c r="V273" i="1" s="1"/>
  <c r="S273" i="1"/>
  <c r="R273" i="1"/>
  <c r="Q273" i="1"/>
  <c r="P273" i="1"/>
  <c r="U272" i="1"/>
  <c r="W272" i="1" s="1"/>
  <c r="T272" i="1"/>
  <c r="V272" i="1" s="1"/>
  <c r="S272" i="1"/>
  <c r="R272" i="1"/>
  <c r="Q272" i="1"/>
  <c r="P272" i="1"/>
  <c r="U271" i="1"/>
  <c r="W271" i="1" s="1"/>
  <c r="T271" i="1"/>
  <c r="V271" i="1" s="1"/>
  <c r="S271" i="1"/>
  <c r="R271" i="1"/>
  <c r="Q271" i="1"/>
  <c r="P271" i="1"/>
  <c r="U270" i="1"/>
  <c r="W270" i="1" s="1"/>
  <c r="T270" i="1"/>
  <c r="V270" i="1" s="1"/>
  <c r="S270" i="1"/>
  <c r="R270" i="1"/>
  <c r="Q270" i="1"/>
  <c r="P270" i="1"/>
  <c r="U269" i="1"/>
  <c r="W269" i="1" s="1"/>
  <c r="T269" i="1"/>
  <c r="V269" i="1" s="1"/>
  <c r="S269" i="1"/>
  <c r="R269" i="1"/>
  <c r="Q269" i="1"/>
  <c r="P269" i="1"/>
  <c r="U268" i="1"/>
  <c r="W268" i="1" s="1"/>
  <c r="T268" i="1"/>
  <c r="V268" i="1" s="1"/>
  <c r="S268" i="1"/>
  <c r="R268" i="1"/>
  <c r="Q268" i="1"/>
  <c r="P268" i="1"/>
  <c r="U267" i="1"/>
  <c r="W267" i="1" s="1"/>
  <c r="T267" i="1"/>
  <c r="V267" i="1" s="1"/>
  <c r="S267" i="1"/>
  <c r="R267" i="1"/>
  <c r="Q267" i="1"/>
  <c r="P267" i="1"/>
  <c r="U266" i="1"/>
  <c r="W266" i="1" s="1"/>
  <c r="T266" i="1"/>
  <c r="V266" i="1" s="1"/>
  <c r="S266" i="1"/>
  <c r="R266" i="1"/>
  <c r="Q266" i="1"/>
  <c r="P266" i="1"/>
  <c r="U265" i="1"/>
  <c r="W265" i="1" s="1"/>
  <c r="T265" i="1"/>
  <c r="V265" i="1" s="1"/>
  <c r="S265" i="1"/>
  <c r="R265" i="1"/>
  <c r="Q265" i="1"/>
  <c r="P265" i="1"/>
  <c r="U264" i="1"/>
  <c r="W264" i="1" s="1"/>
  <c r="T264" i="1"/>
  <c r="V264" i="1" s="1"/>
  <c r="S264" i="1"/>
  <c r="R264" i="1"/>
  <c r="Q264" i="1"/>
  <c r="P264" i="1"/>
  <c r="U263" i="1"/>
  <c r="W263" i="1" s="1"/>
  <c r="T263" i="1"/>
  <c r="V263" i="1" s="1"/>
  <c r="S263" i="1"/>
  <c r="R263" i="1"/>
  <c r="Q263" i="1"/>
  <c r="P263" i="1"/>
  <c r="U262" i="1"/>
  <c r="W262" i="1" s="1"/>
  <c r="T262" i="1"/>
  <c r="V262" i="1" s="1"/>
  <c r="S262" i="1"/>
  <c r="R262" i="1"/>
  <c r="Q262" i="1"/>
  <c r="P262" i="1"/>
  <c r="U261" i="1"/>
  <c r="W261" i="1" s="1"/>
  <c r="T261" i="1"/>
  <c r="V261" i="1" s="1"/>
  <c r="S261" i="1"/>
  <c r="R261" i="1"/>
  <c r="Q261" i="1"/>
  <c r="P261" i="1"/>
  <c r="U260" i="1"/>
  <c r="W260" i="1" s="1"/>
  <c r="T260" i="1"/>
  <c r="V260" i="1" s="1"/>
  <c r="S260" i="1"/>
  <c r="R260" i="1"/>
  <c r="Q260" i="1"/>
  <c r="P260" i="1"/>
  <c r="U259" i="1"/>
  <c r="W259" i="1" s="1"/>
  <c r="T259" i="1"/>
  <c r="V259" i="1" s="1"/>
  <c r="S259" i="1"/>
  <c r="R259" i="1"/>
  <c r="Q259" i="1"/>
  <c r="P259" i="1"/>
  <c r="U258" i="1"/>
  <c r="W258" i="1" s="1"/>
  <c r="T258" i="1"/>
  <c r="V258" i="1" s="1"/>
  <c r="S258" i="1"/>
  <c r="R258" i="1"/>
  <c r="Q258" i="1"/>
  <c r="P258" i="1"/>
  <c r="U257" i="1"/>
  <c r="W257" i="1" s="1"/>
  <c r="T257" i="1"/>
  <c r="V257" i="1" s="1"/>
  <c r="S257" i="1"/>
  <c r="R257" i="1"/>
  <c r="Q257" i="1"/>
  <c r="P257" i="1"/>
  <c r="U256" i="1"/>
  <c r="W256" i="1" s="1"/>
  <c r="T256" i="1"/>
  <c r="V256" i="1" s="1"/>
  <c r="S256" i="1"/>
  <c r="R256" i="1"/>
  <c r="Q256" i="1"/>
  <c r="P256" i="1"/>
  <c r="U255" i="1"/>
  <c r="W255" i="1" s="1"/>
  <c r="T255" i="1"/>
  <c r="V255" i="1" s="1"/>
  <c r="S255" i="1"/>
  <c r="R255" i="1"/>
  <c r="Q255" i="1"/>
  <c r="P255" i="1"/>
  <c r="U254" i="1"/>
  <c r="W254" i="1" s="1"/>
  <c r="T254" i="1"/>
  <c r="V254" i="1" s="1"/>
  <c r="S254" i="1"/>
  <c r="R254" i="1"/>
  <c r="Q254" i="1"/>
  <c r="P254" i="1"/>
  <c r="U253" i="1"/>
  <c r="W253" i="1" s="1"/>
  <c r="T253" i="1"/>
  <c r="V253" i="1" s="1"/>
  <c r="S253" i="1"/>
  <c r="R253" i="1"/>
  <c r="Q253" i="1"/>
  <c r="P253" i="1"/>
  <c r="U252" i="1"/>
  <c r="W252" i="1" s="1"/>
  <c r="T252" i="1"/>
  <c r="V252" i="1" s="1"/>
  <c r="S252" i="1"/>
  <c r="R252" i="1"/>
  <c r="Q252" i="1"/>
  <c r="P252" i="1"/>
  <c r="U251" i="1"/>
  <c r="W251" i="1" s="1"/>
  <c r="T251" i="1"/>
  <c r="V251" i="1" s="1"/>
  <c r="S251" i="1"/>
  <c r="R251" i="1"/>
  <c r="Q251" i="1"/>
  <c r="P251" i="1"/>
  <c r="U250" i="1"/>
  <c r="W250" i="1" s="1"/>
  <c r="T250" i="1"/>
  <c r="V250" i="1" s="1"/>
  <c r="S250" i="1"/>
  <c r="R250" i="1"/>
  <c r="Q250" i="1"/>
  <c r="P250" i="1"/>
  <c r="U249" i="1"/>
  <c r="W249" i="1" s="1"/>
  <c r="T249" i="1"/>
  <c r="V249" i="1" s="1"/>
  <c r="S249" i="1"/>
  <c r="R249" i="1"/>
  <c r="Q249" i="1"/>
  <c r="P249" i="1"/>
  <c r="U248" i="1"/>
  <c r="W248" i="1" s="1"/>
  <c r="T248" i="1"/>
  <c r="V248" i="1" s="1"/>
  <c r="S248" i="1"/>
  <c r="R248" i="1"/>
  <c r="Q248" i="1"/>
  <c r="P248" i="1"/>
  <c r="U247" i="1"/>
  <c r="W247" i="1" s="1"/>
  <c r="T247" i="1"/>
  <c r="V247" i="1" s="1"/>
  <c r="S247" i="1"/>
  <c r="R247" i="1"/>
  <c r="Q247" i="1"/>
  <c r="P247" i="1"/>
  <c r="U246" i="1"/>
  <c r="W246" i="1" s="1"/>
  <c r="T246" i="1"/>
  <c r="V246" i="1" s="1"/>
  <c r="S246" i="1"/>
  <c r="R246" i="1"/>
  <c r="Q246" i="1"/>
  <c r="P246" i="1"/>
  <c r="U245" i="1"/>
  <c r="W245" i="1" s="1"/>
  <c r="T245" i="1"/>
  <c r="V245" i="1" s="1"/>
  <c r="S245" i="1"/>
  <c r="R245" i="1"/>
  <c r="Q245" i="1"/>
  <c r="P245" i="1"/>
  <c r="U244" i="1"/>
  <c r="W244" i="1" s="1"/>
  <c r="T244" i="1"/>
  <c r="V244" i="1" s="1"/>
  <c r="S244" i="1"/>
  <c r="R244" i="1"/>
  <c r="Q244" i="1"/>
  <c r="P244" i="1"/>
  <c r="U243" i="1"/>
  <c r="W243" i="1" s="1"/>
  <c r="T243" i="1"/>
  <c r="V243" i="1" s="1"/>
  <c r="S243" i="1"/>
  <c r="R243" i="1"/>
  <c r="Q243" i="1"/>
  <c r="P243" i="1"/>
  <c r="U242" i="1"/>
  <c r="W242" i="1" s="1"/>
  <c r="T242" i="1"/>
  <c r="V242" i="1" s="1"/>
  <c r="S242" i="1"/>
  <c r="R242" i="1"/>
  <c r="Q242" i="1"/>
  <c r="P242" i="1"/>
  <c r="U241" i="1"/>
  <c r="W241" i="1" s="1"/>
  <c r="T241" i="1"/>
  <c r="V241" i="1" s="1"/>
  <c r="S241" i="1"/>
  <c r="R241" i="1"/>
  <c r="Q241" i="1"/>
  <c r="P241" i="1"/>
  <c r="U240" i="1"/>
  <c r="W240" i="1" s="1"/>
  <c r="T240" i="1"/>
  <c r="V240" i="1" s="1"/>
  <c r="S240" i="1"/>
  <c r="R240" i="1"/>
  <c r="Q240" i="1"/>
  <c r="P240" i="1"/>
  <c r="U239" i="1"/>
  <c r="W239" i="1" s="1"/>
  <c r="T239" i="1"/>
  <c r="V239" i="1" s="1"/>
  <c r="S239" i="1"/>
  <c r="R239" i="1"/>
  <c r="Q239" i="1"/>
  <c r="P239" i="1"/>
  <c r="U238" i="1"/>
  <c r="W238" i="1" s="1"/>
  <c r="T238" i="1"/>
  <c r="V238" i="1" s="1"/>
  <c r="S238" i="1"/>
  <c r="R238" i="1"/>
  <c r="Q238" i="1"/>
  <c r="P238" i="1"/>
  <c r="U237" i="1"/>
  <c r="W237" i="1" s="1"/>
  <c r="T237" i="1"/>
  <c r="V237" i="1" s="1"/>
  <c r="S237" i="1"/>
  <c r="R237" i="1"/>
  <c r="Q237" i="1"/>
  <c r="P237" i="1"/>
  <c r="U236" i="1"/>
  <c r="W236" i="1" s="1"/>
  <c r="T236" i="1"/>
  <c r="V236" i="1" s="1"/>
  <c r="S236" i="1"/>
  <c r="R236" i="1"/>
  <c r="Q236" i="1"/>
  <c r="P236" i="1"/>
  <c r="U235" i="1"/>
  <c r="W235" i="1" s="1"/>
  <c r="T235" i="1"/>
  <c r="V235" i="1" s="1"/>
  <c r="S235" i="1"/>
  <c r="R235" i="1"/>
  <c r="Q235" i="1"/>
  <c r="P235" i="1"/>
  <c r="U234" i="1"/>
  <c r="W234" i="1" s="1"/>
  <c r="T234" i="1"/>
  <c r="V234" i="1" s="1"/>
  <c r="S234" i="1"/>
  <c r="R234" i="1"/>
  <c r="Q234" i="1"/>
  <c r="P234" i="1"/>
  <c r="U233" i="1"/>
  <c r="W233" i="1" s="1"/>
  <c r="T233" i="1"/>
  <c r="V233" i="1" s="1"/>
  <c r="S233" i="1"/>
  <c r="R233" i="1"/>
  <c r="Q233" i="1"/>
  <c r="P233" i="1"/>
  <c r="U232" i="1"/>
  <c r="W232" i="1" s="1"/>
  <c r="T232" i="1"/>
  <c r="V232" i="1" s="1"/>
  <c r="S232" i="1"/>
  <c r="R232" i="1"/>
  <c r="Q232" i="1"/>
  <c r="P232" i="1"/>
  <c r="U231" i="1"/>
  <c r="W231" i="1" s="1"/>
  <c r="T231" i="1"/>
  <c r="V231" i="1" s="1"/>
  <c r="S231" i="1"/>
  <c r="R231" i="1"/>
  <c r="Q231" i="1"/>
  <c r="P231" i="1"/>
  <c r="U230" i="1"/>
  <c r="W230" i="1" s="1"/>
  <c r="T230" i="1"/>
  <c r="V230" i="1" s="1"/>
  <c r="S230" i="1"/>
  <c r="R230" i="1"/>
  <c r="Q230" i="1"/>
  <c r="P230" i="1"/>
  <c r="U229" i="1"/>
  <c r="W229" i="1" s="1"/>
  <c r="T229" i="1"/>
  <c r="V229" i="1" s="1"/>
  <c r="S229" i="1"/>
  <c r="R229" i="1"/>
  <c r="Q229" i="1"/>
  <c r="P229" i="1"/>
  <c r="U228" i="1"/>
  <c r="W228" i="1" s="1"/>
  <c r="T228" i="1"/>
  <c r="V228" i="1" s="1"/>
  <c r="S228" i="1"/>
  <c r="R228" i="1"/>
  <c r="Q228" i="1"/>
  <c r="P228" i="1"/>
  <c r="U227" i="1"/>
  <c r="W227" i="1" s="1"/>
  <c r="T227" i="1"/>
  <c r="V227" i="1" s="1"/>
  <c r="S227" i="1"/>
  <c r="R227" i="1"/>
  <c r="Q227" i="1"/>
  <c r="P227" i="1"/>
  <c r="U226" i="1"/>
  <c r="W226" i="1" s="1"/>
  <c r="T226" i="1"/>
  <c r="V226" i="1" s="1"/>
  <c r="S226" i="1"/>
  <c r="R226" i="1"/>
  <c r="Q226" i="1"/>
  <c r="P226" i="1"/>
  <c r="U225" i="1"/>
  <c r="W225" i="1" s="1"/>
  <c r="T225" i="1"/>
  <c r="V225" i="1" s="1"/>
  <c r="S225" i="1"/>
  <c r="R225" i="1"/>
  <c r="Q225" i="1"/>
  <c r="P225" i="1"/>
  <c r="U224" i="1"/>
  <c r="W224" i="1" s="1"/>
  <c r="T224" i="1"/>
  <c r="V224" i="1" s="1"/>
  <c r="S224" i="1"/>
  <c r="R224" i="1"/>
  <c r="Q224" i="1"/>
  <c r="P224" i="1"/>
  <c r="U223" i="1"/>
  <c r="W223" i="1" s="1"/>
  <c r="T223" i="1"/>
  <c r="V223" i="1" s="1"/>
  <c r="S223" i="1"/>
  <c r="R223" i="1"/>
  <c r="Q223" i="1"/>
  <c r="P223" i="1"/>
  <c r="U222" i="1"/>
  <c r="W222" i="1" s="1"/>
  <c r="T222" i="1"/>
  <c r="V222" i="1" s="1"/>
  <c r="S222" i="1"/>
  <c r="R222" i="1"/>
  <c r="Q222" i="1"/>
  <c r="P222" i="1"/>
  <c r="U221" i="1"/>
  <c r="W221" i="1" s="1"/>
  <c r="T221" i="1"/>
  <c r="V221" i="1" s="1"/>
  <c r="S221" i="1"/>
  <c r="R221" i="1"/>
  <c r="Q221" i="1"/>
  <c r="P221" i="1"/>
  <c r="U220" i="1"/>
  <c r="W220" i="1" s="1"/>
  <c r="T220" i="1"/>
  <c r="V220" i="1" s="1"/>
  <c r="S220" i="1"/>
  <c r="R220" i="1"/>
  <c r="Q220" i="1"/>
  <c r="P220" i="1"/>
  <c r="U219" i="1"/>
  <c r="W219" i="1" s="1"/>
  <c r="T219" i="1"/>
  <c r="V219" i="1" s="1"/>
  <c r="S219" i="1"/>
  <c r="R219" i="1"/>
  <c r="Q219" i="1"/>
  <c r="P219" i="1"/>
  <c r="U218" i="1"/>
  <c r="W218" i="1" s="1"/>
  <c r="T218" i="1"/>
  <c r="V218" i="1" s="1"/>
  <c r="S218" i="1"/>
  <c r="R218" i="1"/>
  <c r="Q218" i="1"/>
  <c r="P218" i="1"/>
  <c r="U217" i="1"/>
  <c r="W217" i="1" s="1"/>
  <c r="T217" i="1"/>
  <c r="V217" i="1" s="1"/>
  <c r="S217" i="1"/>
  <c r="R217" i="1"/>
  <c r="Q217" i="1"/>
  <c r="P217" i="1"/>
  <c r="U216" i="1"/>
  <c r="W216" i="1" s="1"/>
  <c r="T216" i="1"/>
  <c r="V216" i="1" s="1"/>
  <c r="S216" i="1"/>
  <c r="R216" i="1"/>
  <c r="Q216" i="1"/>
  <c r="P216" i="1"/>
  <c r="U215" i="1"/>
  <c r="W215" i="1" s="1"/>
  <c r="T215" i="1"/>
  <c r="V215" i="1" s="1"/>
  <c r="S215" i="1"/>
  <c r="R215" i="1"/>
  <c r="Q215" i="1"/>
  <c r="P215" i="1"/>
  <c r="U214" i="1"/>
  <c r="W214" i="1" s="1"/>
  <c r="T214" i="1"/>
  <c r="V214" i="1" s="1"/>
  <c r="S214" i="1"/>
  <c r="R214" i="1"/>
  <c r="Q214" i="1"/>
  <c r="P214" i="1"/>
  <c r="U213" i="1"/>
  <c r="W213" i="1" s="1"/>
  <c r="T213" i="1"/>
  <c r="V213" i="1" s="1"/>
  <c r="S213" i="1"/>
  <c r="R213" i="1"/>
  <c r="Q213" i="1"/>
  <c r="P213" i="1"/>
  <c r="U212" i="1"/>
  <c r="W212" i="1" s="1"/>
  <c r="T212" i="1"/>
  <c r="V212" i="1" s="1"/>
  <c r="S212" i="1"/>
  <c r="R212" i="1"/>
  <c r="Q212" i="1"/>
  <c r="P212" i="1"/>
  <c r="U211" i="1"/>
  <c r="W211" i="1" s="1"/>
  <c r="T211" i="1"/>
  <c r="V211" i="1" s="1"/>
  <c r="S211" i="1"/>
  <c r="R211" i="1"/>
  <c r="Q211" i="1"/>
  <c r="P211" i="1"/>
  <c r="U210" i="1"/>
  <c r="W210" i="1" s="1"/>
  <c r="T210" i="1"/>
  <c r="V210" i="1" s="1"/>
  <c r="S210" i="1"/>
  <c r="R210" i="1"/>
  <c r="Q210" i="1"/>
  <c r="P210" i="1"/>
  <c r="U209" i="1"/>
  <c r="W209" i="1" s="1"/>
  <c r="T209" i="1"/>
  <c r="V209" i="1" s="1"/>
  <c r="S209" i="1"/>
  <c r="R209" i="1"/>
  <c r="Q209" i="1"/>
  <c r="P209" i="1"/>
  <c r="U208" i="1"/>
  <c r="W208" i="1" s="1"/>
  <c r="T208" i="1"/>
  <c r="V208" i="1" s="1"/>
  <c r="S208" i="1"/>
  <c r="R208" i="1"/>
  <c r="Q208" i="1"/>
  <c r="P208" i="1"/>
  <c r="U207" i="1"/>
  <c r="W207" i="1" s="1"/>
  <c r="T207" i="1"/>
  <c r="V207" i="1" s="1"/>
  <c r="S207" i="1"/>
  <c r="R207" i="1"/>
  <c r="Q207" i="1"/>
  <c r="P207" i="1"/>
  <c r="U206" i="1"/>
  <c r="W206" i="1" s="1"/>
  <c r="T206" i="1"/>
  <c r="V206" i="1" s="1"/>
  <c r="S206" i="1"/>
  <c r="R206" i="1"/>
  <c r="Q206" i="1"/>
  <c r="P206" i="1"/>
  <c r="U205" i="1"/>
  <c r="W205" i="1" s="1"/>
  <c r="T205" i="1"/>
  <c r="V205" i="1" s="1"/>
  <c r="S205" i="1"/>
  <c r="R205" i="1"/>
  <c r="Q205" i="1"/>
  <c r="P205" i="1"/>
  <c r="U204" i="1"/>
  <c r="W204" i="1" s="1"/>
  <c r="T204" i="1"/>
  <c r="V204" i="1" s="1"/>
  <c r="S204" i="1"/>
  <c r="R204" i="1"/>
  <c r="Q204" i="1"/>
  <c r="P204" i="1"/>
  <c r="U203" i="1"/>
  <c r="W203" i="1" s="1"/>
  <c r="T203" i="1"/>
  <c r="V203" i="1" s="1"/>
  <c r="S203" i="1"/>
  <c r="R203" i="1"/>
  <c r="Q203" i="1"/>
  <c r="P203" i="1"/>
  <c r="U202" i="1"/>
  <c r="W202" i="1" s="1"/>
  <c r="T202" i="1"/>
  <c r="V202" i="1" s="1"/>
  <c r="S202" i="1"/>
  <c r="R202" i="1"/>
  <c r="Q202" i="1"/>
  <c r="P202" i="1"/>
  <c r="U201" i="1"/>
  <c r="W201" i="1" s="1"/>
  <c r="T201" i="1"/>
  <c r="V201" i="1" s="1"/>
  <c r="S201" i="1"/>
  <c r="R201" i="1"/>
  <c r="Q201" i="1"/>
  <c r="P201" i="1"/>
  <c r="U200" i="1"/>
  <c r="W200" i="1" s="1"/>
  <c r="T200" i="1"/>
  <c r="V200" i="1" s="1"/>
  <c r="S200" i="1"/>
  <c r="R200" i="1"/>
  <c r="Q200" i="1"/>
  <c r="P200" i="1"/>
  <c r="U199" i="1"/>
  <c r="W199" i="1" s="1"/>
  <c r="T199" i="1"/>
  <c r="V199" i="1" s="1"/>
  <c r="S199" i="1"/>
  <c r="R199" i="1"/>
  <c r="Q199" i="1"/>
  <c r="P199" i="1"/>
  <c r="U198" i="1"/>
  <c r="W198" i="1" s="1"/>
  <c r="T198" i="1"/>
  <c r="V198" i="1" s="1"/>
  <c r="S198" i="1"/>
  <c r="R198" i="1"/>
  <c r="Q198" i="1"/>
  <c r="P198" i="1"/>
  <c r="W197" i="1"/>
  <c r="U197" i="1"/>
  <c r="T197" i="1"/>
  <c r="V197" i="1" s="1"/>
  <c r="S197" i="1"/>
  <c r="R197" i="1"/>
  <c r="Q197" i="1"/>
  <c r="P197" i="1"/>
  <c r="U196" i="1"/>
  <c r="W196" i="1" s="1"/>
  <c r="T196" i="1"/>
  <c r="V196" i="1" s="1"/>
  <c r="S196" i="1"/>
  <c r="R196" i="1"/>
  <c r="Q196" i="1"/>
  <c r="P196" i="1"/>
  <c r="U195" i="1"/>
  <c r="W195" i="1" s="1"/>
  <c r="T195" i="1"/>
  <c r="V195" i="1" s="1"/>
  <c r="S195" i="1"/>
  <c r="R195" i="1"/>
  <c r="Q195" i="1"/>
  <c r="P195" i="1"/>
  <c r="U194" i="1"/>
  <c r="W194" i="1" s="1"/>
  <c r="T194" i="1"/>
  <c r="V194" i="1" s="1"/>
  <c r="S194" i="1"/>
  <c r="R194" i="1"/>
  <c r="Q194" i="1"/>
  <c r="P194" i="1"/>
  <c r="U193" i="1"/>
  <c r="W193" i="1" s="1"/>
  <c r="T193" i="1"/>
  <c r="V193" i="1" s="1"/>
  <c r="S193" i="1"/>
  <c r="R193" i="1"/>
  <c r="Q193" i="1"/>
  <c r="P193" i="1"/>
  <c r="U192" i="1"/>
  <c r="W192" i="1" s="1"/>
  <c r="T192" i="1"/>
  <c r="V192" i="1" s="1"/>
  <c r="S192" i="1"/>
  <c r="R192" i="1"/>
  <c r="Q192" i="1"/>
  <c r="P192" i="1"/>
  <c r="U191" i="1"/>
  <c r="W191" i="1" s="1"/>
  <c r="T191" i="1"/>
  <c r="V191" i="1" s="1"/>
  <c r="S191" i="1"/>
  <c r="R191" i="1"/>
  <c r="Q191" i="1"/>
  <c r="P191" i="1"/>
  <c r="U190" i="1"/>
  <c r="W190" i="1" s="1"/>
  <c r="T190" i="1"/>
  <c r="V190" i="1" s="1"/>
  <c r="S190" i="1"/>
  <c r="R190" i="1"/>
  <c r="Q190" i="1"/>
  <c r="P190" i="1"/>
  <c r="U189" i="1"/>
  <c r="W189" i="1" s="1"/>
  <c r="T189" i="1"/>
  <c r="V189" i="1" s="1"/>
  <c r="S189" i="1"/>
  <c r="R189" i="1"/>
  <c r="Q189" i="1"/>
  <c r="P189" i="1"/>
  <c r="U188" i="1"/>
  <c r="W188" i="1" s="1"/>
  <c r="T188" i="1"/>
  <c r="V188" i="1" s="1"/>
  <c r="S188" i="1"/>
  <c r="R188" i="1"/>
  <c r="Q188" i="1"/>
  <c r="P188" i="1"/>
  <c r="U187" i="1"/>
  <c r="W187" i="1" s="1"/>
  <c r="T187" i="1"/>
  <c r="V187" i="1" s="1"/>
  <c r="S187" i="1"/>
  <c r="R187" i="1"/>
  <c r="Q187" i="1"/>
  <c r="P187" i="1"/>
  <c r="U186" i="1"/>
  <c r="W186" i="1" s="1"/>
  <c r="T186" i="1"/>
  <c r="V186" i="1" s="1"/>
  <c r="S186" i="1"/>
  <c r="R186" i="1"/>
  <c r="Q186" i="1"/>
  <c r="P186" i="1"/>
  <c r="U185" i="1"/>
  <c r="W185" i="1" s="1"/>
  <c r="T185" i="1"/>
  <c r="V185" i="1" s="1"/>
  <c r="S185" i="1"/>
  <c r="R185" i="1"/>
  <c r="Q185" i="1"/>
  <c r="P185" i="1"/>
  <c r="U184" i="1"/>
  <c r="W184" i="1" s="1"/>
  <c r="T184" i="1"/>
  <c r="V184" i="1" s="1"/>
  <c r="S184" i="1"/>
  <c r="R184" i="1"/>
  <c r="Q184" i="1"/>
  <c r="P184" i="1"/>
  <c r="U183" i="1"/>
  <c r="W183" i="1" s="1"/>
  <c r="T183" i="1"/>
  <c r="V183" i="1" s="1"/>
  <c r="S183" i="1"/>
  <c r="R183" i="1"/>
  <c r="Q183" i="1"/>
  <c r="P183" i="1"/>
  <c r="U182" i="1"/>
  <c r="W182" i="1" s="1"/>
  <c r="T182" i="1"/>
  <c r="V182" i="1" s="1"/>
  <c r="S182" i="1"/>
  <c r="R182" i="1"/>
  <c r="Q182" i="1"/>
  <c r="P182" i="1"/>
  <c r="U181" i="1"/>
  <c r="W181" i="1" s="1"/>
  <c r="T181" i="1"/>
  <c r="V181" i="1" s="1"/>
  <c r="S181" i="1"/>
  <c r="R181" i="1"/>
  <c r="Q181" i="1"/>
  <c r="P181" i="1"/>
  <c r="U180" i="1"/>
  <c r="W180" i="1" s="1"/>
  <c r="T180" i="1"/>
  <c r="V180" i="1" s="1"/>
  <c r="S180" i="1"/>
  <c r="R180" i="1"/>
  <c r="Q180" i="1"/>
  <c r="P180" i="1"/>
  <c r="U179" i="1"/>
  <c r="W179" i="1" s="1"/>
  <c r="T179" i="1"/>
  <c r="V179" i="1" s="1"/>
  <c r="S179" i="1"/>
  <c r="R179" i="1"/>
  <c r="Q179" i="1"/>
  <c r="P179" i="1"/>
  <c r="U178" i="1"/>
  <c r="W178" i="1" s="1"/>
  <c r="T178" i="1"/>
  <c r="V178" i="1" s="1"/>
  <c r="S178" i="1"/>
  <c r="R178" i="1"/>
  <c r="Q178" i="1"/>
  <c r="P178" i="1"/>
  <c r="U177" i="1"/>
  <c r="W177" i="1" s="1"/>
  <c r="T177" i="1"/>
  <c r="V177" i="1" s="1"/>
  <c r="S177" i="1"/>
  <c r="R177" i="1"/>
  <c r="Q177" i="1"/>
  <c r="P177" i="1"/>
  <c r="U176" i="1"/>
  <c r="W176" i="1" s="1"/>
  <c r="T176" i="1"/>
  <c r="V176" i="1" s="1"/>
  <c r="S176" i="1"/>
  <c r="R176" i="1"/>
  <c r="Q176" i="1"/>
  <c r="P176" i="1"/>
  <c r="U175" i="1"/>
  <c r="W175" i="1" s="1"/>
  <c r="T175" i="1"/>
  <c r="V175" i="1" s="1"/>
  <c r="S175" i="1"/>
  <c r="R175" i="1"/>
  <c r="Q175" i="1"/>
  <c r="P175" i="1"/>
  <c r="U174" i="1"/>
  <c r="W174" i="1" s="1"/>
  <c r="T174" i="1"/>
  <c r="V174" i="1" s="1"/>
  <c r="S174" i="1"/>
  <c r="R174" i="1"/>
  <c r="Q174" i="1"/>
  <c r="P174" i="1"/>
  <c r="U173" i="1"/>
  <c r="W173" i="1" s="1"/>
  <c r="T173" i="1"/>
  <c r="V173" i="1" s="1"/>
  <c r="S173" i="1"/>
  <c r="R173" i="1"/>
  <c r="Q173" i="1"/>
  <c r="P173" i="1"/>
  <c r="U172" i="1"/>
  <c r="W172" i="1" s="1"/>
  <c r="T172" i="1"/>
  <c r="V172" i="1" s="1"/>
  <c r="S172" i="1"/>
  <c r="R172" i="1"/>
  <c r="Q172" i="1"/>
  <c r="P172" i="1"/>
  <c r="U171" i="1"/>
  <c r="W171" i="1" s="1"/>
  <c r="T171" i="1"/>
  <c r="V171" i="1" s="1"/>
  <c r="S171" i="1"/>
  <c r="R171" i="1"/>
  <c r="Q171" i="1"/>
  <c r="P171" i="1"/>
  <c r="U170" i="1"/>
  <c r="W170" i="1" s="1"/>
  <c r="T170" i="1"/>
  <c r="V170" i="1" s="1"/>
  <c r="S170" i="1"/>
  <c r="R170" i="1"/>
  <c r="Q170" i="1"/>
  <c r="P170" i="1"/>
  <c r="U169" i="1"/>
  <c r="W169" i="1" s="1"/>
  <c r="T169" i="1"/>
  <c r="V169" i="1" s="1"/>
  <c r="S169" i="1"/>
  <c r="R169" i="1"/>
  <c r="Q169" i="1"/>
  <c r="P169" i="1"/>
  <c r="U168" i="1"/>
  <c r="W168" i="1" s="1"/>
  <c r="T168" i="1"/>
  <c r="V168" i="1" s="1"/>
  <c r="S168" i="1"/>
  <c r="R168" i="1"/>
  <c r="Q168" i="1"/>
  <c r="P168" i="1"/>
  <c r="U167" i="1"/>
  <c r="W167" i="1" s="1"/>
  <c r="T167" i="1"/>
  <c r="V167" i="1" s="1"/>
  <c r="S167" i="1"/>
  <c r="R167" i="1"/>
  <c r="Q167" i="1"/>
  <c r="P167" i="1"/>
  <c r="U166" i="1"/>
  <c r="W166" i="1" s="1"/>
  <c r="T166" i="1"/>
  <c r="V166" i="1" s="1"/>
  <c r="S166" i="1"/>
  <c r="R166" i="1"/>
  <c r="Q166" i="1"/>
  <c r="P166" i="1"/>
  <c r="U165" i="1"/>
  <c r="W165" i="1" s="1"/>
  <c r="T165" i="1"/>
  <c r="V165" i="1" s="1"/>
  <c r="S165" i="1"/>
  <c r="R165" i="1"/>
  <c r="Q165" i="1"/>
  <c r="P165" i="1"/>
  <c r="U164" i="1"/>
  <c r="W164" i="1" s="1"/>
  <c r="T164" i="1"/>
  <c r="V164" i="1" s="1"/>
  <c r="S164" i="1"/>
  <c r="R164" i="1"/>
  <c r="Q164" i="1"/>
  <c r="P164" i="1"/>
  <c r="U163" i="1"/>
  <c r="W163" i="1" s="1"/>
  <c r="T163" i="1"/>
  <c r="V163" i="1" s="1"/>
  <c r="S163" i="1"/>
  <c r="R163" i="1"/>
  <c r="Q163" i="1"/>
  <c r="P163" i="1"/>
  <c r="U162" i="1"/>
  <c r="W162" i="1" s="1"/>
  <c r="T162" i="1"/>
  <c r="V162" i="1" s="1"/>
  <c r="S162" i="1"/>
  <c r="R162" i="1"/>
  <c r="Q162" i="1"/>
  <c r="P162" i="1"/>
  <c r="U161" i="1"/>
  <c r="W161" i="1" s="1"/>
  <c r="T161" i="1"/>
  <c r="V161" i="1" s="1"/>
  <c r="S161" i="1"/>
  <c r="R161" i="1"/>
  <c r="Q161" i="1"/>
  <c r="P161" i="1"/>
  <c r="U160" i="1"/>
  <c r="W160" i="1" s="1"/>
  <c r="T160" i="1"/>
  <c r="V160" i="1" s="1"/>
  <c r="S160" i="1"/>
  <c r="R160" i="1"/>
  <c r="Q160" i="1"/>
  <c r="P160" i="1"/>
  <c r="U159" i="1"/>
  <c r="W159" i="1" s="1"/>
  <c r="T159" i="1"/>
  <c r="V159" i="1" s="1"/>
  <c r="S159" i="1"/>
  <c r="R159" i="1"/>
  <c r="Q159" i="1"/>
  <c r="P159" i="1"/>
  <c r="U158" i="1"/>
  <c r="W158" i="1" s="1"/>
  <c r="T158" i="1"/>
  <c r="V158" i="1" s="1"/>
  <c r="S158" i="1"/>
  <c r="R158" i="1"/>
  <c r="Q158" i="1"/>
  <c r="P158" i="1"/>
  <c r="U157" i="1"/>
  <c r="W157" i="1" s="1"/>
  <c r="T157" i="1"/>
  <c r="V157" i="1" s="1"/>
  <c r="S157" i="1"/>
  <c r="R157" i="1"/>
  <c r="Q157" i="1"/>
  <c r="P157" i="1"/>
  <c r="U156" i="1"/>
  <c r="W156" i="1" s="1"/>
  <c r="T156" i="1"/>
  <c r="V156" i="1" s="1"/>
  <c r="S156" i="1"/>
  <c r="R156" i="1"/>
  <c r="Q156" i="1"/>
  <c r="P156" i="1"/>
  <c r="U155" i="1"/>
  <c r="W155" i="1" s="1"/>
  <c r="T155" i="1"/>
  <c r="V155" i="1" s="1"/>
  <c r="S155" i="1"/>
  <c r="R155" i="1"/>
  <c r="Q155" i="1"/>
  <c r="P155" i="1"/>
  <c r="U154" i="1"/>
  <c r="W154" i="1" s="1"/>
  <c r="T154" i="1"/>
  <c r="V154" i="1" s="1"/>
  <c r="S154" i="1"/>
  <c r="R154" i="1"/>
  <c r="Q154" i="1"/>
  <c r="P154" i="1"/>
  <c r="U153" i="1"/>
  <c r="W153" i="1" s="1"/>
  <c r="T153" i="1"/>
  <c r="V153" i="1" s="1"/>
  <c r="S153" i="1"/>
  <c r="R153" i="1"/>
  <c r="Q153" i="1"/>
  <c r="P153" i="1"/>
  <c r="U152" i="1"/>
  <c r="W152" i="1" s="1"/>
  <c r="T152" i="1"/>
  <c r="V152" i="1" s="1"/>
  <c r="S152" i="1"/>
  <c r="R152" i="1"/>
  <c r="Q152" i="1"/>
  <c r="P152" i="1"/>
  <c r="U151" i="1"/>
  <c r="W151" i="1" s="1"/>
  <c r="T151" i="1"/>
  <c r="V151" i="1" s="1"/>
  <c r="S151" i="1"/>
  <c r="R151" i="1"/>
  <c r="Q151" i="1"/>
  <c r="P151" i="1"/>
  <c r="U150" i="1"/>
  <c r="W150" i="1" s="1"/>
  <c r="T150" i="1"/>
  <c r="V150" i="1" s="1"/>
  <c r="S150" i="1"/>
  <c r="R150" i="1"/>
  <c r="Q150" i="1"/>
  <c r="P150" i="1"/>
  <c r="U149" i="1"/>
  <c r="W149" i="1" s="1"/>
  <c r="T149" i="1"/>
  <c r="V149" i="1" s="1"/>
  <c r="S149" i="1"/>
  <c r="R149" i="1"/>
  <c r="Q149" i="1"/>
  <c r="P149" i="1"/>
  <c r="U148" i="1"/>
  <c r="W148" i="1" s="1"/>
  <c r="T148" i="1"/>
  <c r="V148" i="1" s="1"/>
  <c r="S148" i="1"/>
  <c r="R148" i="1"/>
  <c r="Q148" i="1"/>
  <c r="P148" i="1"/>
  <c r="U147" i="1"/>
  <c r="W147" i="1" s="1"/>
  <c r="T147" i="1"/>
  <c r="V147" i="1" s="1"/>
  <c r="S147" i="1"/>
  <c r="R147" i="1"/>
  <c r="Q147" i="1"/>
  <c r="P147" i="1"/>
  <c r="U146" i="1"/>
  <c r="W146" i="1" s="1"/>
  <c r="T146" i="1"/>
  <c r="V146" i="1" s="1"/>
  <c r="S146" i="1"/>
  <c r="R146" i="1"/>
  <c r="Q146" i="1"/>
  <c r="P146" i="1"/>
  <c r="U145" i="1"/>
  <c r="W145" i="1" s="1"/>
  <c r="T145" i="1"/>
  <c r="V145" i="1" s="1"/>
  <c r="S145" i="1"/>
  <c r="R145" i="1"/>
  <c r="Q145" i="1"/>
  <c r="P145" i="1"/>
  <c r="U144" i="1"/>
  <c r="W144" i="1" s="1"/>
  <c r="T144" i="1"/>
  <c r="V144" i="1" s="1"/>
  <c r="S144" i="1"/>
  <c r="R144" i="1"/>
  <c r="Q144" i="1"/>
  <c r="P144" i="1"/>
  <c r="U143" i="1"/>
  <c r="W143" i="1" s="1"/>
  <c r="T143" i="1"/>
  <c r="V143" i="1" s="1"/>
  <c r="S143" i="1"/>
  <c r="R143" i="1"/>
  <c r="Q143" i="1"/>
  <c r="P143" i="1"/>
  <c r="U142" i="1"/>
  <c r="W142" i="1" s="1"/>
  <c r="T142" i="1"/>
  <c r="V142" i="1" s="1"/>
  <c r="S142" i="1"/>
  <c r="R142" i="1"/>
  <c r="Q142" i="1"/>
  <c r="P142" i="1"/>
  <c r="U141" i="1"/>
  <c r="W141" i="1" s="1"/>
  <c r="T141" i="1"/>
  <c r="V141" i="1" s="1"/>
  <c r="S141" i="1"/>
  <c r="R141" i="1"/>
  <c r="Q141" i="1"/>
  <c r="P141" i="1"/>
  <c r="U140" i="1"/>
  <c r="W140" i="1" s="1"/>
  <c r="T140" i="1"/>
  <c r="V140" i="1" s="1"/>
  <c r="S140" i="1"/>
  <c r="R140" i="1"/>
  <c r="Q140" i="1"/>
  <c r="P140" i="1"/>
  <c r="U139" i="1"/>
  <c r="W139" i="1" s="1"/>
  <c r="T139" i="1"/>
  <c r="V139" i="1" s="1"/>
  <c r="S139" i="1"/>
  <c r="R139" i="1"/>
  <c r="Q139" i="1"/>
  <c r="P139" i="1"/>
  <c r="U138" i="1"/>
  <c r="W138" i="1" s="1"/>
  <c r="T138" i="1"/>
  <c r="V138" i="1" s="1"/>
  <c r="S138" i="1"/>
  <c r="R138" i="1"/>
  <c r="Q138" i="1"/>
  <c r="P138" i="1"/>
  <c r="U137" i="1"/>
  <c r="W137" i="1" s="1"/>
  <c r="T137" i="1"/>
  <c r="V137" i="1" s="1"/>
  <c r="S137" i="1"/>
  <c r="R137" i="1"/>
  <c r="Q137" i="1"/>
  <c r="P137" i="1"/>
  <c r="U136" i="1"/>
  <c r="W136" i="1" s="1"/>
  <c r="T136" i="1"/>
  <c r="V136" i="1" s="1"/>
  <c r="S136" i="1"/>
  <c r="R136" i="1"/>
  <c r="Q136" i="1"/>
  <c r="P136" i="1"/>
  <c r="U135" i="1"/>
  <c r="W135" i="1" s="1"/>
  <c r="T135" i="1"/>
  <c r="V135" i="1" s="1"/>
  <c r="S135" i="1"/>
  <c r="R135" i="1"/>
  <c r="Q135" i="1"/>
  <c r="P135" i="1"/>
  <c r="U134" i="1"/>
  <c r="W134" i="1" s="1"/>
  <c r="T134" i="1"/>
  <c r="V134" i="1" s="1"/>
  <c r="S134" i="1"/>
  <c r="R134" i="1"/>
  <c r="Q134" i="1"/>
  <c r="P134" i="1"/>
  <c r="U133" i="1"/>
  <c r="W133" i="1" s="1"/>
  <c r="T133" i="1"/>
  <c r="V133" i="1" s="1"/>
  <c r="S133" i="1"/>
  <c r="R133" i="1"/>
  <c r="Q133" i="1"/>
  <c r="P133" i="1"/>
  <c r="U132" i="1"/>
  <c r="W132" i="1" s="1"/>
  <c r="T132" i="1"/>
  <c r="V132" i="1" s="1"/>
  <c r="S132" i="1"/>
  <c r="R132" i="1"/>
  <c r="Q132" i="1"/>
  <c r="P132" i="1"/>
  <c r="U131" i="1"/>
  <c r="W131" i="1" s="1"/>
  <c r="T131" i="1"/>
  <c r="V131" i="1" s="1"/>
  <c r="S131" i="1"/>
  <c r="R131" i="1"/>
  <c r="Q131" i="1"/>
  <c r="P131" i="1"/>
  <c r="U130" i="1"/>
  <c r="W130" i="1" s="1"/>
  <c r="T130" i="1"/>
  <c r="V130" i="1" s="1"/>
  <c r="S130" i="1"/>
  <c r="R130" i="1"/>
  <c r="Q130" i="1"/>
  <c r="P130" i="1"/>
  <c r="U129" i="1"/>
  <c r="W129" i="1" s="1"/>
  <c r="T129" i="1"/>
  <c r="V129" i="1" s="1"/>
  <c r="S129" i="1"/>
  <c r="R129" i="1"/>
  <c r="Q129" i="1"/>
  <c r="P129" i="1"/>
  <c r="U128" i="1"/>
  <c r="W128" i="1" s="1"/>
  <c r="T128" i="1"/>
  <c r="V128" i="1" s="1"/>
  <c r="S128" i="1"/>
  <c r="R128" i="1"/>
  <c r="Q128" i="1"/>
  <c r="P128" i="1"/>
  <c r="U127" i="1"/>
  <c r="W127" i="1" s="1"/>
  <c r="T127" i="1"/>
  <c r="V127" i="1" s="1"/>
  <c r="S127" i="1"/>
  <c r="R127" i="1"/>
  <c r="Q127" i="1"/>
  <c r="P127" i="1"/>
  <c r="U126" i="1"/>
  <c r="W126" i="1" s="1"/>
  <c r="T126" i="1"/>
  <c r="V126" i="1" s="1"/>
  <c r="S126" i="1"/>
  <c r="R126" i="1"/>
  <c r="Q126" i="1"/>
  <c r="P126" i="1"/>
  <c r="U125" i="1"/>
  <c r="W125" i="1" s="1"/>
  <c r="T125" i="1"/>
  <c r="V125" i="1" s="1"/>
  <c r="S125" i="1"/>
  <c r="R125" i="1"/>
  <c r="Q125" i="1"/>
  <c r="P125" i="1"/>
  <c r="U124" i="1"/>
  <c r="W124" i="1" s="1"/>
  <c r="T124" i="1"/>
  <c r="V124" i="1" s="1"/>
  <c r="S124" i="1"/>
  <c r="R124" i="1"/>
  <c r="Q124" i="1"/>
  <c r="P124" i="1"/>
  <c r="U123" i="1"/>
  <c r="W123" i="1" s="1"/>
  <c r="T123" i="1"/>
  <c r="V123" i="1" s="1"/>
  <c r="S123" i="1"/>
  <c r="R123" i="1"/>
  <c r="Q123" i="1"/>
  <c r="P123" i="1"/>
  <c r="U122" i="1"/>
  <c r="W122" i="1" s="1"/>
  <c r="T122" i="1"/>
  <c r="V122" i="1" s="1"/>
  <c r="S122" i="1"/>
  <c r="R122" i="1"/>
  <c r="Q122" i="1"/>
  <c r="P122" i="1"/>
  <c r="U121" i="1"/>
  <c r="W121" i="1" s="1"/>
  <c r="T121" i="1"/>
  <c r="V121" i="1" s="1"/>
  <c r="S121" i="1"/>
  <c r="R121" i="1"/>
  <c r="Q121" i="1"/>
  <c r="P121" i="1"/>
  <c r="U120" i="1"/>
  <c r="W120" i="1" s="1"/>
  <c r="T120" i="1"/>
  <c r="V120" i="1" s="1"/>
  <c r="S120" i="1"/>
  <c r="R120" i="1"/>
  <c r="Q120" i="1"/>
  <c r="P120" i="1"/>
  <c r="U119" i="1"/>
  <c r="W119" i="1" s="1"/>
  <c r="T119" i="1"/>
  <c r="V119" i="1" s="1"/>
  <c r="S119" i="1"/>
  <c r="R119" i="1"/>
  <c r="Q119" i="1"/>
  <c r="P119" i="1"/>
  <c r="U118" i="1"/>
  <c r="W118" i="1" s="1"/>
  <c r="T118" i="1"/>
  <c r="V118" i="1" s="1"/>
  <c r="S118" i="1"/>
  <c r="R118" i="1"/>
  <c r="Q118" i="1"/>
  <c r="P118" i="1"/>
  <c r="W688" i="1"/>
  <c r="U688" i="1"/>
  <c r="T688" i="1"/>
  <c r="V688" i="1" s="1"/>
  <c r="S688" i="1"/>
  <c r="R688" i="1"/>
  <c r="Q688" i="1"/>
  <c r="P688" i="1"/>
  <c r="K688" i="1"/>
  <c r="J688" i="1"/>
  <c r="W687" i="1"/>
  <c r="U687" i="1"/>
  <c r="T687" i="1"/>
  <c r="V687" i="1" s="1"/>
  <c r="S687" i="1"/>
  <c r="R687" i="1"/>
  <c r="Q687" i="1"/>
  <c r="P687" i="1"/>
  <c r="K687" i="1"/>
  <c r="J687" i="1"/>
  <c r="W686" i="1"/>
  <c r="U686" i="1"/>
  <c r="T686" i="1"/>
  <c r="V686" i="1" s="1"/>
  <c r="S686" i="1"/>
  <c r="R686" i="1"/>
  <c r="Q686" i="1"/>
  <c r="P686" i="1"/>
  <c r="K686" i="1"/>
  <c r="J686" i="1"/>
  <c r="W685" i="1"/>
  <c r="U685" i="1"/>
  <c r="T685" i="1"/>
  <c r="V685" i="1" s="1"/>
  <c r="S685" i="1"/>
  <c r="R685" i="1"/>
  <c r="Q685" i="1"/>
  <c r="P685" i="1"/>
  <c r="K685" i="1"/>
  <c r="J685" i="1"/>
  <c r="W684" i="1"/>
  <c r="U684" i="1"/>
  <c r="T684" i="1"/>
  <c r="V684" i="1" s="1"/>
  <c r="S684" i="1"/>
  <c r="R684" i="1"/>
  <c r="Q684" i="1"/>
  <c r="P684" i="1"/>
  <c r="K684" i="1"/>
  <c r="J684" i="1"/>
  <c r="W683" i="1"/>
  <c r="U683" i="1"/>
  <c r="T683" i="1"/>
  <c r="V683" i="1" s="1"/>
  <c r="S683" i="1"/>
  <c r="R683" i="1"/>
  <c r="Q683" i="1"/>
  <c r="P683" i="1"/>
  <c r="K683" i="1"/>
  <c r="J683" i="1"/>
  <c r="W682" i="1"/>
  <c r="U682" i="1"/>
  <c r="T682" i="1"/>
  <c r="V682" i="1" s="1"/>
  <c r="S682" i="1"/>
  <c r="R682" i="1"/>
  <c r="Q682" i="1"/>
  <c r="P682" i="1"/>
  <c r="K682" i="1"/>
  <c r="J682" i="1"/>
  <c r="W681" i="1"/>
  <c r="U681" i="1"/>
  <c r="T681" i="1"/>
  <c r="V681" i="1" s="1"/>
  <c r="S681" i="1"/>
  <c r="R681" i="1"/>
  <c r="Q681" i="1"/>
  <c r="P681" i="1"/>
  <c r="K681" i="1"/>
  <c r="J681" i="1"/>
  <c r="W680" i="1"/>
  <c r="U680" i="1"/>
  <c r="T680" i="1"/>
  <c r="V680" i="1" s="1"/>
  <c r="S680" i="1"/>
  <c r="R680" i="1"/>
  <c r="Q680" i="1"/>
  <c r="P680" i="1"/>
  <c r="K680" i="1"/>
  <c r="J680" i="1"/>
  <c r="W679" i="1"/>
  <c r="U679" i="1"/>
  <c r="T679" i="1"/>
  <c r="V679" i="1" s="1"/>
  <c r="S679" i="1"/>
  <c r="R679" i="1"/>
  <c r="Q679" i="1"/>
  <c r="P679" i="1"/>
  <c r="K679" i="1"/>
  <c r="J679" i="1"/>
  <c r="W678" i="1"/>
  <c r="U678" i="1"/>
  <c r="T678" i="1"/>
  <c r="V678" i="1" s="1"/>
  <c r="S678" i="1"/>
  <c r="R678" i="1"/>
  <c r="Q678" i="1"/>
  <c r="P678" i="1"/>
  <c r="K678" i="1"/>
  <c r="J678" i="1"/>
  <c r="W677" i="1"/>
  <c r="U677" i="1"/>
  <c r="T677" i="1"/>
  <c r="V677" i="1" s="1"/>
  <c r="S677" i="1"/>
  <c r="R677" i="1"/>
  <c r="Q677" i="1"/>
  <c r="P677" i="1"/>
  <c r="K677" i="1"/>
  <c r="J677" i="1"/>
  <c r="W676" i="1"/>
  <c r="U676" i="1"/>
  <c r="T676" i="1"/>
  <c r="V676" i="1" s="1"/>
  <c r="S676" i="1"/>
  <c r="R676" i="1"/>
  <c r="Q676" i="1"/>
  <c r="P676" i="1"/>
  <c r="K676" i="1"/>
  <c r="J676" i="1"/>
  <c r="W675" i="1"/>
  <c r="U675" i="1"/>
  <c r="T675" i="1"/>
  <c r="V675" i="1" s="1"/>
  <c r="S675" i="1"/>
  <c r="R675" i="1"/>
  <c r="Q675" i="1"/>
  <c r="P675" i="1"/>
  <c r="K675" i="1"/>
  <c r="J675" i="1"/>
  <c r="W674" i="1"/>
  <c r="U674" i="1"/>
  <c r="T674" i="1"/>
  <c r="V674" i="1" s="1"/>
  <c r="S674" i="1"/>
  <c r="R674" i="1"/>
  <c r="Q674" i="1"/>
  <c r="P674" i="1"/>
  <c r="K674" i="1"/>
  <c r="J674" i="1"/>
  <c r="W673" i="1"/>
  <c r="U673" i="1"/>
  <c r="T673" i="1"/>
  <c r="V673" i="1" s="1"/>
  <c r="S673" i="1"/>
  <c r="R673" i="1"/>
  <c r="Q673" i="1"/>
  <c r="P673" i="1"/>
  <c r="K673" i="1"/>
  <c r="J673" i="1"/>
  <c r="W672" i="1"/>
  <c r="U672" i="1"/>
  <c r="T672" i="1"/>
  <c r="V672" i="1" s="1"/>
  <c r="S672" i="1"/>
  <c r="R672" i="1"/>
  <c r="Q672" i="1"/>
  <c r="P672" i="1"/>
  <c r="K672" i="1"/>
  <c r="J672" i="1"/>
  <c r="W671" i="1"/>
  <c r="U671" i="1"/>
  <c r="T671" i="1"/>
  <c r="V671" i="1" s="1"/>
  <c r="S671" i="1"/>
  <c r="R671" i="1"/>
  <c r="Q671" i="1"/>
  <c r="P671" i="1"/>
  <c r="K671" i="1"/>
  <c r="J671" i="1"/>
  <c r="W670" i="1"/>
  <c r="U670" i="1"/>
  <c r="T670" i="1"/>
  <c r="V670" i="1" s="1"/>
  <c r="S670" i="1"/>
  <c r="R670" i="1"/>
  <c r="Q670" i="1"/>
  <c r="P670" i="1"/>
  <c r="K670" i="1"/>
  <c r="J670" i="1"/>
  <c r="W669" i="1"/>
  <c r="U669" i="1"/>
  <c r="T669" i="1"/>
  <c r="V669" i="1" s="1"/>
  <c r="S669" i="1"/>
  <c r="R669" i="1"/>
  <c r="Q669" i="1"/>
  <c r="P669" i="1"/>
  <c r="K669" i="1"/>
  <c r="J669" i="1"/>
  <c r="W668" i="1"/>
  <c r="U668" i="1"/>
  <c r="T668" i="1"/>
  <c r="V668" i="1" s="1"/>
  <c r="S668" i="1"/>
  <c r="R668" i="1"/>
  <c r="Q668" i="1"/>
  <c r="P668" i="1"/>
  <c r="K668" i="1"/>
  <c r="J668" i="1"/>
  <c r="W667" i="1"/>
  <c r="U667" i="1"/>
  <c r="T667" i="1"/>
  <c r="V667" i="1" s="1"/>
  <c r="S667" i="1"/>
  <c r="R667" i="1"/>
  <c r="Q667" i="1"/>
  <c r="P667" i="1"/>
  <c r="K667" i="1"/>
  <c r="J667" i="1"/>
  <c r="W666" i="1"/>
  <c r="U666" i="1"/>
  <c r="T666" i="1"/>
  <c r="V666" i="1" s="1"/>
  <c r="S666" i="1"/>
  <c r="R666" i="1"/>
  <c r="Q666" i="1"/>
  <c r="P666" i="1"/>
  <c r="K666" i="1"/>
  <c r="J666" i="1"/>
  <c r="W665" i="1"/>
  <c r="U665" i="1"/>
  <c r="T665" i="1"/>
  <c r="V665" i="1" s="1"/>
  <c r="S665" i="1"/>
  <c r="R665" i="1"/>
  <c r="Q665" i="1"/>
  <c r="P665" i="1"/>
  <c r="K665" i="1"/>
  <c r="J665" i="1"/>
  <c r="W664" i="1"/>
  <c r="U664" i="1"/>
  <c r="T664" i="1"/>
  <c r="V664" i="1" s="1"/>
  <c r="S664" i="1"/>
  <c r="R664" i="1"/>
  <c r="Q664" i="1"/>
  <c r="P664" i="1"/>
  <c r="K664" i="1"/>
  <c r="J664" i="1"/>
  <c r="W663" i="1"/>
  <c r="U663" i="1"/>
  <c r="T663" i="1"/>
  <c r="V663" i="1" s="1"/>
  <c r="S663" i="1"/>
  <c r="R663" i="1"/>
  <c r="Q663" i="1"/>
  <c r="P663" i="1"/>
  <c r="K663" i="1"/>
  <c r="J663" i="1"/>
  <c r="W662" i="1"/>
  <c r="U662" i="1"/>
  <c r="T662" i="1"/>
  <c r="V662" i="1" s="1"/>
  <c r="S662" i="1"/>
  <c r="R662" i="1"/>
  <c r="Q662" i="1"/>
  <c r="P662" i="1"/>
  <c r="K662" i="1"/>
  <c r="J662" i="1"/>
  <c r="W661" i="1"/>
  <c r="U661" i="1"/>
  <c r="T661" i="1"/>
  <c r="V661" i="1" s="1"/>
  <c r="S661" i="1"/>
  <c r="R661" i="1"/>
  <c r="Q661" i="1"/>
  <c r="P661" i="1"/>
  <c r="K661" i="1"/>
  <c r="J661" i="1"/>
  <c r="W660" i="1"/>
  <c r="U660" i="1"/>
  <c r="T660" i="1"/>
  <c r="V660" i="1" s="1"/>
  <c r="S660" i="1"/>
  <c r="R660" i="1"/>
  <c r="Q660" i="1"/>
  <c r="P660" i="1"/>
  <c r="K660" i="1"/>
  <c r="J660" i="1"/>
  <c r="W659" i="1"/>
  <c r="U659" i="1"/>
  <c r="T659" i="1"/>
  <c r="V659" i="1" s="1"/>
  <c r="S659" i="1"/>
  <c r="R659" i="1"/>
  <c r="Q659" i="1"/>
  <c r="P659" i="1"/>
  <c r="K659" i="1"/>
  <c r="J659" i="1"/>
  <c r="W658" i="1"/>
  <c r="U658" i="1"/>
  <c r="T658" i="1"/>
  <c r="V658" i="1" s="1"/>
  <c r="S658" i="1"/>
  <c r="R658" i="1"/>
  <c r="Q658" i="1"/>
  <c r="P658" i="1"/>
  <c r="K658" i="1"/>
  <c r="J658" i="1"/>
  <c r="W657" i="1"/>
  <c r="U657" i="1"/>
  <c r="T657" i="1"/>
  <c r="V657" i="1" s="1"/>
  <c r="S657" i="1"/>
  <c r="R657" i="1"/>
  <c r="Q657" i="1"/>
  <c r="P657" i="1"/>
  <c r="K657" i="1"/>
  <c r="J657" i="1"/>
  <c r="W656" i="1"/>
  <c r="U656" i="1"/>
  <c r="T656" i="1"/>
  <c r="V656" i="1" s="1"/>
  <c r="S656" i="1"/>
  <c r="R656" i="1"/>
  <c r="Q656" i="1"/>
  <c r="P656" i="1"/>
  <c r="K656" i="1"/>
  <c r="J656" i="1"/>
  <c r="W655" i="1"/>
  <c r="U655" i="1"/>
  <c r="T655" i="1"/>
  <c r="V655" i="1" s="1"/>
  <c r="S655" i="1"/>
  <c r="R655" i="1"/>
  <c r="Q655" i="1"/>
  <c r="P655" i="1"/>
  <c r="K655" i="1"/>
  <c r="J655" i="1"/>
  <c r="W654" i="1"/>
  <c r="U654" i="1"/>
  <c r="T654" i="1"/>
  <c r="V654" i="1" s="1"/>
  <c r="S654" i="1"/>
  <c r="R654" i="1"/>
  <c r="Q654" i="1"/>
  <c r="P654" i="1"/>
  <c r="K654" i="1"/>
  <c r="J654" i="1"/>
  <c r="W653" i="1"/>
  <c r="U653" i="1"/>
  <c r="T653" i="1"/>
  <c r="V653" i="1" s="1"/>
  <c r="S653" i="1"/>
  <c r="R653" i="1"/>
  <c r="Q653" i="1"/>
  <c r="P653" i="1"/>
  <c r="K653" i="1"/>
  <c r="J653" i="1"/>
  <c r="W652" i="1"/>
  <c r="U652" i="1"/>
  <c r="T652" i="1"/>
  <c r="V652" i="1" s="1"/>
  <c r="S652" i="1"/>
  <c r="R652" i="1"/>
  <c r="Q652" i="1"/>
  <c r="P652" i="1"/>
  <c r="K652" i="1"/>
  <c r="J652" i="1"/>
  <c r="W651" i="1"/>
  <c r="U651" i="1"/>
  <c r="T651" i="1"/>
  <c r="V651" i="1" s="1"/>
  <c r="S651" i="1"/>
  <c r="R651" i="1"/>
  <c r="Q651" i="1"/>
  <c r="P651" i="1"/>
  <c r="K651" i="1"/>
  <c r="J651" i="1"/>
  <c r="W650" i="1"/>
  <c r="U650" i="1"/>
  <c r="T650" i="1"/>
  <c r="V650" i="1" s="1"/>
  <c r="S650" i="1"/>
  <c r="R650" i="1"/>
  <c r="Q650" i="1"/>
  <c r="P650" i="1"/>
  <c r="K650" i="1"/>
  <c r="J650" i="1"/>
  <c r="W649" i="1"/>
  <c r="U649" i="1"/>
  <c r="T649" i="1"/>
  <c r="V649" i="1" s="1"/>
  <c r="S649" i="1"/>
  <c r="R649" i="1"/>
  <c r="Q649" i="1"/>
  <c r="P649" i="1"/>
  <c r="K649" i="1"/>
  <c r="J649" i="1"/>
  <c r="W648" i="1"/>
  <c r="U648" i="1"/>
  <c r="T648" i="1"/>
  <c r="V648" i="1" s="1"/>
  <c r="S648" i="1"/>
  <c r="R648" i="1"/>
  <c r="Q648" i="1"/>
  <c r="P648" i="1"/>
  <c r="K648" i="1"/>
  <c r="J648" i="1"/>
  <c r="W647" i="1"/>
  <c r="U647" i="1"/>
  <c r="T647" i="1"/>
  <c r="V647" i="1" s="1"/>
  <c r="S647" i="1"/>
  <c r="R647" i="1"/>
  <c r="Q647" i="1"/>
  <c r="P647" i="1"/>
  <c r="K647" i="1"/>
  <c r="J647" i="1"/>
  <c r="W646" i="1"/>
  <c r="U646" i="1"/>
  <c r="T646" i="1"/>
  <c r="V646" i="1" s="1"/>
  <c r="S646" i="1"/>
  <c r="R646" i="1"/>
  <c r="Q646" i="1"/>
  <c r="P646" i="1"/>
  <c r="K646" i="1"/>
  <c r="J646" i="1"/>
  <c r="W645" i="1"/>
  <c r="U645" i="1"/>
  <c r="T645" i="1"/>
  <c r="V645" i="1" s="1"/>
  <c r="S645" i="1"/>
  <c r="R645" i="1"/>
  <c r="Q645" i="1"/>
  <c r="P645" i="1"/>
  <c r="K645" i="1"/>
  <c r="J645" i="1"/>
  <c r="W644" i="1"/>
  <c r="U644" i="1"/>
  <c r="T644" i="1"/>
  <c r="V644" i="1" s="1"/>
  <c r="S644" i="1"/>
  <c r="R644" i="1"/>
  <c r="Q644" i="1"/>
  <c r="P644" i="1"/>
  <c r="K644" i="1"/>
  <c r="J644" i="1"/>
  <c r="W643" i="1"/>
  <c r="U643" i="1"/>
  <c r="T643" i="1"/>
  <c r="V643" i="1" s="1"/>
  <c r="S643" i="1"/>
  <c r="R643" i="1"/>
  <c r="Q643" i="1"/>
  <c r="P643" i="1"/>
  <c r="K643" i="1"/>
  <c r="J643" i="1"/>
  <c r="W642" i="1"/>
  <c r="U642" i="1"/>
  <c r="T642" i="1"/>
  <c r="V642" i="1" s="1"/>
  <c r="S642" i="1"/>
  <c r="R642" i="1"/>
  <c r="Q642" i="1"/>
  <c r="P642" i="1"/>
  <c r="K642" i="1"/>
  <c r="J642" i="1"/>
  <c r="W641" i="1"/>
  <c r="U641" i="1"/>
  <c r="T641" i="1"/>
  <c r="V641" i="1" s="1"/>
  <c r="S641" i="1"/>
  <c r="R641" i="1"/>
  <c r="Q641" i="1"/>
  <c r="P641" i="1"/>
  <c r="K641" i="1"/>
  <c r="J641" i="1"/>
  <c r="W640" i="1"/>
  <c r="U640" i="1"/>
  <c r="T640" i="1"/>
  <c r="V640" i="1" s="1"/>
  <c r="S640" i="1"/>
  <c r="R640" i="1"/>
  <c r="Q640" i="1"/>
  <c r="P640" i="1"/>
  <c r="K640" i="1"/>
  <c r="J640" i="1"/>
  <c r="W639" i="1"/>
  <c r="U639" i="1"/>
  <c r="T639" i="1"/>
  <c r="V639" i="1" s="1"/>
  <c r="S639" i="1"/>
  <c r="R639" i="1"/>
  <c r="Q639" i="1"/>
  <c r="P639" i="1"/>
  <c r="K639" i="1"/>
  <c r="J639" i="1"/>
  <c r="W638" i="1"/>
  <c r="U638" i="1"/>
  <c r="T638" i="1"/>
  <c r="V638" i="1" s="1"/>
  <c r="S638" i="1"/>
  <c r="R638" i="1"/>
  <c r="Q638" i="1"/>
  <c r="P638" i="1"/>
  <c r="K638" i="1"/>
  <c r="J638" i="1"/>
  <c r="W637" i="1"/>
  <c r="U637" i="1"/>
  <c r="T637" i="1"/>
  <c r="V637" i="1" s="1"/>
  <c r="S637" i="1"/>
  <c r="R637" i="1"/>
  <c r="Q637" i="1"/>
  <c r="P637" i="1"/>
  <c r="K637" i="1"/>
  <c r="J637" i="1"/>
  <c r="W636" i="1"/>
  <c r="U636" i="1"/>
  <c r="T636" i="1"/>
  <c r="V636" i="1" s="1"/>
  <c r="S636" i="1"/>
  <c r="R636" i="1"/>
  <c r="Q636" i="1"/>
  <c r="P636" i="1"/>
  <c r="K636" i="1"/>
  <c r="J636" i="1"/>
  <c r="W635" i="1"/>
  <c r="U635" i="1"/>
  <c r="T635" i="1"/>
  <c r="V635" i="1" s="1"/>
  <c r="S635" i="1"/>
  <c r="R635" i="1"/>
  <c r="Q635" i="1"/>
  <c r="P635" i="1"/>
  <c r="K635" i="1"/>
  <c r="J635" i="1"/>
  <c r="W634" i="1"/>
  <c r="U634" i="1"/>
  <c r="T634" i="1"/>
  <c r="V634" i="1" s="1"/>
  <c r="S634" i="1"/>
  <c r="R634" i="1"/>
  <c r="Q634" i="1"/>
  <c r="P634" i="1"/>
  <c r="K634" i="1"/>
  <c r="J634" i="1"/>
  <c r="W633" i="1"/>
  <c r="U633" i="1"/>
  <c r="T633" i="1"/>
  <c r="V633" i="1" s="1"/>
  <c r="S633" i="1"/>
  <c r="R633" i="1"/>
  <c r="Q633" i="1"/>
  <c r="P633" i="1"/>
  <c r="K633" i="1"/>
  <c r="J633" i="1"/>
  <c r="W632" i="1"/>
  <c r="U632" i="1"/>
  <c r="T632" i="1"/>
  <c r="V632" i="1" s="1"/>
  <c r="S632" i="1"/>
  <c r="R632" i="1"/>
  <c r="Q632" i="1"/>
  <c r="P632" i="1"/>
  <c r="K632" i="1"/>
  <c r="J632" i="1"/>
  <c r="W631" i="1"/>
  <c r="U631" i="1"/>
  <c r="T631" i="1"/>
  <c r="V631" i="1" s="1"/>
  <c r="S631" i="1"/>
  <c r="R631" i="1"/>
  <c r="Q631" i="1"/>
  <c r="P631" i="1"/>
  <c r="K631" i="1"/>
  <c r="J631" i="1"/>
  <c r="W630" i="1"/>
  <c r="U630" i="1"/>
  <c r="T630" i="1"/>
  <c r="V630" i="1" s="1"/>
  <c r="S630" i="1"/>
  <c r="R630" i="1"/>
  <c r="Q630" i="1"/>
  <c r="P630" i="1"/>
  <c r="K630" i="1"/>
  <c r="J630" i="1"/>
  <c r="W629" i="1"/>
  <c r="U629" i="1"/>
  <c r="T629" i="1"/>
  <c r="V629" i="1" s="1"/>
  <c r="S629" i="1"/>
  <c r="R629" i="1"/>
  <c r="Q629" i="1"/>
  <c r="P629" i="1"/>
  <c r="K629" i="1"/>
  <c r="J629" i="1"/>
  <c r="W628" i="1"/>
  <c r="U628" i="1"/>
  <c r="T628" i="1"/>
  <c r="V628" i="1" s="1"/>
  <c r="S628" i="1"/>
  <c r="R628" i="1"/>
  <c r="Q628" i="1"/>
  <c r="P628" i="1"/>
  <c r="K628" i="1"/>
  <c r="J628" i="1"/>
  <c r="W627" i="1"/>
  <c r="U627" i="1"/>
  <c r="T627" i="1"/>
  <c r="V627" i="1" s="1"/>
  <c r="S627" i="1"/>
  <c r="R627" i="1"/>
  <c r="Q627" i="1"/>
  <c r="P627" i="1"/>
  <c r="K627" i="1"/>
  <c r="J627" i="1"/>
  <c r="W626" i="1"/>
  <c r="U626" i="1"/>
  <c r="T626" i="1"/>
  <c r="V626" i="1" s="1"/>
  <c r="S626" i="1"/>
  <c r="R626" i="1"/>
  <c r="Q626" i="1"/>
  <c r="P626" i="1"/>
  <c r="K626" i="1"/>
  <c r="J626" i="1"/>
  <c r="W625" i="1"/>
  <c r="U625" i="1"/>
  <c r="T625" i="1"/>
  <c r="V625" i="1" s="1"/>
  <c r="S625" i="1"/>
  <c r="R625" i="1"/>
  <c r="Q625" i="1"/>
  <c r="P625" i="1"/>
  <c r="K625" i="1"/>
  <c r="J625" i="1"/>
  <c r="W624" i="1"/>
  <c r="U624" i="1"/>
  <c r="T624" i="1"/>
  <c r="V624" i="1" s="1"/>
  <c r="S624" i="1"/>
  <c r="R624" i="1"/>
  <c r="Q624" i="1"/>
  <c r="P624" i="1"/>
  <c r="K624" i="1"/>
  <c r="J624" i="1"/>
  <c r="W623" i="1"/>
  <c r="U623" i="1"/>
  <c r="T623" i="1"/>
  <c r="V623" i="1" s="1"/>
  <c r="S623" i="1"/>
  <c r="R623" i="1"/>
  <c r="Q623" i="1"/>
  <c r="P623" i="1"/>
  <c r="K623" i="1"/>
  <c r="J623" i="1"/>
  <c r="W622" i="1"/>
  <c r="U622" i="1"/>
  <c r="T622" i="1"/>
  <c r="V622" i="1" s="1"/>
  <c r="S622" i="1"/>
  <c r="R622" i="1"/>
  <c r="Q622" i="1"/>
  <c r="P622" i="1"/>
  <c r="K622" i="1"/>
  <c r="J622" i="1"/>
  <c r="W621" i="1"/>
  <c r="U621" i="1"/>
  <c r="T621" i="1"/>
  <c r="V621" i="1" s="1"/>
  <c r="S621" i="1"/>
  <c r="R621" i="1"/>
  <c r="Q621" i="1"/>
  <c r="P621" i="1"/>
  <c r="K621" i="1"/>
  <c r="J621" i="1"/>
  <c r="W620" i="1"/>
  <c r="U620" i="1"/>
  <c r="T620" i="1"/>
  <c r="V620" i="1" s="1"/>
  <c r="S620" i="1"/>
  <c r="R620" i="1"/>
  <c r="Q620" i="1"/>
  <c r="P620" i="1"/>
  <c r="K620" i="1"/>
  <c r="J620" i="1"/>
  <c r="W619" i="1"/>
  <c r="U619" i="1"/>
  <c r="T619" i="1"/>
  <c r="V619" i="1" s="1"/>
  <c r="S619" i="1"/>
  <c r="R619" i="1"/>
  <c r="Q619" i="1"/>
  <c r="P619" i="1"/>
  <c r="K619" i="1"/>
  <c r="J619" i="1"/>
  <c r="W618" i="1"/>
  <c r="U618" i="1"/>
  <c r="T618" i="1"/>
  <c r="V618" i="1" s="1"/>
  <c r="S618" i="1"/>
  <c r="R618" i="1"/>
  <c r="Q618" i="1"/>
  <c r="P618" i="1"/>
  <c r="K618" i="1"/>
  <c r="J618" i="1"/>
  <c r="W617" i="1"/>
  <c r="U617" i="1"/>
  <c r="T617" i="1"/>
  <c r="V617" i="1" s="1"/>
  <c r="S617" i="1"/>
  <c r="R617" i="1"/>
  <c r="Q617" i="1"/>
  <c r="P617" i="1"/>
  <c r="K617" i="1"/>
  <c r="J617" i="1"/>
  <c r="W616" i="1"/>
  <c r="U616" i="1"/>
  <c r="T616" i="1"/>
  <c r="V616" i="1" s="1"/>
  <c r="S616" i="1"/>
  <c r="R616" i="1"/>
  <c r="Q616" i="1"/>
  <c r="P616" i="1"/>
  <c r="K616" i="1"/>
  <c r="J616" i="1"/>
  <c r="W615" i="1"/>
  <c r="U615" i="1"/>
  <c r="T615" i="1"/>
  <c r="V615" i="1" s="1"/>
  <c r="S615" i="1"/>
  <c r="R615" i="1"/>
  <c r="Q615" i="1"/>
  <c r="P615" i="1"/>
  <c r="K615" i="1"/>
  <c r="J615" i="1"/>
  <c r="W614" i="1"/>
  <c r="U614" i="1"/>
  <c r="T614" i="1"/>
  <c r="V614" i="1" s="1"/>
  <c r="S614" i="1"/>
  <c r="R614" i="1"/>
  <c r="Q614" i="1"/>
  <c r="P614" i="1"/>
  <c r="K614" i="1"/>
  <c r="J614" i="1"/>
  <c r="W613" i="1"/>
  <c r="U613" i="1"/>
  <c r="T613" i="1"/>
  <c r="V613" i="1" s="1"/>
  <c r="S613" i="1"/>
  <c r="R613" i="1"/>
  <c r="Q613" i="1"/>
  <c r="P613" i="1"/>
  <c r="K613" i="1"/>
  <c r="J613" i="1"/>
  <c r="W612" i="1"/>
  <c r="U612" i="1"/>
  <c r="T612" i="1"/>
  <c r="V612" i="1" s="1"/>
  <c r="S612" i="1"/>
  <c r="R612" i="1"/>
  <c r="Q612" i="1"/>
  <c r="P612" i="1"/>
  <c r="K612" i="1"/>
  <c r="J612" i="1"/>
  <c r="W611" i="1"/>
  <c r="U611" i="1"/>
  <c r="T611" i="1"/>
  <c r="V611" i="1" s="1"/>
  <c r="S611" i="1"/>
  <c r="R611" i="1"/>
  <c r="Q611" i="1"/>
  <c r="P611" i="1"/>
  <c r="K611" i="1"/>
  <c r="J611" i="1"/>
  <c r="W610" i="1"/>
  <c r="U610" i="1"/>
  <c r="T610" i="1"/>
  <c r="V610" i="1" s="1"/>
  <c r="S610" i="1"/>
  <c r="R610" i="1"/>
  <c r="Q610" i="1"/>
  <c r="P610" i="1"/>
  <c r="K610" i="1"/>
  <c r="J610" i="1"/>
  <c r="W609" i="1"/>
  <c r="U609" i="1"/>
  <c r="T609" i="1"/>
  <c r="V609" i="1" s="1"/>
  <c r="S609" i="1"/>
  <c r="R609" i="1"/>
  <c r="Q609" i="1"/>
  <c r="P609" i="1"/>
  <c r="K609" i="1"/>
  <c r="J609" i="1"/>
  <c r="W608" i="1"/>
  <c r="U608" i="1"/>
  <c r="T608" i="1"/>
  <c r="V608" i="1" s="1"/>
  <c r="S608" i="1"/>
  <c r="R608" i="1"/>
  <c r="Q608" i="1"/>
  <c r="P608" i="1"/>
  <c r="K608" i="1"/>
  <c r="J608" i="1"/>
  <c r="W607" i="1"/>
  <c r="U607" i="1"/>
  <c r="T607" i="1"/>
  <c r="V607" i="1" s="1"/>
  <c r="S607" i="1"/>
  <c r="R607" i="1"/>
  <c r="Q607" i="1"/>
  <c r="P607" i="1"/>
  <c r="K607" i="1"/>
  <c r="J607" i="1"/>
  <c r="W606" i="1"/>
  <c r="U606" i="1"/>
  <c r="T606" i="1"/>
  <c r="V606" i="1" s="1"/>
  <c r="S606" i="1"/>
  <c r="R606" i="1"/>
  <c r="Q606" i="1"/>
  <c r="P606" i="1"/>
  <c r="K606" i="1"/>
  <c r="J606" i="1"/>
  <c r="W605" i="1"/>
  <c r="U605" i="1"/>
  <c r="T605" i="1"/>
  <c r="V605" i="1" s="1"/>
  <c r="S605" i="1"/>
  <c r="R605" i="1"/>
  <c r="Q605" i="1"/>
  <c r="P605" i="1"/>
  <c r="K605" i="1"/>
  <c r="J605" i="1"/>
  <c r="W604" i="1"/>
  <c r="U604" i="1"/>
  <c r="T604" i="1"/>
  <c r="V604" i="1" s="1"/>
  <c r="S604" i="1"/>
  <c r="R604" i="1"/>
  <c r="Q604" i="1"/>
  <c r="P604" i="1"/>
  <c r="K604" i="1"/>
  <c r="J604" i="1"/>
  <c r="W603" i="1"/>
  <c r="U603" i="1"/>
  <c r="T603" i="1"/>
  <c r="V603" i="1" s="1"/>
  <c r="S603" i="1"/>
  <c r="R603" i="1"/>
  <c r="Q603" i="1"/>
  <c r="P603" i="1"/>
  <c r="K603" i="1"/>
  <c r="J603" i="1"/>
  <c r="W602" i="1"/>
  <c r="U602" i="1"/>
  <c r="T602" i="1"/>
  <c r="V602" i="1" s="1"/>
  <c r="S602" i="1"/>
  <c r="R602" i="1"/>
  <c r="Q602" i="1"/>
  <c r="P602" i="1"/>
  <c r="K602" i="1"/>
  <c r="J602" i="1"/>
  <c r="W601" i="1"/>
  <c r="U601" i="1"/>
  <c r="T601" i="1"/>
  <c r="V601" i="1" s="1"/>
  <c r="S601" i="1"/>
  <c r="R601" i="1"/>
  <c r="Q601" i="1"/>
  <c r="P601" i="1"/>
  <c r="K601" i="1"/>
  <c r="J601" i="1"/>
  <c r="W600" i="1"/>
  <c r="U600" i="1"/>
  <c r="T600" i="1"/>
  <c r="V600" i="1" s="1"/>
  <c r="S600" i="1"/>
  <c r="R600" i="1"/>
  <c r="Q600" i="1"/>
  <c r="P600" i="1"/>
  <c r="K600" i="1"/>
  <c r="J600" i="1"/>
  <c r="W599" i="1"/>
  <c r="U599" i="1"/>
  <c r="T599" i="1"/>
  <c r="V599" i="1" s="1"/>
  <c r="S599" i="1"/>
  <c r="R599" i="1"/>
  <c r="Q599" i="1"/>
  <c r="P599" i="1"/>
  <c r="K599" i="1"/>
  <c r="J599" i="1"/>
  <c r="W598" i="1"/>
  <c r="U598" i="1"/>
  <c r="T598" i="1"/>
  <c r="V598" i="1" s="1"/>
  <c r="S598" i="1"/>
  <c r="R598" i="1"/>
  <c r="Q598" i="1"/>
  <c r="P598" i="1"/>
  <c r="K598" i="1"/>
  <c r="J598" i="1"/>
  <c r="W597" i="1"/>
  <c r="U597" i="1"/>
  <c r="T597" i="1"/>
  <c r="V597" i="1" s="1"/>
  <c r="S597" i="1"/>
  <c r="R597" i="1"/>
  <c r="Q597" i="1"/>
  <c r="P597" i="1"/>
  <c r="K597" i="1"/>
  <c r="J597" i="1"/>
  <c r="W596" i="1"/>
  <c r="U596" i="1"/>
  <c r="T596" i="1"/>
  <c r="V596" i="1" s="1"/>
  <c r="S596" i="1"/>
  <c r="R596" i="1"/>
  <c r="Q596" i="1"/>
  <c r="P596" i="1"/>
  <c r="K596" i="1"/>
  <c r="J596" i="1"/>
  <c r="W595" i="1"/>
  <c r="U595" i="1"/>
  <c r="T595" i="1"/>
  <c r="V595" i="1" s="1"/>
  <c r="S595" i="1"/>
  <c r="R595" i="1"/>
  <c r="Q595" i="1"/>
  <c r="P595" i="1"/>
  <c r="K595" i="1"/>
  <c r="J595" i="1"/>
  <c r="W594" i="1"/>
  <c r="U594" i="1"/>
  <c r="T594" i="1"/>
  <c r="V594" i="1" s="1"/>
  <c r="S594" i="1"/>
  <c r="R594" i="1"/>
  <c r="Q594" i="1"/>
  <c r="P594" i="1"/>
  <c r="K594" i="1"/>
  <c r="J594" i="1"/>
  <c r="W593" i="1"/>
  <c r="U593" i="1"/>
  <c r="T593" i="1"/>
  <c r="V593" i="1" s="1"/>
  <c r="S593" i="1"/>
  <c r="R593" i="1"/>
  <c r="Q593" i="1"/>
  <c r="P593" i="1"/>
  <c r="K593" i="1"/>
  <c r="J593" i="1"/>
  <c r="W592" i="1"/>
  <c r="U592" i="1"/>
  <c r="T592" i="1"/>
  <c r="V592" i="1" s="1"/>
  <c r="S592" i="1"/>
  <c r="R592" i="1"/>
  <c r="Q592" i="1"/>
  <c r="P592" i="1"/>
  <c r="K592" i="1"/>
  <c r="J592" i="1"/>
  <c r="W591" i="1"/>
  <c r="U591" i="1"/>
  <c r="T591" i="1"/>
  <c r="V591" i="1" s="1"/>
  <c r="S591" i="1"/>
  <c r="R591" i="1"/>
  <c r="Q591" i="1"/>
  <c r="P591" i="1"/>
  <c r="K591" i="1"/>
  <c r="J591" i="1"/>
  <c r="W590" i="1"/>
  <c r="U590" i="1"/>
  <c r="T590" i="1"/>
  <c r="V590" i="1" s="1"/>
  <c r="S590" i="1"/>
  <c r="R590" i="1"/>
  <c r="Q590" i="1"/>
  <c r="P590" i="1"/>
  <c r="K590" i="1"/>
  <c r="J590" i="1"/>
  <c r="W589" i="1"/>
  <c r="U589" i="1"/>
  <c r="T589" i="1"/>
  <c r="V589" i="1" s="1"/>
  <c r="S589" i="1"/>
  <c r="R589" i="1"/>
  <c r="Q589" i="1"/>
  <c r="P589" i="1"/>
  <c r="K589" i="1"/>
  <c r="J589" i="1"/>
  <c r="W588" i="1"/>
  <c r="U588" i="1"/>
  <c r="T588" i="1"/>
  <c r="V588" i="1" s="1"/>
  <c r="S588" i="1"/>
  <c r="R588" i="1"/>
  <c r="Q588" i="1"/>
  <c r="P588" i="1"/>
  <c r="K588" i="1"/>
  <c r="J588" i="1"/>
  <c r="W587" i="1"/>
  <c r="U587" i="1"/>
  <c r="T587" i="1"/>
  <c r="V587" i="1" s="1"/>
  <c r="S587" i="1"/>
  <c r="R587" i="1"/>
  <c r="Q587" i="1"/>
  <c r="P587" i="1"/>
  <c r="K587" i="1"/>
  <c r="J587" i="1"/>
  <c r="W586" i="1"/>
  <c r="U586" i="1"/>
  <c r="T586" i="1"/>
  <c r="V586" i="1" s="1"/>
  <c r="S586" i="1"/>
  <c r="R586" i="1"/>
  <c r="Q586" i="1"/>
  <c r="P586" i="1"/>
  <c r="K586" i="1"/>
  <c r="J586" i="1"/>
  <c r="W585" i="1"/>
  <c r="U585" i="1"/>
  <c r="T585" i="1"/>
  <c r="V585" i="1" s="1"/>
  <c r="S585" i="1"/>
  <c r="R585" i="1"/>
  <c r="Q585" i="1"/>
  <c r="P585" i="1"/>
  <c r="K585" i="1"/>
  <c r="J585" i="1"/>
  <c r="W584" i="1"/>
  <c r="U584" i="1"/>
  <c r="T584" i="1"/>
  <c r="V584" i="1" s="1"/>
  <c r="S584" i="1"/>
  <c r="R584" i="1"/>
  <c r="Q584" i="1"/>
  <c r="P584" i="1"/>
  <c r="K584" i="1"/>
  <c r="J584" i="1"/>
  <c r="W583" i="1"/>
  <c r="U583" i="1"/>
  <c r="T583" i="1"/>
  <c r="V583" i="1" s="1"/>
  <c r="S583" i="1"/>
  <c r="R583" i="1"/>
  <c r="Q583" i="1"/>
  <c r="P583" i="1"/>
  <c r="K583" i="1"/>
  <c r="J583" i="1"/>
  <c r="W582" i="1"/>
  <c r="U582" i="1"/>
  <c r="T582" i="1"/>
  <c r="V582" i="1" s="1"/>
  <c r="S582" i="1"/>
  <c r="R582" i="1"/>
  <c r="Q582" i="1"/>
  <c r="P582" i="1"/>
  <c r="K582" i="1"/>
  <c r="J582" i="1"/>
  <c r="W581" i="1"/>
  <c r="U581" i="1"/>
  <c r="T581" i="1"/>
  <c r="V581" i="1" s="1"/>
  <c r="S581" i="1"/>
  <c r="R581" i="1"/>
  <c r="Q581" i="1"/>
  <c r="P581" i="1"/>
  <c r="K581" i="1"/>
  <c r="J581" i="1"/>
  <c r="W580" i="1"/>
  <c r="U580" i="1"/>
  <c r="T580" i="1"/>
  <c r="V580" i="1" s="1"/>
  <c r="S580" i="1"/>
  <c r="R580" i="1"/>
  <c r="Q580" i="1"/>
  <c r="P580" i="1"/>
  <c r="K580" i="1"/>
  <c r="J580" i="1"/>
  <c r="W579" i="1"/>
  <c r="U579" i="1"/>
  <c r="T579" i="1"/>
  <c r="V579" i="1" s="1"/>
  <c r="S579" i="1"/>
  <c r="R579" i="1"/>
  <c r="Q579" i="1"/>
  <c r="P579" i="1"/>
  <c r="K579" i="1"/>
  <c r="J579" i="1"/>
  <c r="W578" i="1"/>
  <c r="U578" i="1"/>
  <c r="T578" i="1"/>
  <c r="V578" i="1" s="1"/>
  <c r="S578" i="1"/>
  <c r="R578" i="1"/>
  <c r="Q578" i="1"/>
  <c r="P578" i="1"/>
  <c r="K578" i="1"/>
  <c r="J578" i="1"/>
  <c r="W577" i="1"/>
  <c r="U577" i="1"/>
  <c r="T577" i="1"/>
  <c r="V577" i="1" s="1"/>
  <c r="S577" i="1"/>
  <c r="R577" i="1"/>
  <c r="Q577" i="1"/>
  <c r="P577" i="1"/>
  <c r="K577" i="1"/>
  <c r="J577" i="1"/>
  <c r="W576" i="1"/>
  <c r="U576" i="1"/>
  <c r="T576" i="1"/>
  <c r="V576" i="1" s="1"/>
  <c r="S576" i="1"/>
  <c r="R576" i="1"/>
  <c r="Q576" i="1"/>
  <c r="P576" i="1"/>
  <c r="K576" i="1"/>
  <c r="J576" i="1"/>
  <c r="W575" i="1"/>
  <c r="U575" i="1"/>
  <c r="T575" i="1"/>
  <c r="V575" i="1" s="1"/>
  <c r="S575" i="1"/>
  <c r="R575" i="1"/>
  <c r="Q575" i="1"/>
  <c r="P575" i="1"/>
  <c r="K575" i="1"/>
  <c r="J575" i="1"/>
  <c r="W574" i="1"/>
  <c r="U574" i="1"/>
  <c r="T574" i="1"/>
  <c r="V574" i="1" s="1"/>
  <c r="S574" i="1"/>
  <c r="R574" i="1"/>
  <c r="Q574" i="1"/>
  <c r="P574" i="1"/>
  <c r="K574" i="1"/>
  <c r="J574" i="1"/>
  <c r="W573" i="1"/>
  <c r="U573" i="1"/>
  <c r="T573" i="1"/>
  <c r="V573" i="1" s="1"/>
  <c r="S573" i="1"/>
  <c r="R573" i="1"/>
  <c r="Q573" i="1"/>
  <c r="P573" i="1"/>
  <c r="K573" i="1"/>
  <c r="J573" i="1"/>
  <c r="W572" i="1"/>
  <c r="U572" i="1"/>
  <c r="T572" i="1"/>
  <c r="V572" i="1" s="1"/>
  <c r="S572" i="1"/>
  <c r="R572" i="1"/>
  <c r="Q572" i="1"/>
  <c r="P572" i="1"/>
  <c r="K572" i="1"/>
  <c r="J572" i="1"/>
  <c r="W571" i="1"/>
  <c r="U571" i="1"/>
  <c r="T571" i="1"/>
  <c r="V571" i="1" s="1"/>
  <c r="S571" i="1"/>
  <c r="R571" i="1"/>
  <c r="Q571" i="1"/>
  <c r="P571" i="1"/>
  <c r="K571" i="1"/>
  <c r="J571" i="1"/>
  <c r="W565" i="1"/>
  <c r="U565" i="1"/>
  <c r="T565" i="1"/>
  <c r="V565" i="1" s="1"/>
  <c r="S565" i="1"/>
  <c r="R565" i="1"/>
  <c r="Q565" i="1"/>
  <c r="P565" i="1"/>
  <c r="W564" i="1"/>
  <c r="U564" i="1"/>
  <c r="T564" i="1"/>
  <c r="V564" i="1" s="1"/>
  <c r="S564" i="1"/>
  <c r="R564" i="1"/>
  <c r="Q564" i="1"/>
  <c r="P564" i="1"/>
  <c r="U563" i="1"/>
  <c r="W563" i="1" s="1"/>
  <c r="T563" i="1"/>
  <c r="V563" i="1" s="1"/>
  <c r="S563" i="1"/>
  <c r="R563" i="1"/>
  <c r="Q563" i="1"/>
  <c r="P563" i="1"/>
  <c r="U562" i="1"/>
  <c r="W562" i="1" s="1"/>
  <c r="T562" i="1"/>
  <c r="V562" i="1" s="1"/>
  <c r="S562" i="1"/>
  <c r="R562" i="1"/>
  <c r="Q562" i="1"/>
  <c r="P562" i="1"/>
  <c r="U561" i="1"/>
  <c r="W561" i="1" s="1"/>
  <c r="T561" i="1"/>
  <c r="V561" i="1" s="1"/>
  <c r="S561" i="1"/>
  <c r="R561" i="1"/>
  <c r="Q561" i="1"/>
  <c r="P561" i="1"/>
  <c r="U560" i="1"/>
  <c r="W560" i="1" s="1"/>
  <c r="T560" i="1"/>
  <c r="V560" i="1" s="1"/>
  <c r="S560" i="1"/>
  <c r="R560" i="1"/>
  <c r="Q560" i="1"/>
  <c r="P560" i="1"/>
  <c r="U559" i="1"/>
  <c r="W559" i="1" s="1"/>
  <c r="T559" i="1"/>
  <c r="V559" i="1" s="1"/>
  <c r="S559" i="1"/>
  <c r="R559" i="1"/>
  <c r="Q559" i="1"/>
  <c r="P559" i="1"/>
  <c r="U558" i="1"/>
  <c r="W558" i="1" s="1"/>
  <c r="T558" i="1"/>
  <c r="V558" i="1" s="1"/>
  <c r="S558" i="1"/>
  <c r="R558" i="1"/>
  <c r="Q558" i="1"/>
  <c r="P558" i="1"/>
  <c r="U557" i="1"/>
  <c r="W557" i="1" s="1"/>
  <c r="T557" i="1"/>
  <c r="V557" i="1" s="1"/>
  <c r="S557" i="1"/>
  <c r="R557" i="1"/>
  <c r="Q557" i="1"/>
  <c r="P557" i="1"/>
  <c r="U556" i="1"/>
  <c r="W556" i="1" s="1"/>
  <c r="T556" i="1"/>
  <c r="V556" i="1" s="1"/>
  <c r="S556" i="1"/>
  <c r="R556" i="1"/>
  <c r="Q556" i="1"/>
  <c r="P556" i="1"/>
  <c r="U555" i="1"/>
  <c r="W555" i="1" s="1"/>
  <c r="T555" i="1"/>
  <c r="V555" i="1" s="1"/>
  <c r="S555" i="1"/>
  <c r="R555" i="1"/>
  <c r="Q555" i="1"/>
  <c r="P555" i="1"/>
  <c r="U554" i="1"/>
  <c r="W554" i="1" s="1"/>
  <c r="T554" i="1"/>
  <c r="V554" i="1" s="1"/>
  <c r="S554" i="1"/>
  <c r="R554" i="1"/>
  <c r="Q554" i="1"/>
  <c r="P554" i="1"/>
  <c r="U553" i="1"/>
  <c r="W553" i="1" s="1"/>
  <c r="T553" i="1"/>
  <c r="V553" i="1" s="1"/>
  <c r="S553" i="1"/>
  <c r="R553" i="1"/>
  <c r="Q553" i="1"/>
  <c r="P553" i="1"/>
  <c r="U552" i="1"/>
  <c r="W552" i="1" s="1"/>
  <c r="T552" i="1"/>
  <c r="V552" i="1" s="1"/>
  <c r="S552" i="1"/>
  <c r="R552" i="1"/>
  <c r="Q552" i="1"/>
  <c r="P552" i="1"/>
  <c r="U551" i="1"/>
  <c r="W551" i="1" s="1"/>
  <c r="T551" i="1"/>
  <c r="V551" i="1" s="1"/>
  <c r="S551" i="1"/>
  <c r="R551" i="1"/>
  <c r="Q551" i="1"/>
  <c r="P551" i="1"/>
  <c r="U550" i="1"/>
  <c r="W550" i="1" s="1"/>
  <c r="T550" i="1"/>
  <c r="V550" i="1" s="1"/>
  <c r="S550" i="1"/>
  <c r="R550" i="1"/>
  <c r="Q550" i="1"/>
  <c r="P550" i="1"/>
  <c r="U549" i="1"/>
  <c r="W549" i="1" s="1"/>
  <c r="T549" i="1"/>
  <c r="V549" i="1" s="1"/>
  <c r="S549" i="1"/>
  <c r="R549" i="1"/>
  <c r="Q549" i="1"/>
  <c r="P549" i="1"/>
  <c r="U548" i="1"/>
  <c r="W548" i="1" s="1"/>
  <c r="T548" i="1"/>
  <c r="V548" i="1" s="1"/>
  <c r="S548" i="1"/>
  <c r="R548" i="1"/>
  <c r="Q548" i="1"/>
  <c r="P548" i="1"/>
  <c r="U547" i="1"/>
  <c r="W547" i="1" s="1"/>
  <c r="T547" i="1"/>
  <c r="V547" i="1" s="1"/>
  <c r="S547" i="1"/>
  <c r="R547" i="1"/>
  <c r="Q547" i="1"/>
  <c r="P547" i="1"/>
  <c r="W546" i="1"/>
  <c r="U546" i="1"/>
  <c r="T546" i="1"/>
  <c r="V546" i="1" s="1"/>
  <c r="S546" i="1"/>
  <c r="R546" i="1"/>
  <c r="Q546" i="1"/>
  <c r="P546" i="1"/>
  <c r="W545" i="1"/>
  <c r="U545" i="1"/>
  <c r="T545" i="1"/>
  <c r="V545" i="1" s="1"/>
  <c r="S545" i="1"/>
  <c r="R545" i="1"/>
  <c r="Q545" i="1"/>
  <c r="P545" i="1"/>
  <c r="W544" i="1"/>
  <c r="U544" i="1"/>
  <c r="T544" i="1"/>
  <c r="V544" i="1" s="1"/>
  <c r="S544" i="1"/>
  <c r="R544" i="1"/>
  <c r="Q544" i="1"/>
  <c r="P544" i="1"/>
  <c r="U543" i="1"/>
  <c r="W543" i="1" s="1"/>
  <c r="T543" i="1"/>
  <c r="V543" i="1" s="1"/>
  <c r="S543" i="1"/>
  <c r="R543" i="1"/>
  <c r="Q543" i="1"/>
  <c r="P543" i="1"/>
  <c r="U542" i="1"/>
  <c r="W542" i="1" s="1"/>
  <c r="T542" i="1"/>
  <c r="V542" i="1" s="1"/>
  <c r="S542" i="1"/>
  <c r="R542" i="1"/>
  <c r="Q542" i="1"/>
  <c r="P542" i="1"/>
  <c r="U541" i="1"/>
  <c r="W541" i="1" s="1"/>
  <c r="T541" i="1"/>
  <c r="V541" i="1" s="1"/>
  <c r="S541" i="1"/>
  <c r="R541" i="1"/>
  <c r="Q541" i="1"/>
  <c r="P541" i="1"/>
  <c r="P76" i="1" l="1"/>
  <c r="Q76" i="1"/>
  <c r="R76" i="1"/>
  <c r="S76" i="1"/>
  <c r="T76" i="1"/>
  <c r="U76" i="1"/>
  <c r="AE9" i="9"/>
  <c r="AF9" i="9"/>
  <c r="AG9" i="9"/>
  <c r="AE10" i="9"/>
  <c r="AF10" i="9"/>
  <c r="AG10" i="9"/>
  <c r="AE11" i="9"/>
  <c r="AF11" i="9"/>
  <c r="AG11" i="9"/>
  <c r="AE12" i="9"/>
  <c r="AF12" i="9"/>
  <c r="AG12" i="9"/>
  <c r="AF1" i="9"/>
  <c r="AG1" i="9"/>
  <c r="AF2" i="9"/>
  <c r="AG2" i="9"/>
  <c r="AF3" i="9"/>
  <c r="AG3" i="9"/>
  <c r="AF4" i="9"/>
  <c r="AG4" i="9"/>
  <c r="AF5" i="9"/>
  <c r="AG5" i="9"/>
  <c r="AF6" i="9"/>
  <c r="AG6" i="9"/>
  <c r="AF7" i="9"/>
  <c r="AG7" i="9"/>
  <c r="AF8" i="9"/>
  <c r="AG8" i="9"/>
  <c r="AE2" i="9"/>
  <c r="AE3" i="9"/>
  <c r="AE4" i="9"/>
  <c r="AE5" i="9"/>
  <c r="AE6" i="9"/>
  <c r="AE7" i="9"/>
  <c r="AE8" i="9"/>
  <c r="AE1" i="9"/>
  <c r="S2" i="9" l="1"/>
  <c r="T2" i="9"/>
  <c r="V2" i="9"/>
  <c r="W2" i="9"/>
  <c r="X2" i="9"/>
  <c r="S3" i="9"/>
  <c r="T3" i="9"/>
  <c r="V3" i="9"/>
  <c r="W3" i="9"/>
  <c r="X3" i="9"/>
  <c r="S4" i="9"/>
  <c r="T4" i="9"/>
  <c r="V4" i="9"/>
  <c r="W4" i="9"/>
  <c r="X4" i="9"/>
  <c r="S5" i="9"/>
  <c r="T5" i="9"/>
  <c r="V5" i="9"/>
  <c r="W5" i="9"/>
  <c r="X5" i="9"/>
  <c r="S6" i="9"/>
  <c r="T6" i="9"/>
  <c r="V6" i="9"/>
  <c r="W6" i="9"/>
  <c r="X6" i="9"/>
  <c r="S7" i="9"/>
  <c r="T7" i="9"/>
  <c r="V7" i="9"/>
  <c r="W7" i="9"/>
  <c r="X7" i="9"/>
  <c r="S8" i="9"/>
  <c r="T8" i="9"/>
  <c r="V8" i="9"/>
  <c r="W8" i="9"/>
  <c r="X8" i="9"/>
  <c r="S9" i="9"/>
  <c r="T9" i="9"/>
  <c r="V9" i="9"/>
  <c r="W9" i="9"/>
  <c r="X9" i="9"/>
  <c r="S10" i="9"/>
  <c r="T10" i="9"/>
  <c r="V10" i="9"/>
  <c r="W10" i="9"/>
  <c r="X10" i="9"/>
  <c r="S11" i="9"/>
  <c r="T11" i="9"/>
  <c r="V11" i="9"/>
  <c r="W11" i="9"/>
  <c r="X11" i="9"/>
  <c r="S12" i="9"/>
  <c r="T12" i="9"/>
  <c r="V12" i="9"/>
  <c r="W12" i="9"/>
  <c r="X12" i="9"/>
  <c r="S13" i="9"/>
  <c r="T13" i="9"/>
  <c r="V13" i="9"/>
  <c r="W13" i="9"/>
  <c r="X13" i="9"/>
  <c r="S14" i="9"/>
  <c r="T14" i="9"/>
  <c r="V14" i="9"/>
  <c r="W14" i="9"/>
  <c r="X14" i="9"/>
  <c r="S15" i="9"/>
  <c r="T15" i="9"/>
  <c r="V15" i="9"/>
  <c r="W15" i="9"/>
  <c r="X15" i="9"/>
  <c r="S16" i="9"/>
  <c r="T16" i="9"/>
  <c r="V16" i="9"/>
  <c r="W16" i="9"/>
  <c r="X16" i="9"/>
  <c r="S17" i="9"/>
  <c r="T17" i="9"/>
  <c r="V17" i="9"/>
  <c r="W17" i="9"/>
  <c r="X17" i="9"/>
  <c r="S18" i="9"/>
  <c r="T18" i="9"/>
  <c r="V18" i="9"/>
  <c r="W18" i="9"/>
  <c r="X18" i="9"/>
  <c r="S19" i="9"/>
  <c r="T19" i="9"/>
  <c r="V19" i="9"/>
  <c r="W19" i="9"/>
  <c r="X19" i="9"/>
  <c r="S20" i="9"/>
  <c r="T20" i="9"/>
  <c r="V20" i="9"/>
  <c r="W20" i="9"/>
  <c r="X20" i="9"/>
  <c r="S21" i="9"/>
  <c r="T21" i="9"/>
  <c r="V21" i="9"/>
  <c r="W21" i="9"/>
  <c r="X21" i="9"/>
  <c r="S22" i="9"/>
  <c r="T22" i="9"/>
  <c r="V22" i="9"/>
  <c r="W22" i="9"/>
  <c r="X22" i="9"/>
  <c r="S23" i="9"/>
  <c r="T23" i="9"/>
  <c r="V23" i="9"/>
  <c r="W23" i="9"/>
  <c r="X23" i="9"/>
  <c r="S24" i="9"/>
  <c r="T24" i="9"/>
  <c r="V24" i="9"/>
  <c r="W24" i="9"/>
  <c r="X24" i="9"/>
  <c r="S25" i="9"/>
  <c r="T25" i="9"/>
  <c r="V25" i="9"/>
  <c r="W25" i="9"/>
  <c r="X25" i="9"/>
  <c r="S26" i="9"/>
  <c r="T26" i="9"/>
  <c r="V26" i="9"/>
  <c r="W26" i="9"/>
  <c r="X26" i="9"/>
  <c r="S27" i="9"/>
  <c r="T27" i="9"/>
  <c r="V27" i="9"/>
  <c r="W27" i="9"/>
  <c r="X27" i="9"/>
  <c r="S28" i="9"/>
  <c r="T28" i="9"/>
  <c r="V28" i="9"/>
  <c r="W28" i="9"/>
  <c r="X28" i="9"/>
  <c r="S29" i="9"/>
  <c r="T29" i="9"/>
  <c r="V29" i="9"/>
  <c r="W29" i="9"/>
  <c r="X29" i="9"/>
  <c r="S30" i="9"/>
  <c r="T30" i="9"/>
  <c r="V30" i="9"/>
  <c r="W30" i="9"/>
  <c r="X30" i="9"/>
  <c r="S67" i="9"/>
  <c r="T67" i="9"/>
  <c r="S68" i="9"/>
  <c r="T68" i="9"/>
  <c r="S69" i="9"/>
  <c r="T69" i="9"/>
  <c r="S70" i="9"/>
  <c r="T70" i="9"/>
  <c r="S71" i="9"/>
  <c r="T71" i="9"/>
  <c r="S72" i="9"/>
  <c r="T72" i="9"/>
  <c r="S73" i="9"/>
  <c r="T73" i="9"/>
  <c r="S74" i="9"/>
  <c r="T74" i="9"/>
  <c r="S91" i="9"/>
  <c r="T91" i="9"/>
  <c r="V67" i="9"/>
  <c r="W67" i="9"/>
  <c r="X67" i="9"/>
  <c r="S92" i="9"/>
  <c r="T92" i="9"/>
  <c r="V68" i="9"/>
  <c r="W68" i="9"/>
  <c r="X68" i="9"/>
  <c r="S93" i="9"/>
  <c r="T93" i="9"/>
  <c r="V69" i="9"/>
  <c r="W69" i="9"/>
  <c r="X69" i="9"/>
  <c r="S94" i="9"/>
  <c r="T94" i="9"/>
  <c r="V70" i="9"/>
  <c r="W70" i="9"/>
  <c r="X70" i="9"/>
  <c r="S95" i="9"/>
  <c r="T95" i="9"/>
  <c r="V71" i="9"/>
  <c r="W71" i="9"/>
  <c r="X71" i="9"/>
  <c r="S96" i="9"/>
  <c r="T96" i="9"/>
  <c r="V72" i="9"/>
  <c r="W72" i="9"/>
  <c r="X72" i="9"/>
  <c r="S97" i="9"/>
  <c r="T97" i="9"/>
  <c r="V73" i="9"/>
  <c r="W73" i="9"/>
  <c r="X73" i="9"/>
  <c r="S98" i="9"/>
  <c r="T98" i="9"/>
  <c r="V74" i="9"/>
  <c r="W74" i="9"/>
  <c r="X74" i="9"/>
  <c r="S99" i="9"/>
  <c r="T99" i="9"/>
  <c r="V75" i="9"/>
  <c r="W75" i="9"/>
  <c r="X75" i="9"/>
  <c r="S100" i="9"/>
  <c r="T100" i="9"/>
  <c r="V76" i="9"/>
  <c r="W76" i="9"/>
  <c r="X76" i="9"/>
  <c r="S101" i="9"/>
  <c r="T101" i="9"/>
  <c r="V77" i="9"/>
  <c r="W77" i="9"/>
  <c r="X77" i="9"/>
  <c r="S110" i="9"/>
  <c r="T110" i="9"/>
  <c r="V86" i="9"/>
  <c r="W86" i="9"/>
  <c r="X86" i="9"/>
  <c r="S111" i="9"/>
  <c r="T111" i="9"/>
  <c r="V87" i="9"/>
  <c r="W87" i="9"/>
  <c r="X87" i="9"/>
  <c r="S112" i="9"/>
  <c r="T112" i="9"/>
  <c r="V88" i="9"/>
  <c r="W88" i="9"/>
  <c r="X88" i="9"/>
  <c r="S113" i="9"/>
  <c r="T113" i="9"/>
  <c r="V89" i="9"/>
  <c r="W89" i="9"/>
  <c r="X89" i="9"/>
  <c r="S115" i="9"/>
  <c r="T115" i="9"/>
  <c r="V91" i="9"/>
  <c r="W91" i="9"/>
  <c r="X91" i="9"/>
  <c r="S116" i="9"/>
  <c r="T116" i="9"/>
  <c r="V92" i="9"/>
  <c r="W92" i="9"/>
  <c r="X92" i="9"/>
  <c r="S117" i="9"/>
  <c r="T117" i="9"/>
  <c r="V93" i="9"/>
  <c r="W93" i="9"/>
  <c r="X93" i="9"/>
  <c r="S118" i="9"/>
  <c r="T118" i="9"/>
  <c r="V94" i="9"/>
  <c r="W94" i="9"/>
  <c r="X94" i="9"/>
  <c r="S119" i="9"/>
  <c r="T119" i="9"/>
  <c r="V95" i="9"/>
  <c r="W95" i="9"/>
  <c r="X95" i="9"/>
  <c r="S120" i="9"/>
  <c r="T120" i="9"/>
  <c r="V96" i="9"/>
  <c r="W96" i="9"/>
  <c r="X96" i="9"/>
  <c r="S121" i="9"/>
  <c r="T121" i="9"/>
  <c r="V97" i="9"/>
  <c r="W97" i="9"/>
  <c r="X97" i="9"/>
  <c r="S122" i="9"/>
  <c r="T122" i="9"/>
  <c r="V98" i="9"/>
  <c r="W98" i="9"/>
  <c r="X98" i="9"/>
  <c r="S123" i="9"/>
  <c r="T123" i="9"/>
  <c r="V99" i="9"/>
  <c r="W99" i="9"/>
  <c r="X99" i="9"/>
  <c r="S124" i="9"/>
  <c r="T124" i="9"/>
  <c r="V100" i="9"/>
  <c r="W100" i="9"/>
  <c r="X100" i="9"/>
  <c r="S125" i="9"/>
  <c r="T125" i="9"/>
  <c r="V101" i="9"/>
  <c r="W101" i="9"/>
  <c r="X101" i="9"/>
  <c r="S126" i="9"/>
  <c r="T126" i="9"/>
  <c r="V102" i="9"/>
  <c r="W102" i="9"/>
  <c r="X102" i="9"/>
  <c r="S127" i="9"/>
  <c r="T127" i="9"/>
  <c r="V103" i="9"/>
  <c r="W103" i="9"/>
  <c r="X103" i="9"/>
  <c r="S128" i="9"/>
  <c r="T128" i="9"/>
  <c r="V104" i="9"/>
  <c r="W104" i="9"/>
  <c r="X104" i="9"/>
  <c r="S129" i="9"/>
  <c r="T129" i="9"/>
  <c r="V105" i="9"/>
  <c r="W105" i="9"/>
  <c r="X105" i="9"/>
  <c r="S130" i="9"/>
  <c r="T130" i="9"/>
  <c r="V106" i="9"/>
  <c r="W106" i="9"/>
  <c r="X106" i="9"/>
  <c r="S131" i="9"/>
  <c r="T131" i="9"/>
  <c r="V107" i="9"/>
  <c r="W107" i="9"/>
  <c r="X107" i="9"/>
  <c r="S132" i="9"/>
  <c r="T132" i="9"/>
  <c r="V108" i="9"/>
  <c r="W108" i="9"/>
  <c r="X108" i="9"/>
  <c r="S133" i="9"/>
  <c r="T133" i="9"/>
  <c r="V109" i="9"/>
  <c r="W109" i="9"/>
  <c r="X109" i="9"/>
  <c r="S134" i="9"/>
  <c r="T134" i="9"/>
  <c r="V110" i="9"/>
  <c r="W110" i="9"/>
  <c r="X110" i="9"/>
  <c r="S135" i="9"/>
  <c r="T135" i="9"/>
  <c r="V111" i="9"/>
  <c r="W111" i="9"/>
  <c r="X111" i="9"/>
  <c r="S136" i="9"/>
  <c r="T136" i="9"/>
  <c r="V112" i="9"/>
  <c r="W112" i="9"/>
  <c r="X112" i="9"/>
  <c r="S137" i="9"/>
  <c r="T137" i="9"/>
  <c r="V113" i="9"/>
  <c r="W113" i="9"/>
  <c r="X113" i="9"/>
  <c r="S138" i="9"/>
  <c r="T138" i="9"/>
  <c r="V114" i="9"/>
  <c r="W114" i="9"/>
  <c r="X114" i="9"/>
  <c r="S139" i="9"/>
  <c r="T139" i="9"/>
  <c r="V115" i="9"/>
  <c r="W115" i="9"/>
  <c r="X115" i="9"/>
  <c r="S140" i="9"/>
  <c r="T140" i="9"/>
  <c r="V116" i="9"/>
  <c r="W116" i="9"/>
  <c r="X116" i="9"/>
  <c r="S141" i="9"/>
  <c r="T141" i="9"/>
  <c r="V117" i="9"/>
  <c r="W117" i="9"/>
  <c r="X117" i="9"/>
  <c r="S142" i="9"/>
  <c r="T142" i="9"/>
  <c r="V118" i="9"/>
  <c r="W118" i="9"/>
  <c r="X118" i="9"/>
  <c r="S143" i="9"/>
  <c r="T143" i="9"/>
  <c r="V119" i="9"/>
  <c r="W119" i="9"/>
  <c r="X119" i="9"/>
  <c r="S144" i="9"/>
  <c r="T144" i="9"/>
  <c r="V120" i="9"/>
  <c r="W120" i="9"/>
  <c r="X120" i="9"/>
  <c r="S145" i="9"/>
  <c r="T145" i="9"/>
  <c r="V121" i="9"/>
  <c r="W121" i="9"/>
  <c r="X121" i="9"/>
  <c r="S146" i="9"/>
  <c r="T146" i="9"/>
  <c r="V122" i="9"/>
  <c r="W122" i="9"/>
  <c r="X122" i="9"/>
  <c r="S147" i="9"/>
  <c r="T147" i="9"/>
  <c r="V123" i="9"/>
  <c r="W123" i="9"/>
  <c r="X123" i="9"/>
  <c r="S148" i="9"/>
  <c r="T148" i="9"/>
  <c r="V124" i="9"/>
  <c r="W124" i="9"/>
  <c r="X124" i="9"/>
  <c r="S149" i="9"/>
  <c r="T149" i="9"/>
  <c r="V125" i="9"/>
  <c r="W125" i="9"/>
  <c r="X125" i="9"/>
  <c r="S150" i="9"/>
  <c r="T150" i="9"/>
  <c r="V126" i="9"/>
  <c r="W126" i="9"/>
  <c r="X126" i="9"/>
  <c r="S151" i="9"/>
  <c r="T151" i="9"/>
  <c r="V127" i="9"/>
  <c r="W127" i="9"/>
  <c r="X127" i="9"/>
  <c r="S152" i="9"/>
  <c r="T152" i="9"/>
  <c r="V128" i="9"/>
  <c r="W128" i="9"/>
  <c r="X128" i="9"/>
  <c r="S153" i="9"/>
  <c r="T153" i="9"/>
  <c r="V129" i="9"/>
  <c r="W129" i="9"/>
  <c r="X129" i="9"/>
  <c r="S154" i="9"/>
  <c r="T154" i="9"/>
  <c r="V130" i="9"/>
  <c r="W130" i="9"/>
  <c r="X130" i="9"/>
  <c r="S155" i="9"/>
  <c r="T155" i="9"/>
  <c r="V131" i="9"/>
  <c r="W131" i="9"/>
  <c r="X131" i="9"/>
  <c r="S156" i="9"/>
  <c r="T156" i="9"/>
  <c r="V132" i="9"/>
  <c r="W132" i="9"/>
  <c r="X132" i="9"/>
  <c r="S157" i="9"/>
  <c r="T157" i="9"/>
  <c r="V133" i="9"/>
  <c r="W133" i="9"/>
  <c r="X133" i="9"/>
  <c r="S158" i="9"/>
  <c r="T158" i="9"/>
  <c r="V134" i="9"/>
  <c r="W134" i="9"/>
  <c r="X134" i="9"/>
  <c r="S159" i="9"/>
  <c r="T159" i="9"/>
  <c r="V135" i="9"/>
  <c r="W135" i="9"/>
  <c r="X135" i="9"/>
  <c r="S160" i="9"/>
  <c r="T160" i="9"/>
  <c r="V136" i="9"/>
  <c r="W136" i="9"/>
  <c r="X136" i="9"/>
  <c r="S161" i="9"/>
  <c r="T161" i="9"/>
  <c r="V137" i="9"/>
  <c r="W137" i="9"/>
  <c r="X137" i="9"/>
  <c r="S162" i="9"/>
  <c r="T162" i="9"/>
  <c r="V138" i="9"/>
  <c r="W138" i="9"/>
  <c r="X138" i="9"/>
  <c r="S163" i="9"/>
  <c r="T163" i="9"/>
  <c r="V139" i="9"/>
  <c r="W139" i="9"/>
  <c r="X139" i="9"/>
  <c r="S164" i="9"/>
  <c r="T164" i="9"/>
  <c r="V140" i="9"/>
  <c r="W140" i="9"/>
  <c r="X140" i="9"/>
  <c r="S165" i="9"/>
  <c r="T165" i="9"/>
  <c r="V141" i="9"/>
  <c r="W141" i="9"/>
  <c r="X141" i="9"/>
  <c r="S166" i="9"/>
  <c r="T166" i="9"/>
  <c r="V142" i="9"/>
  <c r="W142" i="9"/>
  <c r="X142" i="9"/>
  <c r="S167" i="9"/>
  <c r="T167" i="9"/>
  <c r="V143" i="9"/>
  <c r="W143" i="9"/>
  <c r="X143" i="9"/>
  <c r="S168" i="9"/>
  <c r="T168" i="9"/>
  <c r="V144" i="9"/>
  <c r="W144" i="9"/>
  <c r="X144" i="9"/>
  <c r="S169" i="9"/>
  <c r="T169" i="9"/>
  <c r="V145" i="9"/>
  <c r="W145" i="9"/>
  <c r="X145" i="9"/>
  <c r="S170" i="9"/>
  <c r="T170" i="9"/>
  <c r="V146" i="9"/>
  <c r="W146" i="9"/>
  <c r="X146" i="9"/>
  <c r="S171" i="9"/>
  <c r="T171" i="9"/>
  <c r="V147" i="9"/>
  <c r="W147" i="9"/>
  <c r="X147" i="9"/>
  <c r="S172" i="9"/>
  <c r="T172" i="9"/>
  <c r="V148" i="9"/>
  <c r="W148" i="9"/>
  <c r="X148" i="9"/>
  <c r="S173" i="9"/>
  <c r="T173" i="9"/>
  <c r="V149" i="9"/>
  <c r="W149" i="9"/>
  <c r="X149" i="9"/>
  <c r="S174" i="9"/>
  <c r="T174" i="9"/>
  <c r="V150" i="9"/>
  <c r="W150" i="9"/>
  <c r="X150" i="9"/>
  <c r="S175" i="9"/>
  <c r="T175" i="9"/>
  <c r="V151" i="9"/>
  <c r="W151" i="9"/>
  <c r="X151" i="9"/>
  <c r="S176" i="9"/>
  <c r="T176" i="9"/>
  <c r="V152" i="9"/>
  <c r="W152" i="9"/>
  <c r="X152" i="9"/>
  <c r="S177" i="9"/>
  <c r="T177" i="9"/>
  <c r="V153" i="9"/>
  <c r="W153" i="9"/>
  <c r="X153" i="9"/>
  <c r="S178" i="9"/>
  <c r="T178" i="9"/>
  <c r="V154" i="9"/>
  <c r="W154" i="9"/>
  <c r="X154" i="9"/>
  <c r="S179" i="9"/>
  <c r="T179" i="9"/>
  <c r="V155" i="9"/>
  <c r="W155" i="9"/>
  <c r="X155" i="9"/>
  <c r="S180" i="9"/>
  <c r="T180" i="9"/>
  <c r="V156" i="9"/>
  <c r="W156" i="9"/>
  <c r="X156" i="9"/>
  <c r="S181" i="9"/>
  <c r="T181" i="9"/>
  <c r="V157" i="9"/>
  <c r="W157" i="9"/>
  <c r="X157" i="9"/>
  <c r="S194" i="9"/>
  <c r="T194" i="9"/>
  <c r="V170" i="9"/>
  <c r="W170" i="9"/>
  <c r="X170" i="9"/>
  <c r="S195" i="9"/>
  <c r="T195" i="9"/>
  <c r="V171" i="9"/>
  <c r="W171" i="9"/>
  <c r="X171" i="9"/>
  <c r="S196" i="9"/>
  <c r="T196" i="9"/>
  <c r="V172" i="9"/>
  <c r="W172" i="9"/>
  <c r="X172" i="9"/>
  <c r="S197" i="9"/>
  <c r="T197" i="9"/>
  <c r="V173" i="9"/>
  <c r="W173" i="9"/>
  <c r="X173" i="9"/>
  <c r="S198" i="9"/>
  <c r="T198" i="9"/>
  <c r="V174" i="9"/>
  <c r="W174" i="9"/>
  <c r="X174" i="9"/>
  <c r="S199" i="9"/>
  <c r="T199" i="9"/>
  <c r="V175" i="9"/>
  <c r="W175" i="9"/>
  <c r="X175" i="9"/>
  <c r="S200" i="9"/>
  <c r="T200" i="9"/>
  <c r="V176" i="9"/>
  <c r="W176" i="9"/>
  <c r="X176" i="9"/>
  <c r="S201" i="9"/>
  <c r="T201" i="9"/>
  <c r="V177" i="9"/>
  <c r="W177" i="9"/>
  <c r="X177" i="9"/>
  <c r="S202" i="9"/>
  <c r="T202" i="9"/>
  <c r="V178" i="9"/>
  <c r="W178" i="9"/>
  <c r="X178" i="9"/>
  <c r="S209" i="9"/>
  <c r="T209" i="9"/>
  <c r="V185" i="9"/>
  <c r="W185" i="9"/>
  <c r="X185" i="9"/>
  <c r="S210" i="9"/>
  <c r="T210" i="9"/>
  <c r="V186" i="9"/>
  <c r="W186" i="9"/>
  <c r="X186" i="9"/>
  <c r="S211" i="9"/>
  <c r="T211" i="9"/>
  <c r="V187" i="9"/>
  <c r="W187" i="9"/>
  <c r="X187" i="9"/>
  <c r="S212" i="9"/>
  <c r="T212" i="9"/>
  <c r="V188" i="9"/>
  <c r="W188" i="9"/>
  <c r="X188" i="9"/>
  <c r="S213" i="9"/>
  <c r="T213" i="9"/>
  <c r="V189" i="9"/>
  <c r="W189" i="9"/>
  <c r="X189" i="9"/>
  <c r="S214" i="9"/>
  <c r="T214" i="9"/>
  <c r="V190" i="9"/>
  <c r="W190" i="9"/>
  <c r="X190" i="9"/>
  <c r="S217" i="9"/>
  <c r="T217" i="9"/>
  <c r="V193" i="9"/>
  <c r="W193" i="9"/>
  <c r="X193" i="9"/>
  <c r="S218" i="9"/>
  <c r="T218" i="9"/>
  <c r="V194" i="9"/>
  <c r="W194" i="9"/>
  <c r="X194" i="9"/>
  <c r="S219" i="9"/>
  <c r="T219" i="9"/>
  <c r="V195" i="9"/>
  <c r="W195" i="9"/>
  <c r="X195" i="9"/>
  <c r="S220" i="9"/>
  <c r="T220" i="9"/>
  <c r="V196" i="9"/>
  <c r="W196" i="9"/>
  <c r="X196" i="9"/>
  <c r="S221" i="9"/>
  <c r="T221" i="9"/>
  <c r="V197" i="9"/>
  <c r="W197" i="9"/>
  <c r="X197" i="9"/>
  <c r="R97" i="9"/>
  <c r="R98" i="9"/>
  <c r="R99" i="9"/>
  <c r="R100" i="9"/>
  <c r="R101" i="9"/>
  <c r="R209" i="9"/>
  <c r="R210" i="9"/>
  <c r="R211" i="9"/>
  <c r="R93" i="9"/>
  <c r="R94" i="9"/>
  <c r="R91" i="9"/>
  <c r="R92" i="9"/>
  <c r="R95" i="9"/>
  <c r="R96" i="9"/>
  <c r="R117" i="9"/>
  <c r="R118" i="9"/>
  <c r="R115" i="9"/>
  <c r="R116" i="9"/>
  <c r="R119" i="9"/>
  <c r="R120" i="9"/>
  <c r="R217" i="9"/>
  <c r="R155" i="9"/>
  <c r="R158" i="9"/>
  <c r="R159" i="9"/>
  <c r="R162" i="9"/>
  <c r="R163" i="9"/>
  <c r="R12" i="9"/>
  <c r="R18" i="9"/>
  <c r="R24" i="9"/>
  <c r="R30" i="9"/>
  <c r="R175" i="9"/>
  <c r="R181" i="9"/>
  <c r="R7" i="9"/>
  <c r="R13" i="9"/>
  <c r="R19" i="9"/>
  <c r="R25" i="9"/>
  <c r="R170" i="9"/>
  <c r="R176" i="9"/>
  <c r="R8" i="9"/>
  <c r="R14" i="9"/>
  <c r="R20" i="9"/>
  <c r="R26" i="9"/>
  <c r="R171" i="9"/>
  <c r="R177" i="9"/>
  <c r="R9" i="9"/>
  <c r="R15" i="9"/>
  <c r="R21" i="9"/>
  <c r="R27" i="9"/>
  <c r="R172" i="9"/>
  <c r="R178" i="9"/>
  <c r="R10" i="9"/>
  <c r="R16" i="9"/>
  <c r="R22" i="9"/>
  <c r="R28" i="9"/>
  <c r="R173" i="9"/>
  <c r="R179" i="9"/>
  <c r="R11" i="9"/>
  <c r="R17" i="9"/>
  <c r="R23" i="9"/>
  <c r="R29" i="9"/>
  <c r="R174" i="9"/>
  <c r="R180" i="9"/>
  <c r="R5" i="9"/>
  <c r="R6" i="9"/>
  <c r="R2" i="9"/>
  <c r="R3" i="9"/>
  <c r="R4" i="9"/>
  <c r="R67" i="9"/>
  <c r="R68" i="9"/>
  <c r="R69" i="9"/>
  <c r="R70" i="9"/>
  <c r="R71" i="9"/>
  <c r="R72" i="9"/>
  <c r="R73" i="9"/>
  <c r="R74" i="9"/>
  <c r="R110" i="9"/>
  <c r="R111" i="9"/>
  <c r="R112" i="9"/>
  <c r="R113" i="9"/>
  <c r="R202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68" i="9"/>
  <c r="R169" i="9"/>
  <c r="R136" i="9"/>
  <c r="R135" i="9"/>
  <c r="R134" i="9"/>
  <c r="R137" i="9"/>
  <c r="R138" i="9"/>
  <c r="R139" i="9"/>
  <c r="R140" i="9"/>
  <c r="R141" i="9"/>
  <c r="R194" i="9"/>
  <c r="R195" i="9"/>
  <c r="R196" i="9"/>
  <c r="R197" i="9"/>
  <c r="R142" i="9"/>
  <c r="R143" i="9"/>
  <c r="R144" i="9"/>
  <c r="R145" i="9"/>
  <c r="R146" i="9"/>
  <c r="R147" i="9"/>
  <c r="R148" i="9"/>
  <c r="R149" i="9"/>
  <c r="R198" i="9"/>
  <c r="R199" i="9"/>
  <c r="R200" i="9"/>
  <c r="R201" i="9"/>
  <c r="R150" i="9"/>
  <c r="R151" i="9"/>
  <c r="R152" i="9"/>
  <c r="R153" i="9"/>
  <c r="R156" i="9"/>
  <c r="R157" i="9"/>
  <c r="R160" i="9"/>
  <c r="R161" i="9"/>
  <c r="R164" i="9"/>
  <c r="R165" i="9"/>
  <c r="R166" i="9"/>
  <c r="R167" i="9"/>
  <c r="R218" i="9"/>
  <c r="R219" i="9"/>
  <c r="R220" i="9"/>
  <c r="R221" i="9"/>
  <c r="R212" i="9"/>
  <c r="R213" i="9"/>
  <c r="R214" i="9"/>
  <c r="R154" i="9"/>
  <c r="P19" i="1" l="1"/>
  <c r="Q19" i="1"/>
  <c r="R19" i="1"/>
  <c r="S19" i="1"/>
  <c r="T19" i="1"/>
  <c r="V19" i="1" s="1"/>
  <c r="U19" i="1"/>
  <c r="W19" i="1" s="1"/>
  <c r="P20" i="1"/>
  <c r="Q20" i="1"/>
  <c r="R20" i="1"/>
  <c r="S20" i="1"/>
  <c r="T20" i="1"/>
  <c r="V20" i="1" s="1"/>
  <c r="U20" i="1"/>
  <c r="W20" i="1" s="1"/>
  <c r="P21" i="1"/>
  <c r="Q21" i="1"/>
  <c r="R21" i="1"/>
  <c r="S21" i="1"/>
  <c r="T21" i="1"/>
  <c r="V21" i="1" s="1"/>
  <c r="U21" i="1"/>
  <c r="W21" i="1" s="1"/>
  <c r="P22" i="1"/>
  <c r="Q22" i="1"/>
  <c r="R22" i="1"/>
  <c r="S22" i="1"/>
  <c r="T22" i="1"/>
  <c r="V22" i="1" s="1"/>
  <c r="U22" i="1"/>
  <c r="W22" i="1" s="1"/>
  <c r="P23" i="1"/>
  <c r="Q23" i="1"/>
  <c r="R23" i="1"/>
  <c r="S23" i="1"/>
  <c r="T23" i="1"/>
  <c r="V23" i="1" s="1"/>
  <c r="U23" i="1"/>
  <c r="W23" i="1" s="1"/>
  <c r="P24" i="1"/>
  <c r="Q24" i="1"/>
  <c r="R24" i="1"/>
  <c r="S24" i="1"/>
  <c r="T24" i="1"/>
  <c r="V24" i="1" s="1"/>
  <c r="U24" i="1"/>
  <c r="W24" i="1" s="1"/>
  <c r="P25" i="1"/>
  <c r="Q25" i="1"/>
  <c r="R25" i="1"/>
  <c r="S25" i="1"/>
  <c r="T25" i="1"/>
  <c r="V25" i="1" s="1"/>
  <c r="U25" i="1"/>
  <c r="W25" i="1" s="1"/>
  <c r="P26" i="1"/>
  <c r="Q26" i="1"/>
  <c r="R26" i="1"/>
  <c r="S26" i="1"/>
  <c r="T26" i="1"/>
  <c r="V26" i="1" s="1"/>
  <c r="U26" i="1"/>
  <c r="W26" i="1" s="1"/>
  <c r="P27" i="1"/>
  <c r="Q27" i="1"/>
  <c r="R27" i="1"/>
  <c r="S27" i="1"/>
  <c r="T27" i="1"/>
  <c r="V27" i="1" s="1"/>
  <c r="U27" i="1"/>
  <c r="W27" i="1" s="1"/>
  <c r="P28" i="1"/>
  <c r="Q28" i="1"/>
  <c r="R28" i="1"/>
  <c r="S28" i="1"/>
  <c r="T28" i="1"/>
  <c r="V28" i="1" s="1"/>
  <c r="U28" i="1"/>
  <c r="W28" i="1" s="1"/>
  <c r="P29" i="1"/>
  <c r="Q29" i="1"/>
  <c r="R29" i="1"/>
  <c r="S29" i="1"/>
  <c r="T29" i="1"/>
  <c r="V29" i="1" s="1"/>
  <c r="U29" i="1"/>
  <c r="W29" i="1" s="1"/>
  <c r="P30" i="1"/>
  <c r="Q30" i="1"/>
  <c r="R30" i="1"/>
  <c r="S30" i="1"/>
  <c r="T30" i="1"/>
  <c r="V30" i="1" s="1"/>
  <c r="U30" i="1"/>
  <c r="W30" i="1" s="1"/>
  <c r="P31" i="1"/>
  <c r="Q31" i="1"/>
  <c r="R31" i="1"/>
  <c r="S31" i="1"/>
  <c r="T31" i="1"/>
  <c r="V31" i="1" s="1"/>
  <c r="U31" i="1"/>
  <c r="W31" i="1" s="1"/>
  <c r="P32" i="1"/>
  <c r="Q32" i="1"/>
  <c r="R32" i="1"/>
  <c r="S32" i="1"/>
  <c r="T32" i="1"/>
  <c r="V32" i="1" s="1"/>
  <c r="U32" i="1"/>
  <c r="W32" i="1" s="1"/>
  <c r="P33" i="1"/>
  <c r="Q33" i="1"/>
  <c r="R33" i="1"/>
  <c r="S33" i="1"/>
  <c r="T33" i="1"/>
  <c r="V33" i="1" s="1"/>
  <c r="U33" i="1"/>
  <c r="W33" i="1" s="1"/>
  <c r="P34" i="1"/>
  <c r="Q34" i="1"/>
  <c r="R34" i="1"/>
  <c r="S34" i="1"/>
  <c r="T34" i="1"/>
  <c r="V34" i="1" s="1"/>
  <c r="U34" i="1"/>
  <c r="W34" i="1" s="1"/>
  <c r="P35" i="1"/>
  <c r="Q35" i="1"/>
  <c r="R35" i="1"/>
  <c r="S35" i="1"/>
  <c r="T35" i="1"/>
  <c r="V35" i="1" s="1"/>
  <c r="U35" i="1"/>
  <c r="W35" i="1" s="1"/>
  <c r="P36" i="1"/>
  <c r="Q36" i="1"/>
  <c r="R36" i="1"/>
  <c r="S36" i="1"/>
  <c r="T36" i="1"/>
  <c r="V36" i="1" s="1"/>
  <c r="U36" i="1"/>
  <c r="W36" i="1" s="1"/>
  <c r="P37" i="1"/>
  <c r="Q37" i="1"/>
  <c r="R37" i="1"/>
  <c r="S37" i="1"/>
  <c r="T37" i="1"/>
  <c r="V37" i="1" s="1"/>
  <c r="U37" i="1"/>
  <c r="W37" i="1" s="1"/>
  <c r="P38" i="1"/>
  <c r="Q38" i="1"/>
  <c r="R38" i="1"/>
  <c r="S38" i="1"/>
  <c r="T38" i="1"/>
  <c r="V38" i="1" s="1"/>
  <c r="U38" i="1"/>
  <c r="W38" i="1"/>
  <c r="P39" i="1"/>
  <c r="Q39" i="1"/>
  <c r="R39" i="1"/>
  <c r="S39" i="1"/>
  <c r="T39" i="1"/>
  <c r="V39" i="1" s="1"/>
  <c r="U39" i="1"/>
  <c r="W39" i="1"/>
  <c r="P40" i="1"/>
  <c r="Q40" i="1"/>
  <c r="R40" i="1"/>
  <c r="S40" i="1"/>
  <c r="T40" i="1"/>
  <c r="V40" i="1" s="1"/>
  <c r="U40" i="1"/>
  <c r="W40" i="1"/>
  <c r="P41" i="1"/>
  <c r="Q41" i="1"/>
  <c r="R41" i="1"/>
  <c r="S41" i="1"/>
  <c r="T41" i="1"/>
  <c r="V41" i="1" s="1"/>
  <c r="U41" i="1"/>
  <c r="W41" i="1"/>
  <c r="P42" i="1"/>
  <c r="Q42" i="1"/>
  <c r="R42" i="1"/>
  <c r="S42" i="1"/>
  <c r="T42" i="1"/>
  <c r="V42" i="1" s="1"/>
  <c r="U42" i="1"/>
  <c r="W42" i="1"/>
  <c r="P43" i="1"/>
  <c r="Q43" i="1"/>
  <c r="R43" i="1"/>
  <c r="S43" i="1"/>
  <c r="T43" i="1"/>
  <c r="V43" i="1" s="1"/>
  <c r="U43" i="1"/>
  <c r="W43" i="1"/>
  <c r="P44" i="1"/>
  <c r="Q44" i="1"/>
  <c r="R44" i="1"/>
  <c r="S44" i="1"/>
  <c r="T44" i="1"/>
  <c r="V44" i="1" s="1"/>
  <c r="U44" i="1"/>
  <c r="W44" i="1" s="1"/>
  <c r="P45" i="1"/>
  <c r="Q45" i="1"/>
  <c r="R45" i="1"/>
  <c r="S45" i="1"/>
  <c r="T45" i="1"/>
  <c r="V45" i="1" s="1"/>
  <c r="U45" i="1"/>
  <c r="W45" i="1" s="1"/>
  <c r="P46" i="1"/>
  <c r="Q46" i="1"/>
  <c r="R46" i="1"/>
  <c r="S46" i="1"/>
  <c r="T46" i="1"/>
  <c r="V46" i="1" s="1"/>
  <c r="U46" i="1"/>
  <c r="W46" i="1" s="1"/>
  <c r="P47" i="1"/>
  <c r="Q47" i="1"/>
  <c r="R47" i="1"/>
  <c r="S47" i="1"/>
  <c r="T47" i="1"/>
  <c r="V47" i="1" s="1"/>
  <c r="U47" i="1"/>
  <c r="W47" i="1" s="1"/>
  <c r="P48" i="1"/>
  <c r="Q48" i="1"/>
  <c r="R48" i="1"/>
  <c r="S48" i="1"/>
  <c r="T48" i="1"/>
  <c r="V48" i="1" s="1"/>
  <c r="U48" i="1"/>
  <c r="W48" i="1" s="1"/>
  <c r="P49" i="1"/>
  <c r="Q49" i="1"/>
  <c r="R49" i="1"/>
  <c r="S49" i="1"/>
  <c r="T49" i="1"/>
  <c r="V49" i="1" s="1"/>
  <c r="U49" i="1"/>
  <c r="W49" i="1" s="1"/>
  <c r="P50" i="1"/>
  <c r="Q50" i="1"/>
  <c r="R50" i="1"/>
  <c r="S50" i="1"/>
  <c r="T50" i="1"/>
  <c r="V50" i="1" s="1"/>
  <c r="U50" i="1"/>
  <c r="W50" i="1" s="1"/>
  <c r="P51" i="1"/>
  <c r="Q51" i="1"/>
  <c r="R51" i="1"/>
  <c r="S51" i="1"/>
  <c r="T51" i="1"/>
  <c r="V51" i="1" s="1"/>
  <c r="U51" i="1"/>
  <c r="W51" i="1" s="1"/>
  <c r="P52" i="1"/>
  <c r="Q52" i="1"/>
  <c r="R52" i="1"/>
  <c r="S52" i="1"/>
  <c r="T52" i="1"/>
  <c r="V52" i="1" s="1"/>
  <c r="U52" i="1"/>
  <c r="W52" i="1" s="1"/>
  <c r="P53" i="1"/>
  <c r="Q53" i="1"/>
  <c r="R53" i="1"/>
  <c r="S53" i="1"/>
  <c r="T53" i="1"/>
  <c r="V53" i="1" s="1"/>
  <c r="U53" i="1"/>
  <c r="W53" i="1" s="1"/>
  <c r="P54" i="1"/>
  <c r="Q54" i="1"/>
  <c r="R54" i="1"/>
  <c r="S54" i="1"/>
  <c r="T54" i="1"/>
  <c r="V54" i="1" s="1"/>
  <c r="U54" i="1"/>
  <c r="W54" i="1" s="1"/>
  <c r="P55" i="1"/>
  <c r="Q55" i="1"/>
  <c r="R55" i="1"/>
  <c r="S55" i="1"/>
  <c r="T55" i="1"/>
  <c r="V55" i="1" s="1"/>
  <c r="U55" i="1"/>
  <c r="W55" i="1" s="1"/>
  <c r="P56" i="1"/>
  <c r="Q56" i="1"/>
  <c r="R56" i="1"/>
  <c r="S56" i="1"/>
  <c r="T56" i="1"/>
  <c r="V56" i="1" s="1"/>
  <c r="U56" i="1"/>
  <c r="W56" i="1" s="1"/>
  <c r="P57" i="1"/>
  <c r="Q57" i="1"/>
  <c r="R57" i="1"/>
  <c r="S57" i="1"/>
  <c r="T57" i="1"/>
  <c r="V57" i="1" s="1"/>
  <c r="U57" i="1"/>
  <c r="W57" i="1" s="1"/>
  <c r="P58" i="1"/>
  <c r="Q58" i="1"/>
  <c r="R58" i="1"/>
  <c r="S58" i="1"/>
  <c r="T58" i="1"/>
  <c r="V58" i="1" s="1"/>
  <c r="U58" i="1"/>
  <c r="W58" i="1" s="1"/>
  <c r="P59" i="1"/>
  <c r="Q59" i="1"/>
  <c r="R59" i="1"/>
  <c r="S59" i="1"/>
  <c r="T59" i="1"/>
  <c r="V59" i="1" s="1"/>
  <c r="U59" i="1"/>
  <c r="W59" i="1" s="1"/>
  <c r="P60" i="1"/>
  <c r="Q60" i="1"/>
  <c r="R60" i="1"/>
  <c r="S60" i="1"/>
  <c r="T60" i="1"/>
  <c r="V60" i="1" s="1"/>
  <c r="U60" i="1"/>
  <c r="W60" i="1" s="1"/>
  <c r="P61" i="1"/>
  <c r="Q61" i="1"/>
  <c r="R61" i="1"/>
  <c r="S61" i="1"/>
  <c r="T61" i="1"/>
  <c r="V61" i="1" s="1"/>
  <c r="U61" i="1"/>
  <c r="W61" i="1" s="1"/>
  <c r="P62" i="1"/>
  <c r="Q62" i="1"/>
  <c r="R62" i="1"/>
  <c r="S62" i="1"/>
  <c r="T62" i="1"/>
  <c r="V62" i="1" s="1"/>
  <c r="U62" i="1"/>
  <c r="W62" i="1" s="1"/>
  <c r="P63" i="1"/>
  <c r="Q63" i="1"/>
  <c r="R63" i="1"/>
  <c r="S63" i="1"/>
  <c r="T63" i="1"/>
  <c r="V63" i="1" s="1"/>
  <c r="U63" i="1"/>
  <c r="W63" i="1" s="1"/>
  <c r="P64" i="1"/>
  <c r="Q64" i="1"/>
  <c r="R64" i="1"/>
  <c r="S64" i="1"/>
  <c r="T64" i="1"/>
  <c r="V64" i="1" s="1"/>
  <c r="U64" i="1"/>
  <c r="W64" i="1" s="1"/>
  <c r="P65" i="1"/>
  <c r="Q65" i="1"/>
  <c r="R65" i="1"/>
  <c r="S65" i="1"/>
  <c r="T65" i="1"/>
  <c r="V65" i="1" s="1"/>
  <c r="U65" i="1"/>
  <c r="W65" i="1" s="1"/>
  <c r="P66" i="1"/>
  <c r="Q66" i="1"/>
  <c r="R66" i="1"/>
  <c r="S66" i="1"/>
  <c r="T66" i="1"/>
  <c r="V66" i="1" s="1"/>
  <c r="U66" i="1"/>
  <c r="W66" i="1" s="1"/>
  <c r="P67" i="1"/>
  <c r="Q67" i="1"/>
  <c r="R67" i="1"/>
  <c r="S67" i="1"/>
  <c r="T67" i="1"/>
  <c r="V67" i="1" s="1"/>
  <c r="U67" i="1"/>
  <c r="W67" i="1" s="1"/>
  <c r="P68" i="1"/>
  <c r="Q68" i="1"/>
  <c r="R68" i="1"/>
  <c r="S68" i="1"/>
  <c r="T68" i="1"/>
  <c r="V68" i="1" s="1"/>
  <c r="U68" i="1"/>
  <c r="W68" i="1" s="1"/>
  <c r="P69" i="1"/>
  <c r="Q69" i="1"/>
  <c r="R69" i="1"/>
  <c r="S69" i="1"/>
  <c r="T69" i="1"/>
  <c r="V69" i="1" s="1"/>
  <c r="U69" i="1"/>
  <c r="W69" i="1" s="1"/>
  <c r="P70" i="1"/>
  <c r="Q70" i="1"/>
  <c r="R70" i="1"/>
  <c r="S70" i="1"/>
  <c r="T70" i="1"/>
  <c r="V70" i="1" s="1"/>
  <c r="U70" i="1"/>
  <c r="W70" i="1" s="1"/>
  <c r="P71" i="1"/>
  <c r="Q71" i="1"/>
  <c r="R71" i="1"/>
  <c r="S71" i="1"/>
  <c r="T71" i="1"/>
  <c r="V71" i="1" s="1"/>
  <c r="U71" i="1"/>
  <c r="W71" i="1" s="1"/>
  <c r="P72" i="1"/>
  <c r="Q72" i="1"/>
  <c r="R72" i="1"/>
  <c r="S72" i="1"/>
  <c r="T72" i="1"/>
  <c r="V72" i="1" s="1"/>
  <c r="U72" i="1"/>
  <c r="W72" i="1" s="1"/>
  <c r="P73" i="1"/>
  <c r="Q73" i="1"/>
  <c r="R73" i="1"/>
  <c r="S73" i="1"/>
  <c r="T73" i="1"/>
  <c r="V73" i="1" s="1"/>
  <c r="U73" i="1"/>
  <c r="W73" i="1" s="1"/>
  <c r="P74" i="1"/>
  <c r="Q74" i="1"/>
  <c r="R74" i="1"/>
  <c r="S74" i="1"/>
  <c r="T74" i="1"/>
  <c r="V74" i="1" s="1"/>
  <c r="U74" i="1"/>
  <c r="W74" i="1" s="1"/>
  <c r="P75" i="1"/>
  <c r="Q75" i="1"/>
  <c r="R75" i="1"/>
  <c r="S75" i="1"/>
  <c r="T75" i="1"/>
  <c r="V75" i="1" s="1"/>
  <c r="U75" i="1"/>
  <c r="W75" i="1" s="1"/>
  <c r="P77" i="1"/>
  <c r="Q77" i="1"/>
  <c r="R77" i="1"/>
  <c r="S77" i="1"/>
  <c r="T77" i="1"/>
  <c r="V77" i="1" s="1"/>
  <c r="U77" i="1"/>
  <c r="W77" i="1" s="1"/>
  <c r="P78" i="1"/>
  <c r="Q78" i="1"/>
  <c r="R78" i="1"/>
  <c r="S78" i="1"/>
  <c r="T78" i="1"/>
  <c r="V78" i="1" s="1"/>
  <c r="U78" i="1"/>
  <c r="W78" i="1" s="1"/>
  <c r="P79" i="1"/>
  <c r="Q79" i="1"/>
  <c r="R79" i="1"/>
  <c r="S79" i="1"/>
  <c r="T79" i="1"/>
  <c r="V79" i="1" s="1"/>
  <c r="U79" i="1"/>
  <c r="W79" i="1" s="1"/>
  <c r="P80" i="1"/>
  <c r="Q80" i="1"/>
  <c r="R80" i="1"/>
  <c r="S80" i="1"/>
  <c r="T80" i="1"/>
  <c r="V80" i="1" s="1"/>
  <c r="U80" i="1"/>
  <c r="W80" i="1" s="1"/>
  <c r="P81" i="1"/>
  <c r="Q81" i="1"/>
  <c r="R81" i="1"/>
  <c r="S81" i="1"/>
  <c r="T81" i="1"/>
  <c r="V81" i="1" s="1"/>
  <c r="U81" i="1"/>
  <c r="W81" i="1" s="1"/>
  <c r="P82" i="1"/>
  <c r="Q82" i="1"/>
  <c r="R82" i="1"/>
  <c r="S82" i="1"/>
  <c r="T82" i="1"/>
  <c r="V82" i="1" s="1"/>
  <c r="U82" i="1"/>
  <c r="W82" i="1" s="1"/>
  <c r="P83" i="1"/>
  <c r="Q83" i="1"/>
  <c r="R83" i="1"/>
  <c r="S83" i="1"/>
  <c r="T83" i="1"/>
  <c r="V83" i="1" s="1"/>
  <c r="U83" i="1"/>
  <c r="W83" i="1" s="1"/>
  <c r="P84" i="1"/>
  <c r="Q84" i="1"/>
  <c r="R84" i="1"/>
  <c r="S84" i="1"/>
  <c r="T84" i="1"/>
  <c r="V84" i="1" s="1"/>
  <c r="U84" i="1"/>
  <c r="W84" i="1" s="1"/>
  <c r="P85" i="1"/>
  <c r="Q85" i="1"/>
  <c r="R85" i="1"/>
  <c r="S85" i="1"/>
  <c r="T85" i="1"/>
  <c r="V85" i="1" s="1"/>
  <c r="U85" i="1"/>
  <c r="W85" i="1" s="1"/>
  <c r="P86" i="1"/>
  <c r="Q86" i="1"/>
  <c r="R86" i="1"/>
  <c r="S86" i="1"/>
  <c r="T86" i="1"/>
  <c r="V86" i="1" s="1"/>
  <c r="U86" i="1"/>
  <c r="W86" i="1" s="1"/>
  <c r="P87" i="1"/>
  <c r="Q87" i="1"/>
  <c r="R87" i="1"/>
  <c r="S87" i="1"/>
  <c r="T87" i="1"/>
  <c r="V87" i="1" s="1"/>
  <c r="U87" i="1"/>
  <c r="W87" i="1" s="1"/>
  <c r="P88" i="1"/>
  <c r="Q88" i="1"/>
  <c r="R88" i="1"/>
  <c r="S88" i="1"/>
  <c r="T88" i="1"/>
  <c r="V88" i="1" s="1"/>
  <c r="U88" i="1"/>
  <c r="W88" i="1" s="1"/>
  <c r="P89" i="1"/>
  <c r="Q89" i="1"/>
  <c r="R89" i="1"/>
  <c r="S89" i="1"/>
  <c r="T89" i="1"/>
  <c r="V89" i="1" s="1"/>
  <c r="U89" i="1"/>
  <c r="W89" i="1" s="1"/>
  <c r="P90" i="1"/>
  <c r="Q90" i="1"/>
  <c r="R90" i="1"/>
  <c r="S90" i="1"/>
  <c r="T90" i="1"/>
  <c r="V90" i="1" s="1"/>
  <c r="U90" i="1"/>
  <c r="W90" i="1" s="1"/>
  <c r="P91" i="1"/>
  <c r="Q91" i="1"/>
  <c r="R91" i="1"/>
  <c r="S91" i="1"/>
  <c r="T91" i="1"/>
  <c r="V91" i="1" s="1"/>
  <c r="U91" i="1"/>
  <c r="W91" i="1"/>
  <c r="P92" i="1"/>
  <c r="Q92" i="1"/>
  <c r="R92" i="1"/>
  <c r="S92" i="1"/>
  <c r="T92" i="1"/>
  <c r="V92" i="1" s="1"/>
  <c r="U92" i="1"/>
  <c r="W92" i="1"/>
  <c r="P93" i="1"/>
  <c r="Q93" i="1"/>
  <c r="R93" i="1"/>
  <c r="S93" i="1"/>
  <c r="T93" i="1"/>
  <c r="V93" i="1" s="1"/>
  <c r="U93" i="1"/>
  <c r="W93" i="1" s="1"/>
  <c r="P94" i="1"/>
  <c r="Q94" i="1"/>
  <c r="R94" i="1"/>
  <c r="S94" i="1"/>
  <c r="T94" i="1"/>
  <c r="V94" i="1" s="1"/>
  <c r="U94" i="1"/>
  <c r="W94" i="1" s="1"/>
  <c r="P95" i="1"/>
  <c r="Q95" i="1"/>
  <c r="R95" i="1"/>
  <c r="S95" i="1"/>
  <c r="T95" i="1"/>
  <c r="V95" i="1" s="1"/>
  <c r="U95" i="1"/>
  <c r="W95" i="1" s="1"/>
  <c r="P96" i="1"/>
  <c r="Q96" i="1"/>
  <c r="R96" i="1"/>
  <c r="S96" i="1"/>
  <c r="T96" i="1"/>
  <c r="V96" i="1" s="1"/>
  <c r="U96" i="1"/>
  <c r="W96" i="1" s="1"/>
  <c r="P97" i="1"/>
  <c r="Q97" i="1"/>
  <c r="R97" i="1"/>
  <c r="S97" i="1"/>
  <c r="T97" i="1"/>
  <c r="V97" i="1" s="1"/>
  <c r="U97" i="1"/>
  <c r="W97" i="1" s="1"/>
  <c r="P98" i="1"/>
  <c r="Q98" i="1"/>
  <c r="R98" i="1"/>
  <c r="S98" i="1"/>
  <c r="T98" i="1"/>
  <c r="V98" i="1" s="1"/>
  <c r="U98" i="1"/>
  <c r="W98" i="1" s="1"/>
  <c r="P99" i="1"/>
  <c r="Q99" i="1"/>
  <c r="R99" i="1"/>
  <c r="S99" i="1"/>
  <c r="T99" i="1"/>
  <c r="V99" i="1" s="1"/>
  <c r="U99" i="1"/>
  <c r="W99" i="1" s="1"/>
  <c r="P100" i="1"/>
  <c r="Q100" i="1"/>
  <c r="R100" i="1"/>
  <c r="S100" i="1"/>
  <c r="T100" i="1"/>
  <c r="V100" i="1" s="1"/>
  <c r="U100" i="1"/>
  <c r="W100" i="1" s="1"/>
  <c r="P101" i="1"/>
  <c r="Q101" i="1"/>
  <c r="R101" i="1"/>
  <c r="S101" i="1"/>
  <c r="T101" i="1"/>
  <c r="V101" i="1" s="1"/>
  <c r="U101" i="1"/>
  <c r="W101" i="1" s="1"/>
  <c r="P109" i="1" l="1"/>
  <c r="Q109" i="1"/>
  <c r="R109" i="1"/>
  <c r="S109" i="1"/>
  <c r="T109" i="1"/>
  <c r="V109" i="1" s="1"/>
  <c r="U109" i="1"/>
  <c r="W109" i="1"/>
  <c r="P116" i="1"/>
  <c r="Q116" i="1"/>
  <c r="R116" i="1"/>
  <c r="S116" i="1"/>
  <c r="T116" i="1"/>
  <c r="V116" i="1" s="1"/>
  <c r="U116" i="1"/>
  <c r="W116" i="1" s="1"/>
  <c r="P117" i="1"/>
  <c r="Q117" i="1"/>
  <c r="R117" i="1"/>
  <c r="S117" i="1"/>
  <c r="T117" i="1"/>
  <c r="V117" i="1" s="1"/>
  <c r="U117" i="1"/>
  <c r="W117" i="1" s="1"/>
  <c r="P397" i="1"/>
  <c r="Q397" i="1"/>
  <c r="R397" i="1"/>
  <c r="S397" i="1"/>
  <c r="T397" i="1"/>
  <c r="V397" i="1" s="1"/>
  <c r="U397" i="1"/>
  <c r="W397" i="1" s="1"/>
  <c r="P398" i="1"/>
  <c r="Q398" i="1"/>
  <c r="R398" i="1"/>
  <c r="S398" i="1"/>
  <c r="T398" i="1"/>
  <c r="V398" i="1" s="1"/>
  <c r="U398" i="1"/>
  <c r="W398" i="1" s="1"/>
  <c r="P399" i="1"/>
  <c r="Q399" i="1"/>
  <c r="R399" i="1"/>
  <c r="S399" i="1"/>
  <c r="T399" i="1"/>
  <c r="V399" i="1" s="1"/>
  <c r="U399" i="1"/>
  <c r="W399" i="1" s="1"/>
  <c r="P400" i="1"/>
  <c r="Q400" i="1"/>
  <c r="R400" i="1"/>
  <c r="S400" i="1"/>
  <c r="T400" i="1"/>
  <c r="V400" i="1" s="1"/>
  <c r="U400" i="1"/>
  <c r="W400" i="1" s="1"/>
  <c r="P401" i="1"/>
  <c r="Q401" i="1"/>
  <c r="R401" i="1"/>
  <c r="S401" i="1"/>
  <c r="T401" i="1"/>
  <c r="V401" i="1" s="1"/>
  <c r="U401" i="1"/>
  <c r="W401" i="1" s="1"/>
  <c r="P402" i="1"/>
  <c r="Q402" i="1"/>
  <c r="R402" i="1"/>
  <c r="S402" i="1"/>
  <c r="T402" i="1"/>
  <c r="V402" i="1" s="1"/>
  <c r="U402" i="1"/>
  <c r="W402" i="1" s="1"/>
  <c r="P403" i="1"/>
  <c r="Q403" i="1"/>
  <c r="R403" i="1"/>
  <c r="S403" i="1"/>
  <c r="T403" i="1"/>
  <c r="V403" i="1" s="1"/>
  <c r="U403" i="1"/>
  <c r="W403" i="1" s="1"/>
  <c r="P404" i="1"/>
  <c r="Q404" i="1"/>
  <c r="R404" i="1"/>
  <c r="S404" i="1"/>
  <c r="T404" i="1"/>
  <c r="V404" i="1" s="1"/>
  <c r="U404" i="1"/>
  <c r="W404" i="1" s="1"/>
  <c r="P405" i="1"/>
  <c r="Q405" i="1"/>
  <c r="R405" i="1"/>
  <c r="S405" i="1"/>
  <c r="T405" i="1"/>
  <c r="V405" i="1" s="1"/>
  <c r="U405" i="1"/>
  <c r="W405" i="1" s="1"/>
  <c r="P406" i="1"/>
  <c r="Q406" i="1"/>
  <c r="R406" i="1"/>
  <c r="S406" i="1"/>
  <c r="T406" i="1"/>
  <c r="V406" i="1" s="1"/>
  <c r="U406" i="1"/>
  <c r="W406" i="1" s="1"/>
  <c r="P407" i="1"/>
  <c r="Q407" i="1"/>
  <c r="R407" i="1"/>
  <c r="S407" i="1"/>
  <c r="T407" i="1"/>
  <c r="V407" i="1" s="1"/>
  <c r="U407" i="1"/>
  <c r="W407" i="1" s="1"/>
  <c r="P408" i="1"/>
  <c r="Q408" i="1"/>
  <c r="R408" i="1"/>
  <c r="S408" i="1"/>
  <c r="T408" i="1"/>
  <c r="V408" i="1" s="1"/>
  <c r="U408" i="1"/>
  <c r="W408" i="1" s="1"/>
  <c r="P409" i="1"/>
  <c r="Q409" i="1"/>
  <c r="R409" i="1"/>
  <c r="S409" i="1"/>
  <c r="T409" i="1"/>
  <c r="V409" i="1" s="1"/>
  <c r="U409" i="1"/>
  <c r="W409" i="1" s="1"/>
  <c r="P410" i="1"/>
  <c r="Q410" i="1"/>
  <c r="R410" i="1"/>
  <c r="S410" i="1"/>
  <c r="T410" i="1"/>
  <c r="V410" i="1" s="1"/>
  <c r="U410" i="1"/>
  <c r="W410" i="1" s="1"/>
  <c r="P411" i="1"/>
  <c r="Q411" i="1"/>
  <c r="R411" i="1"/>
  <c r="S411" i="1"/>
  <c r="T411" i="1"/>
  <c r="V411" i="1" s="1"/>
  <c r="U411" i="1"/>
  <c r="W411" i="1" s="1"/>
  <c r="P412" i="1"/>
  <c r="Q412" i="1"/>
  <c r="R412" i="1"/>
  <c r="S412" i="1"/>
  <c r="T412" i="1"/>
  <c r="V412" i="1" s="1"/>
  <c r="U412" i="1"/>
  <c r="W412" i="1" s="1"/>
  <c r="P413" i="1"/>
  <c r="Q413" i="1"/>
  <c r="R413" i="1"/>
  <c r="S413" i="1"/>
  <c r="T413" i="1"/>
  <c r="V413" i="1" s="1"/>
  <c r="U413" i="1"/>
  <c r="W413" i="1" s="1"/>
  <c r="P414" i="1"/>
  <c r="Q414" i="1"/>
  <c r="R414" i="1"/>
  <c r="S414" i="1"/>
  <c r="T414" i="1"/>
  <c r="V414" i="1" s="1"/>
  <c r="U414" i="1"/>
  <c r="W414" i="1" s="1"/>
  <c r="P415" i="1"/>
  <c r="Q415" i="1"/>
  <c r="R415" i="1"/>
  <c r="S415" i="1"/>
  <c r="T415" i="1"/>
  <c r="V415" i="1" s="1"/>
  <c r="U415" i="1"/>
  <c r="W415" i="1" s="1"/>
  <c r="P416" i="1"/>
  <c r="Q416" i="1"/>
  <c r="R416" i="1"/>
  <c r="S416" i="1"/>
  <c r="T416" i="1"/>
  <c r="V416" i="1" s="1"/>
  <c r="U416" i="1"/>
  <c r="W416" i="1" s="1"/>
  <c r="P417" i="1"/>
  <c r="Q417" i="1"/>
  <c r="R417" i="1"/>
  <c r="S417" i="1"/>
  <c r="T417" i="1"/>
  <c r="V417" i="1" s="1"/>
  <c r="U417" i="1"/>
  <c r="W417" i="1" s="1"/>
  <c r="P418" i="1"/>
  <c r="Q418" i="1"/>
  <c r="R418" i="1"/>
  <c r="S418" i="1"/>
  <c r="T418" i="1"/>
  <c r="V418" i="1" s="1"/>
  <c r="U418" i="1"/>
  <c r="W418" i="1" s="1"/>
  <c r="P419" i="1"/>
  <c r="Q419" i="1"/>
  <c r="R419" i="1"/>
  <c r="S419" i="1"/>
  <c r="T419" i="1"/>
  <c r="V419" i="1" s="1"/>
  <c r="U419" i="1"/>
  <c r="W419" i="1" s="1"/>
  <c r="P420" i="1"/>
  <c r="Q420" i="1"/>
  <c r="R420" i="1"/>
  <c r="S420" i="1"/>
  <c r="T420" i="1"/>
  <c r="V420" i="1" s="1"/>
  <c r="U420" i="1"/>
  <c r="W420" i="1" s="1"/>
  <c r="P421" i="1"/>
  <c r="Q421" i="1"/>
  <c r="R421" i="1"/>
  <c r="S421" i="1"/>
  <c r="T421" i="1"/>
  <c r="V421" i="1" s="1"/>
  <c r="U421" i="1"/>
  <c r="W421" i="1" s="1"/>
  <c r="P422" i="1"/>
  <c r="Q422" i="1"/>
  <c r="R422" i="1"/>
  <c r="S422" i="1"/>
  <c r="T422" i="1"/>
  <c r="V422" i="1" s="1"/>
  <c r="U422" i="1"/>
  <c r="W422" i="1" s="1"/>
  <c r="P423" i="1"/>
  <c r="Q423" i="1"/>
  <c r="R423" i="1"/>
  <c r="S423" i="1"/>
  <c r="T423" i="1"/>
  <c r="V423" i="1" s="1"/>
  <c r="U423" i="1"/>
  <c r="W423" i="1" s="1"/>
  <c r="P424" i="1"/>
  <c r="Q424" i="1"/>
  <c r="R424" i="1"/>
  <c r="S424" i="1"/>
  <c r="T424" i="1"/>
  <c r="V424" i="1" s="1"/>
  <c r="U424" i="1"/>
  <c r="W424" i="1" s="1"/>
  <c r="P425" i="1"/>
  <c r="Q425" i="1"/>
  <c r="R425" i="1"/>
  <c r="S425" i="1"/>
  <c r="T425" i="1"/>
  <c r="V425" i="1" s="1"/>
  <c r="U425" i="1"/>
  <c r="W425" i="1" s="1"/>
  <c r="P426" i="1"/>
  <c r="Q426" i="1"/>
  <c r="R426" i="1"/>
  <c r="S426" i="1"/>
  <c r="T426" i="1"/>
  <c r="V426" i="1" s="1"/>
  <c r="U426" i="1"/>
  <c r="W426" i="1" s="1"/>
  <c r="P427" i="1"/>
  <c r="Q427" i="1"/>
  <c r="R427" i="1"/>
  <c r="S427" i="1"/>
  <c r="T427" i="1"/>
  <c r="V427" i="1" s="1"/>
  <c r="U427" i="1"/>
  <c r="W427" i="1" s="1"/>
  <c r="P428" i="1"/>
  <c r="Q428" i="1"/>
  <c r="R428" i="1"/>
  <c r="S428" i="1"/>
  <c r="T428" i="1"/>
  <c r="V428" i="1" s="1"/>
  <c r="U428" i="1"/>
  <c r="W428" i="1" s="1"/>
  <c r="P429" i="1"/>
  <c r="Q429" i="1"/>
  <c r="R429" i="1"/>
  <c r="S429" i="1"/>
  <c r="T429" i="1"/>
  <c r="V429" i="1" s="1"/>
  <c r="U429" i="1"/>
  <c r="W429" i="1" s="1"/>
  <c r="P430" i="1"/>
  <c r="Q430" i="1"/>
  <c r="R430" i="1"/>
  <c r="S430" i="1"/>
  <c r="T430" i="1"/>
  <c r="V430" i="1" s="1"/>
  <c r="U430" i="1"/>
  <c r="W430" i="1" s="1"/>
  <c r="P431" i="1"/>
  <c r="Q431" i="1"/>
  <c r="R431" i="1"/>
  <c r="S431" i="1"/>
  <c r="T431" i="1"/>
  <c r="V431" i="1" s="1"/>
  <c r="U431" i="1"/>
  <c r="W431" i="1" s="1"/>
  <c r="P432" i="1"/>
  <c r="Q432" i="1"/>
  <c r="R432" i="1"/>
  <c r="S432" i="1"/>
  <c r="T432" i="1"/>
  <c r="V432" i="1" s="1"/>
  <c r="U432" i="1"/>
  <c r="W432" i="1" s="1"/>
  <c r="P433" i="1"/>
  <c r="Q433" i="1"/>
  <c r="R433" i="1"/>
  <c r="S433" i="1"/>
  <c r="T433" i="1"/>
  <c r="V433" i="1" s="1"/>
  <c r="U433" i="1"/>
  <c r="W433" i="1" s="1"/>
  <c r="P434" i="1"/>
  <c r="Q434" i="1"/>
  <c r="R434" i="1"/>
  <c r="S434" i="1"/>
  <c r="T434" i="1"/>
  <c r="V434" i="1" s="1"/>
  <c r="U434" i="1"/>
  <c r="W434" i="1" s="1"/>
  <c r="P435" i="1"/>
  <c r="Q435" i="1"/>
  <c r="R435" i="1"/>
  <c r="S435" i="1"/>
  <c r="T435" i="1"/>
  <c r="V435" i="1" s="1"/>
  <c r="U435" i="1"/>
  <c r="W435" i="1" s="1"/>
  <c r="P436" i="1"/>
  <c r="Q436" i="1"/>
  <c r="R436" i="1"/>
  <c r="S436" i="1"/>
  <c r="T436" i="1"/>
  <c r="V436" i="1" s="1"/>
  <c r="U436" i="1"/>
  <c r="W436" i="1" s="1"/>
  <c r="P437" i="1"/>
  <c r="Q437" i="1"/>
  <c r="R437" i="1"/>
  <c r="S437" i="1"/>
  <c r="T437" i="1"/>
  <c r="V437" i="1" s="1"/>
  <c r="U437" i="1"/>
  <c r="W437" i="1" s="1"/>
  <c r="P438" i="1"/>
  <c r="Q438" i="1"/>
  <c r="R438" i="1"/>
  <c r="S438" i="1"/>
  <c r="T438" i="1"/>
  <c r="V438" i="1" s="1"/>
  <c r="U438" i="1"/>
  <c r="W438" i="1" s="1"/>
  <c r="P439" i="1"/>
  <c r="Q439" i="1"/>
  <c r="R439" i="1"/>
  <c r="S439" i="1"/>
  <c r="T439" i="1"/>
  <c r="V439" i="1" s="1"/>
  <c r="U439" i="1"/>
  <c r="W439" i="1" s="1"/>
  <c r="P440" i="1"/>
  <c r="Q440" i="1"/>
  <c r="R440" i="1"/>
  <c r="S440" i="1"/>
  <c r="T440" i="1"/>
  <c r="V440" i="1" s="1"/>
  <c r="U440" i="1"/>
  <c r="W440" i="1" s="1"/>
  <c r="P441" i="1"/>
  <c r="Q441" i="1"/>
  <c r="R441" i="1"/>
  <c r="S441" i="1"/>
  <c r="T441" i="1"/>
  <c r="V441" i="1" s="1"/>
  <c r="U441" i="1"/>
  <c r="W441" i="1" s="1"/>
  <c r="P442" i="1"/>
  <c r="Q442" i="1"/>
  <c r="R442" i="1"/>
  <c r="S442" i="1"/>
  <c r="T442" i="1"/>
  <c r="V442" i="1" s="1"/>
  <c r="U442" i="1"/>
  <c r="W442" i="1" s="1"/>
  <c r="P443" i="1"/>
  <c r="Q443" i="1"/>
  <c r="R443" i="1"/>
  <c r="S443" i="1"/>
  <c r="T443" i="1"/>
  <c r="V443" i="1" s="1"/>
  <c r="U443" i="1"/>
  <c r="W443" i="1" s="1"/>
  <c r="P444" i="1"/>
  <c r="Q444" i="1"/>
  <c r="R444" i="1"/>
  <c r="S444" i="1"/>
  <c r="T444" i="1"/>
  <c r="V444" i="1" s="1"/>
  <c r="U444" i="1"/>
  <c r="W444" i="1" s="1"/>
  <c r="P445" i="1"/>
  <c r="Q445" i="1"/>
  <c r="R445" i="1"/>
  <c r="S445" i="1"/>
  <c r="T445" i="1"/>
  <c r="V445" i="1" s="1"/>
  <c r="U445" i="1"/>
  <c r="W445" i="1" s="1"/>
  <c r="P446" i="1"/>
  <c r="Q446" i="1"/>
  <c r="R446" i="1"/>
  <c r="S446" i="1"/>
  <c r="T446" i="1"/>
  <c r="V446" i="1" s="1"/>
  <c r="U446" i="1"/>
  <c r="W446" i="1" s="1"/>
  <c r="P447" i="1"/>
  <c r="Q447" i="1"/>
  <c r="R447" i="1"/>
  <c r="S447" i="1"/>
  <c r="T447" i="1"/>
  <c r="V447" i="1" s="1"/>
  <c r="U447" i="1"/>
  <c r="W447" i="1" s="1"/>
  <c r="P448" i="1"/>
  <c r="Q448" i="1"/>
  <c r="R448" i="1"/>
  <c r="S448" i="1"/>
  <c r="T448" i="1"/>
  <c r="V448" i="1" s="1"/>
  <c r="U448" i="1"/>
  <c r="W448" i="1" s="1"/>
  <c r="P449" i="1"/>
  <c r="Q449" i="1"/>
  <c r="R449" i="1"/>
  <c r="S449" i="1"/>
  <c r="T449" i="1"/>
  <c r="V449" i="1" s="1"/>
  <c r="U449" i="1"/>
  <c r="W449" i="1" s="1"/>
  <c r="P450" i="1"/>
  <c r="Q450" i="1"/>
  <c r="R450" i="1"/>
  <c r="S450" i="1"/>
  <c r="T450" i="1"/>
  <c r="V450" i="1" s="1"/>
  <c r="U450" i="1"/>
  <c r="W450" i="1" s="1"/>
  <c r="P451" i="1"/>
  <c r="Q451" i="1"/>
  <c r="R451" i="1"/>
  <c r="S451" i="1"/>
  <c r="T451" i="1"/>
  <c r="V451" i="1" s="1"/>
  <c r="U451" i="1"/>
  <c r="W451" i="1" s="1"/>
  <c r="P452" i="1"/>
  <c r="Q452" i="1"/>
  <c r="R452" i="1"/>
  <c r="S452" i="1"/>
  <c r="T452" i="1"/>
  <c r="V452" i="1" s="1"/>
  <c r="U452" i="1"/>
  <c r="W452" i="1" s="1"/>
  <c r="P453" i="1"/>
  <c r="Q453" i="1"/>
  <c r="R453" i="1"/>
  <c r="S453" i="1"/>
  <c r="T453" i="1"/>
  <c r="V453" i="1" s="1"/>
  <c r="U453" i="1"/>
  <c r="W453" i="1" s="1"/>
  <c r="P454" i="1"/>
  <c r="Q454" i="1"/>
  <c r="R454" i="1"/>
  <c r="S454" i="1"/>
  <c r="T454" i="1"/>
  <c r="V454" i="1" s="1"/>
  <c r="U454" i="1"/>
  <c r="W454" i="1" s="1"/>
  <c r="P455" i="1"/>
  <c r="Q455" i="1"/>
  <c r="R455" i="1"/>
  <c r="S455" i="1"/>
  <c r="T455" i="1"/>
  <c r="V455" i="1" s="1"/>
  <c r="U455" i="1"/>
  <c r="W455" i="1" s="1"/>
  <c r="P456" i="1"/>
  <c r="Q456" i="1"/>
  <c r="R456" i="1"/>
  <c r="S456" i="1"/>
  <c r="T456" i="1"/>
  <c r="V456" i="1" s="1"/>
  <c r="U456" i="1"/>
  <c r="W456" i="1" s="1"/>
  <c r="P457" i="1"/>
  <c r="Q457" i="1"/>
  <c r="R457" i="1"/>
  <c r="S457" i="1"/>
  <c r="T457" i="1"/>
  <c r="V457" i="1" s="1"/>
  <c r="U457" i="1"/>
  <c r="W457" i="1" s="1"/>
  <c r="P458" i="1"/>
  <c r="Q458" i="1"/>
  <c r="R458" i="1"/>
  <c r="S458" i="1"/>
  <c r="T458" i="1"/>
  <c r="V458" i="1" s="1"/>
  <c r="U458" i="1"/>
  <c r="W458" i="1" s="1"/>
  <c r="P459" i="1"/>
  <c r="Q459" i="1"/>
  <c r="R459" i="1"/>
  <c r="S459" i="1"/>
  <c r="T459" i="1"/>
  <c r="V459" i="1" s="1"/>
  <c r="U459" i="1"/>
  <c r="W459" i="1" s="1"/>
  <c r="P460" i="1"/>
  <c r="Q460" i="1"/>
  <c r="R460" i="1"/>
  <c r="S460" i="1"/>
  <c r="T460" i="1"/>
  <c r="V460" i="1" s="1"/>
  <c r="U460" i="1"/>
  <c r="W460" i="1" s="1"/>
  <c r="P461" i="1"/>
  <c r="Q461" i="1"/>
  <c r="R461" i="1"/>
  <c r="S461" i="1"/>
  <c r="T461" i="1"/>
  <c r="V461" i="1" s="1"/>
  <c r="U461" i="1"/>
  <c r="W461" i="1" s="1"/>
  <c r="P462" i="1"/>
  <c r="Q462" i="1"/>
  <c r="R462" i="1"/>
  <c r="S462" i="1"/>
  <c r="T462" i="1"/>
  <c r="V462" i="1" s="1"/>
  <c r="U462" i="1"/>
  <c r="W462" i="1" s="1"/>
  <c r="P463" i="1"/>
  <c r="Q463" i="1"/>
  <c r="R463" i="1"/>
  <c r="S463" i="1"/>
  <c r="T463" i="1"/>
  <c r="V463" i="1" s="1"/>
  <c r="U463" i="1"/>
  <c r="W463" i="1" s="1"/>
  <c r="P464" i="1"/>
  <c r="Q464" i="1"/>
  <c r="R464" i="1"/>
  <c r="S464" i="1"/>
  <c r="T464" i="1"/>
  <c r="V464" i="1" s="1"/>
  <c r="U464" i="1"/>
  <c r="W464" i="1" s="1"/>
  <c r="P465" i="1"/>
  <c r="Q465" i="1"/>
  <c r="R465" i="1"/>
  <c r="S465" i="1"/>
  <c r="T465" i="1"/>
  <c r="V465" i="1" s="1"/>
  <c r="U465" i="1"/>
  <c r="W465" i="1" s="1"/>
  <c r="P466" i="1"/>
  <c r="Q466" i="1"/>
  <c r="R466" i="1"/>
  <c r="S466" i="1"/>
  <c r="T466" i="1"/>
  <c r="V466" i="1" s="1"/>
  <c r="U466" i="1"/>
  <c r="W466" i="1" s="1"/>
  <c r="P467" i="1"/>
  <c r="Q467" i="1"/>
  <c r="R467" i="1"/>
  <c r="S467" i="1"/>
  <c r="T467" i="1"/>
  <c r="V467" i="1" s="1"/>
  <c r="U467" i="1"/>
  <c r="W467" i="1" s="1"/>
  <c r="P468" i="1"/>
  <c r="Q468" i="1"/>
  <c r="R468" i="1"/>
  <c r="S468" i="1"/>
  <c r="T468" i="1"/>
  <c r="V468" i="1" s="1"/>
  <c r="U468" i="1"/>
  <c r="W468" i="1" s="1"/>
  <c r="P469" i="1"/>
  <c r="Q469" i="1"/>
  <c r="R469" i="1"/>
  <c r="S469" i="1"/>
  <c r="T469" i="1"/>
  <c r="V469" i="1" s="1"/>
  <c r="U469" i="1"/>
  <c r="W469" i="1" s="1"/>
  <c r="P470" i="1"/>
  <c r="Q470" i="1"/>
  <c r="R470" i="1"/>
  <c r="S470" i="1"/>
  <c r="T470" i="1"/>
  <c r="V470" i="1" s="1"/>
  <c r="U470" i="1"/>
  <c r="W470" i="1" s="1"/>
  <c r="P471" i="1"/>
  <c r="Q471" i="1"/>
  <c r="R471" i="1"/>
  <c r="S471" i="1"/>
  <c r="T471" i="1"/>
  <c r="V471" i="1" s="1"/>
  <c r="U471" i="1"/>
  <c r="W471" i="1" s="1"/>
  <c r="P472" i="1"/>
  <c r="Q472" i="1"/>
  <c r="R472" i="1"/>
  <c r="S472" i="1"/>
  <c r="T472" i="1"/>
  <c r="V472" i="1" s="1"/>
  <c r="U472" i="1"/>
  <c r="W472" i="1" s="1"/>
  <c r="P473" i="1"/>
  <c r="Q473" i="1"/>
  <c r="R473" i="1"/>
  <c r="S473" i="1"/>
  <c r="T473" i="1"/>
  <c r="V473" i="1" s="1"/>
  <c r="U473" i="1"/>
  <c r="W473" i="1" s="1"/>
  <c r="P474" i="1"/>
  <c r="Q474" i="1"/>
  <c r="R474" i="1"/>
  <c r="S474" i="1"/>
  <c r="T474" i="1"/>
  <c r="V474" i="1" s="1"/>
  <c r="U474" i="1"/>
  <c r="W474" i="1" s="1"/>
  <c r="P475" i="1"/>
  <c r="Q475" i="1"/>
  <c r="R475" i="1"/>
  <c r="S475" i="1"/>
  <c r="T475" i="1"/>
  <c r="V475" i="1" s="1"/>
  <c r="U475" i="1"/>
  <c r="W475" i="1" s="1"/>
  <c r="P476" i="1"/>
  <c r="Q476" i="1"/>
  <c r="R476" i="1"/>
  <c r="S476" i="1"/>
  <c r="T476" i="1"/>
  <c r="V476" i="1" s="1"/>
  <c r="U476" i="1"/>
  <c r="W476" i="1" s="1"/>
  <c r="P477" i="1"/>
  <c r="Q477" i="1"/>
  <c r="R477" i="1"/>
  <c r="S477" i="1"/>
  <c r="T477" i="1"/>
  <c r="V477" i="1" s="1"/>
  <c r="U477" i="1"/>
  <c r="W477" i="1" s="1"/>
  <c r="P478" i="1"/>
  <c r="Q478" i="1"/>
  <c r="R478" i="1"/>
  <c r="S478" i="1"/>
  <c r="T478" i="1"/>
  <c r="V478" i="1" s="1"/>
  <c r="U478" i="1"/>
  <c r="W478" i="1" s="1"/>
  <c r="P479" i="1"/>
  <c r="Q479" i="1"/>
  <c r="R479" i="1"/>
  <c r="S479" i="1"/>
  <c r="T479" i="1"/>
  <c r="V479" i="1" s="1"/>
  <c r="U479" i="1"/>
  <c r="W479" i="1" s="1"/>
  <c r="P480" i="1"/>
  <c r="Q480" i="1"/>
  <c r="R480" i="1"/>
  <c r="S480" i="1"/>
  <c r="T480" i="1"/>
  <c r="V480" i="1" s="1"/>
  <c r="U480" i="1"/>
  <c r="W480" i="1" s="1"/>
  <c r="P481" i="1"/>
  <c r="Q481" i="1"/>
  <c r="R481" i="1"/>
  <c r="S481" i="1"/>
  <c r="T481" i="1"/>
  <c r="V481" i="1" s="1"/>
  <c r="U481" i="1"/>
  <c r="W481" i="1" s="1"/>
  <c r="P482" i="1"/>
  <c r="Q482" i="1"/>
  <c r="R482" i="1"/>
  <c r="S482" i="1"/>
  <c r="T482" i="1"/>
  <c r="V482" i="1" s="1"/>
  <c r="U482" i="1"/>
  <c r="W482" i="1" s="1"/>
  <c r="P483" i="1"/>
  <c r="Q483" i="1"/>
  <c r="R483" i="1"/>
  <c r="S483" i="1"/>
  <c r="T483" i="1"/>
  <c r="V483" i="1" s="1"/>
  <c r="U483" i="1"/>
  <c r="W483" i="1" s="1"/>
  <c r="P484" i="1"/>
  <c r="Q484" i="1"/>
  <c r="R484" i="1"/>
  <c r="S484" i="1"/>
  <c r="T484" i="1"/>
  <c r="V484" i="1" s="1"/>
  <c r="U484" i="1"/>
  <c r="W484" i="1" s="1"/>
  <c r="P485" i="1"/>
  <c r="Q485" i="1"/>
  <c r="R485" i="1"/>
  <c r="S485" i="1"/>
  <c r="T485" i="1"/>
  <c r="V485" i="1" s="1"/>
  <c r="U485" i="1"/>
  <c r="W485" i="1" s="1"/>
  <c r="P486" i="1"/>
  <c r="Q486" i="1"/>
  <c r="R486" i="1"/>
  <c r="S486" i="1"/>
  <c r="T486" i="1"/>
  <c r="V486" i="1" s="1"/>
  <c r="U486" i="1"/>
  <c r="W486" i="1" s="1"/>
  <c r="P487" i="1"/>
  <c r="Q487" i="1"/>
  <c r="R487" i="1"/>
  <c r="S487" i="1"/>
  <c r="T487" i="1"/>
  <c r="V487" i="1" s="1"/>
  <c r="U487" i="1"/>
  <c r="W487" i="1" s="1"/>
  <c r="P488" i="1"/>
  <c r="Q488" i="1"/>
  <c r="R488" i="1"/>
  <c r="S488" i="1"/>
  <c r="T488" i="1"/>
  <c r="V488" i="1" s="1"/>
  <c r="U488" i="1"/>
  <c r="W488" i="1" s="1"/>
  <c r="P489" i="1"/>
  <c r="Q489" i="1"/>
  <c r="R489" i="1"/>
  <c r="S489" i="1"/>
  <c r="T489" i="1"/>
  <c r="V489" i="1" s="1"/>
  <c r="U489" i="1"/>
  <c r="W489" i="1" s="1"/>
  <c r="P490" i="1"/>
  <c r="Q490" i="1"/>
  <c r="R490" i="1"/>
  <c r="S490" i="1"/>
  <c r="T490" i="1"/>
  <c r="V490" i="1" s="1"/>
  <c r="U490" i="1"/>
  <c r="W490" i="1" s="1"/>
  <c r="P491" i="1"/>
  <c r="Q491" i="1"/>
  <c r="R491" i="1"/>
  <c r="S491" i="1"/>
  <c r="T491" i="1"/>
  <c r="V491" i="1" s="1"/>
  <c r="U491" i="1"/>
  <c r="W491" i="1" s="1"/>
  <c r="P492" i="1"/>
  <c r="Q492" i="1"/>
  <c r="R492" i="1"/>
  <c r="S492" i="1"/>
  <c r="T492" i="1"/>
  <c r="V492" i="1" s="1"/>
  <c r="U492" i="1"/>
  <c r="W492" i="1" s="1"/>
  <c r="P493" i="1"/>
  <c r="Q493" i="1"/>
  <c r="R493" i="1"/>
  <c r="S493" i="1"/>
  <c r="T493" i="1"/>
  <c r="V493" i="1" s="1"/>
  <c r="U493" i="1"/>
  <c r="W493" i="1" s="1"/>
  <c r="P494" i="1"/>
  <c r="Q494" i="1"/>
  <c r="R494" i="1"/>
  <c r="S494" i="1"/>
  <c r="T494" i="1"/>
  <c r="V494" i="1" s="1"/>
  <c r="U494" i="1"/>
  <c r="W494" i="1" s="1"/>
  <c r="P495" i="1"/>
  <c r="Q495" i="1"/>
  <c r="R495" i="1"/>
  <c r="S495" i="1"/>
  <c r="T495" i="1"/>
  <c r="V495" i="1" s="1"/>
  <c r="U495" i="1"/>
  <c r="W495" i="1" s="1"/>
  <c r="P496" i="1"/>
  <c r="Q496" i="1"/>
  <c r="R496" i="1"/>
  <c r="S496" i="1"/>
  <c r="T496" i="1"/>
  <c r="V496" i="1" s="1"/>
  <c r="U496" i="1"/>
  <c r="W496" i="1" s="1"/>
  <c r="P497" i="1"/>
  <c r="Q497" i="1"/>
  <c r="R497" i="1"/>
  <c r="S497" i="1"/>
  <c r="T497" i="1"/>
  <c r="V497" i="1" s="1"/>
  <c r="U497" i="1"/>
  <c r="W497" i="1" s="1"/>
  <c r="P498" i="1"/>
  <c r="Q498" i="1"/>
  <c r="R498" i="1"/>
  <c r="S498" i="1"/>
  <c r="T498" i="1"/>
  <c r="V498" i="1" s="1"/>
  <c r="U498" i="1"/>
  <c r="W498" i="1" s="1"/>
  <c r="P499" i="1"/>
  <c r="Q499" i="1"/>
  <c r="R499" i="1"/>
  <c r="S499" i="1"/>
  <c r="T499" i="1"/>
  <c r="V499" i="1" s="1"/>
  <c r="U499" i="1"/>
  <c r="W499" i="1" s="1"/>
  <c r="P500" i="1"/>
  <c r="Q500" i="1"/>
  <c r="R500" i="1"/>
  <c r="S500" i="1"/>
  <c r="T500" i="1"/>
  <c r="V500" i="1" s="1"/>
  <c r="U500" i="1"/>
  <c r="W500" i="1" s="1"/>
  <c r="P501" i="1"/>
  <c r="Q501" i="1"/>
  <c r="R501" i="1"/>
  <c r="S501" i="1"/>
  <c r="T501" i="1"/>
  <c r="V501" i="1" s="1"/>
  <c r="U501" i="1"/>
  <c r="W501" i="1" s="1"/>
  <c r="P502" i="1"/>
  <c r="Q502" i="1"/>
  <c r="R502" i="1"/>
  <c r="S502" i="1"/>
  <c r="T502" i="1"/>
  <c r="V502" i="1" s="1"/>
  <c r="U502" i="1"/>
  <c r="W502" i="1" s="1"/>
  <c r="P503" i="1"/>
  <c r="Q503" i="1"/>
  <c r="R503" i="1"/>
  <c r="S503" i="1"/>
  <c r="T503" i="1"/>
  <c r="V503" i="1" s="1"/>
  <c r="U503" i="1"/>
  <c r="W503" i="1" s="1"/>
  <c r="P504" i="1"/>
  <c r="Q504" i="1"/>
  <c r="R504" i="1"/>
  <c r="S504" i="1"/>
  <c r="T504" i="1"/>
  <c r="V504" i="1" s="1"/>
  <c r="U504" i="1"/>
  <c r="W504" i="1" s="1"/>
  <c r="P505" i="1"/>
  <c r="Q505" i="1"/>
  <c r="R505" i="1"/>
  <c r="S505" i="1"/>
  <c r="T505" i="1"/>
  <c r="V505" i="1" s="1"/>
  <c r="U505" i="1"/>
  <c r="W505" i="1" s="1"/>
  <c r="P506" i="1"/>
  <c r="Q506" i="1"/>
  <c r="R506" i="1"/>
  <c r="S506" i="1"/>
  <c r="T506" i="1"/>
  <c r="V506" i="1" s="1"/>
  <c r="U506" i="1"/>
  <c r="W506" i="1" s="1"/>
  <c r="P507" i="1"/>
  <c r="Q507" i="1"/>
  <c r="R507" i="1"/>
  <c r="S507" i="1"/>
  <c r="T507" i="1"/>
  <c r="V507" i="1" s="1"/>
  <c r="U507" i="1"/>
  <c r="W507" i="1" s="1"/>
  <c r="P508" i="1"/>
  <c r="Q508" i="1"/>
  <c r="R508" i="1"/>
  <c r="S508" i="1"/>
  <c r="T508" i="1"/>
  <c r="V508" i="1" s="1"/>
  <c r="U508" i="1"/>
  <c r="W508" i="1" s="1"/>
  <c r="P509" i="1"/>
  <c r="Q509" i="1"/>
  <c r="R509" i="1"/>
  <c r="S509" i="1"/>
  <c r="T509" i="1"/>
  <c r="V509" i="1" s="1"/>
  <c r="U509" i="1"/>
  <c r="W509" i="1" s="1"/>
  <c r="P510" i="1"/>
  <c r="Q510" i="1"/>
  <c r="R510" i="1"/>
  <c r="S510" i="1"/>
  <c r="T510" i="1"/>
  <c r="V510" i="1" s="1"/>
  <c r="U510" i="1"/>
  <c r="W510" i="1" s="1"/>
  <c r="P511" i="1"/>
  <c r="Q511" i="1"/>
  <c r="R511" i="1"/>
  <c r="S511" i="1"/>
  <c r="T511" i="1"/>
  <c r="V511" i="1" s="1"/>
  <c r="U511" i="1"/>
  <c r="W511" i="1" s="1"/>
  <c r="P512" i="1"/>
  <c r="Q512" i="1"/>
  <c r="R512" i="1"/>
  <c r="S512" i="1"/>
  <c r="T512" i="1"/>
  <c r="V512" i="1" s="1"/>
  <c r="U512" i="1"/>
  <c r="W512" i="1" s="1"/>
  <c r="P513" i="1"/>
  <c r="Q513" i="1"/>
  <c r="R513" i="1"/>
  <c r="S513" i="1"/>
  <c r="T513" i="1"/>
  <c r="V513" i="1" s="1"/>
  <c r="U513" i="1"/>
  <c r="W513" i="1" s="1"/>
  <c r="P514" i="1"/>
  <c r="Q514" i="1"/>
  <c r="R514" i="1"/>
  <c r="S514" i="1"/>
  <c r="T514" i="1"/>
  <c r="V514" i="1" s="1"/>
  <c r="U514" i="1"/>
  <c r="W514" i="1" s="1"/>
  <c r="P515" i="1"/>
  <c r="Q515" i="1"/>
  <c r="R515" i="1"/>
  <c r="S515" i="1"/>
  <c r="T515" i="1"/>
  <c r="V515" i="1" s="1"/>
  <c r="U515" i="1"/>
  <c r="W515" i="1" s="1"/>
  <c r="P516" i="1"/>
  <c r="Q516" i="1"/>
  <c r="R516" i="1"/>
  <c r="S516" i="1"/>
  <c r="T516" i="1"/>
  <c r="V516" i="1" s="1"/>
  <c r="U516" i="1"/>
  <c r="W516" i="1" s="1"/>
  <c r="P517" i="1"/>
  <c r="Q517" i="1"/>
  <c r="R517" i="1"/>
  <c r="S517" i="1"/>
  <c r="T517" i="1"/>
  <c r="V517" i="1" s="1"/>
  <c r="U517" i="1"/>
  <c r="W517" i="1" s="1"/>
  <c r="P518" i="1"/>
  <c r="Q518" i="1"/>
  <c r="R518" i="1"/>
  <c r="S518" i="1"/>
  <c r="T518" i="1"/>
  <c r="V518" i="1" s="1"/>
  <c r="U518" i="1"/>
  <c r="W518" i="1" s="1"/>
  <c r="P519" i="1"/>
  <c r="Q519" i="1"/>
  <c r="R519" i="1"/>
  <c r="S519" i="1"/>
  <c r="T519" i="1"/>
  <c r="V519" i="1" s="1"/>
  <c r="U519" i="1"/>
  <c r="W519" i="1" s="1"/>
  <c r="P520" i="1"/>
  <c r="Q520" i="1"/>
  <c r="R520" i="1"/>
  <c r="S520" i="1"/>
  <c r="T520" i="1"/>
  <c r="V520" i="1" s="1"/>
  <c r="U520" i="1"/>
  <c r="W520" i="1" s="1"/>
  <c r="P521" i="1"/>
  <c r="Q521" i="1"/>
  <c r="R521" i="1"/>
  <c r="S521" i="1"/>
  <c r="T521" i="1"/>
  <c r="V521" i="1" s="1"/>
  <c r="U521" i="1"/>
  <c r="W521" i="1" s="1"/>
  <c r="P522" i="1"/>
  <c r="Q522" i="1"/>
  <c r="R522" i="1"/>
  <c r="S522" i="1"/>
  <c r="T522" i="1"/>
  <c r="V522" i="1" s="1"/>
  <c r="U522" i="1"/>
  <c r="W522" i="1"/>
  <c r="P523" i="1"/>
  <c r="Q523" i="1"/>
  <c r="R523" i="1"/>
  <c r="S523" i="1"/>
  <c r="T523" i="1"/>
  <c r="V523" i="1" s="1"/>
  <c r="U523" i="1"/>
  <c r="W523" i="1"/>
  <c r="P524" i="1"/>
  <c r="Q524" i="1"/>
  <c r="R524" i="1"/>
  <c r="S524" i="1"/>
  <c r="T524" i="1"/>
  <c r="V524" i="1" s="1"/>
  <c r="U524" i="1"/>
  <c r="W524" i="1"/>
  <c r="P525" i="1"/>
  <c r="Q525" i="1"/>
  <c r="R525" i="1"/>
  <c r="S525" i="1"/>
  <c r="T525" i="1"/>
  <c r="V525" i="1" s="1"/>
  <c r="U525" i="1"/>
  <c r="W525" i="1" s="1"/>
  <c r="P526" i="1"/>
  <c r="Q526" i="1"/>
  <c r="R526" i="1"/>
  <c r="S526" i="1"/>
  <c r="T526" i="1"/>
  <c r="V526" i="1" s="1"/>
  <c r="U526" i="1"/>
  <c r="W526" i="1" s="1"/>
  <c r="P527" i="1"/>
  <c r="Q527" i="1"/>
  <c r="R527" i="1"/>
  <c r="S527" i="1"/>
  <c r="T527" i="1"/>
  <c r="V527" i="1" s="1"/>
  <c r="U527" i="1"/>
  <c r="W527" i="1" s="1"/>
  <c r="P528" i="1"/>
  <c r="Q528" i="1"/>
  <c r="R528" i="1"/>
  <c r="S528" i="1"/>
  <c r="T528" i="1"/>
  <c r="V528" i="1" s="1"/>
  <c r="U528" i="1"/>
  <c r="W528" i="1" s="1"/>
  <c r="P529" i="1"/>
  <c r="Q529" i="1"/>
  <c r="R529" i="1"/>
  <c r="S529" i="1"/>
  <c r="T529" i="1"/>
  <c r="V529" i="1" s="1"/>
  <c r="U529" i="1"/>
  <c r="W529" i="1" s="1"/>
  <c r="P530" i="1"/>
  <c r="Q530" i="1"/>
  <c r="R530" i="1"/>
  <c r="S530" i="1"/>
  <c r="T530" i="1"/>
  <c r="V530" i="1" s="1"/>
  <c r="U530" i="1"/>
  <c r="W530" i="1" s="1"/>
  <c r="P531" i="1"/>
  <c r="Q531" i="1"/>
  <c r="R531" i="1"/>
  <c r="S531" i="1"/>
  <c r="T531" i="1"/>
  <c r="V531" i="1" s="1"/>
  <c r="U531" i="1"/>
  <c r="W531" i="1" s="1"/>
  <c r="P532" i="1"/>
  <c r="Q532" i="1"/>
  <c r="R532" i="1"/>
  <c r="S532" i="1"/>
  <c r="T532" i="1"/>
  <c r="V532" i="1" s="1"/>
  <c r="U532" i="1"/>
  <c r="W532" i="1" s="1"/>
  <c r="P533" i="1"/>
  <c r="Q533" i="1"/>
  <c r="R533" i="1"/>
  <c r="S533" i="1"/>
  <c r="T533" i="1"/>
  <c r="V533" i="1" s="1"/>
  <c r="U533" i="1"/>
  <c r="W533" i="1" s="1"/>
  <c r="P534" i="1"/>
  <c r="Q534" i="1"/>
  <c r="R534" i="1"/>
  <c r="S534" i="1"/>
  <c r="T534" i="1"/>
  <c r="V534" i="1" s="1"/>
  <c r="U534" i="1"/>
  <c r="W534" i="1" s="1"/>
  <c r="P535" i="1"/>
  <c r="Q535" i="1"/>
  <c r="R535" i="1"/>
  <c r="S535" i="1"/>
  <c r="T535" i="1"/>
  <c r="V535" i="1" s="1"/>
  <c r="U535" i="1"/>
  <c r="W535" i="1" s="1"/>
  <c r="P536" i="1"/>
  <c r="Q536" i="1"/>
  <c r="R536" i="1"/>
  <c r="S536" i="1"/>
  <c r="T536" i="1"/>
  <c r="V536" i="1" s="1"/>
  <c r="U536" i="1"/>
  <c r="W536" i="1" s="1"/>
  <c r="P537" i="1"/>
  <c r="Q537" i="1"/>
  <c r="R537" i="1"/>
  <c r="S537" i="1"/>
  <c r="T537" i="1"/>
  <c r="V537" i="1" s="1"/>
  <c r="U537" i="1"/>
  <c r="W537" i="1" s="1"/>
  <c r="P538" i="1"/>
  <c r="Q538" i="1"/>
  <c r="R538" i="1"/>
  <c r="S538" i="1"/>
  <c r="T538" i="1"/>
  <c r="V538" i="1" s="1"/>
  <c r="U538" i="1"/>
  <c r="W538" i="1" s="1"/>
  <c r="P539" i="1"/>
  <c r="Q539" i="1"/>
  <c r="R539" i="1"/>
  <c r="S539" i="1"/>
  <c r="T539" i="1"/>
  <c r="V539" i="1" s="1"/>
  <c r="U539" i="1"/>
  <c r="W539" i="1" s="1"/>
  <c r="P540" i="1"/>
  <c r="Q540" i="1"/>
  <c r="R540" i="1"/>
  <c r="S540" i="1"/>
  <c r="T540" i="1"/>
  <c r="V540" i="1" s="1"/>
  <c r="U540" i="1"/>
  <c r="W540" i="1" s="1"/>
  <c r="P689" i="1"/>
  <c r="Q689" i="1"/>
  <c r="R689" i="1"/>
  <c r="S689" i="1"/>
  <c r="T689" i="1"/>
  <c r="V689" i="1" s="1"/>
  <c r="U689" i="1"/>
  <c r="W689" i="1"/>
  <c r="P690" i="1"/>
  <c r="Q690" i="1"/>
  <c r="R690" i="1"/>
  <c r="S690" i="1"/>
  <c r="T690" i="1"/>
  <c r="V690" i="1" s="1"/>
  <c r="U690" i="1"/>
  <c r="W690" i="1"/>
  <c r="P691" i="1"/>
  <c r="Q691" i="1"/>
  <c r="R691" i="1"/>
  <c r="S691" i="1"/>
  <c r="T691" i="1"/>
  <c r="V691" i="1" s="1"/>
  <c r="U691" i="1"/>
  <c r="W691" i="1"/>
  <c r="P692" i="1"/>
  <c r="Q692" i="1"/>
  <c r="R692" i="1"/>
  <c r="S692" i="1"/>
  <c r="T692" i="1"/>
  <c r="V692" i="1" s="1"/>
  <c r="U692" i="1"/>
  <c r="W692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689" i="1"/>
  <c r="K689" i="1"/>
  <c r="J690" i="1"/>
  <c r="K690" i="1"/>
  <c r="J691" i="1"/>
  <c r="K691" i="1"/>
  <c r="J692" i="1"/>
  <c r="K692" i="1"/>
  <c r="D48" i="6" l="1"/>
  <c r="C48" i="6"/>
  <c r="D36" i="6" s="1"/>
  <c r="B48" i="6"/>
  <c r="C36" i="6" s="1"/>
  <c r="D24" i="6" s="1"/>
  <c r="D47" i="6"/>
  <c r="C47" i="6"/>
  <c r="D35" i="6" s="1"/>
  <c r="B47" i="6"/>
  <c r="C35" i="6" s="1"/>
  <c r="D23" i="6" s="1"/>
  <c r="D46" i="6"/>
  <c r="C46" i="6"/>
  <c r="D34" i="6" s="1"/>
  <c r="B46" i="6"/>
  <c r="C34" i="6" s="1"/>
  <c r="D22" i="6" s="1"/>
  <c r="D45" i="6"/>
  <c r="C45" i="6"/>
  <c r="D33" i="6" s="1"/>
  <c r="B45" i="6"/>
  <c r="C33" i="6" s="1"/>
  <c r="D21" i="6" s="1"/>
  <c r="D44" i="6"/>
  <c r="C44" i="6"/>
  <c r="D32" i="6" s="1"/>
  <c r="B44" i="6"/>
  <c r="C32" i="6" s="1"/>
  <c r="D20" i="6" s="1"/>
  <c r="D43" i="6"/>
  <c r="C43" i="6"/>
  <c r="D31" i="6" s="1"/>
  <c r="B43" i="6"/>
  <c r="C31" i="6" s="1"/>
  <c r="D19" i="6" s="1"/>
  <c r="D42" i="6"/>
  <c r="C42" i="6"/>
  <c r="D30" i="6" s="1"/>
  <c r="B42" i="6"/>
  <c r="C30" i="6" s="1"/>
  <c r="D18" i="6" s="1"/>
  <c r="D41" i="6"/>
  <c r="C41" i="6"/>
  <c r="D29" i="6" s="1"/>
  <c r="B41" i="6"/>
  <c r="C29" i="6" s="1"/>
  <c r="D17" i="6" s="1"/>
  <c r="N40" i="6"/>
  <c r="M40" i="6"/>
  <c r="N35" i="6" s="1"/>
  <c r="L40" i="6"/>
  <c r="M35" i="6" s="1"/>
  <c r="N30" i="6" s="1"/>
  <c r="D40" i="6"/>
  <c r="C40" i="6"/>
  <c r="D28" i="6" s="1"/>
  <c r="B40" i="6"/>
  <c r="C28" i="6" s="1"/>
  <c r="D16" i="6" s="1"/>
  <c r="N39" i="6"/>
  <c r="M39" i="6"/>
  <c r="N34" i="6" s="1"/>
  <c r="L39" i="6"/>
  <c r="M34" i="6" s="1"/>
  <c r="N29" i="6" s="1"/>
  <c r="D39" i="6"/>
  <c r="C39" i="6"/>
  <c r="D27" i="6" s="1"/>
  <c r="B39" i="6"/>
  <c r="C27" i="6" s="1"/>
  <c r="D15" i="6" s="1"/>
  <c r="N38" i="6"/>
  <c r="M38" i="6"/>
  <c r="N33" i="6" s="1"/>
  <c r="L38" i="6"/>
  <c r="M33" i="6" s="1"/>
  <c r="N28" i="6" s="1"/>
  <c r="D38" i="6"/>
  <c r="C38" i="6"/>
  <c r="D26" i="6" s="1"/>
  <c r="B38" i="6"/>
  <c r="C26" i="6" s="1"/>
  <c r="D14" i="6" s="1"/>
  <c r="N37" i="6"/>
  <c r="M37" i="6"/>
  <c r="N32" i="6" s="1"/>
  <c r="L37" i="6"/>
  <c r="M32" i="6" s="1"/>
  <c r="N27" i="6" s="1"/>
  <c r="D37" i="6"/>
  <c r="C37" i="6"/>
  <c r="D25" i="6" s="1"/>
  <c r="B37" i="6"/>
  <c r="C25" i="6" s="1"/>
  <c r="D13" i="6" s="1"/>
  <c r="N36" i="6"/>
  <c r="M36" i="6"/>
  <c r="N31" i="6" s="1"/>
  <c r="L36" i="6"/>
  <c r="M31" i="6" s="1"/>
  <c r="N26" i="6" s="1"/>
  <c r="B36" i="6"/>
  <c r="C24" i="6" s="1"/>
  <c r="D12" i="6" s="1"/>
  <c r="I19" i="6" s="1"/>
  <c r="L35" i="6"/>
  <c r="M30" i="6" s="1"/>
  <c r="N25" i="6" s="1"/>
  <c r="B35" i="6"/>
  <c r="C23" i="6" s="1"/>
  <c r="D11" i="6" s="1"/>
  <c r="I18" i="6" s="1"/>
  <c r="L34" i="6"/>
  <c r="M29" i="6" s="1"/>
  <c r="N24" i="6" s="1"/>
  <c r="B34" i="6"/>
  <c r="C22" i="6" s="1"/>
  <c r="D10" i="6" s="1"/>
  <c r="I10" i="6" s="1"/>
  <c r="L33" i="6"/>
  <c r="M28" i="6" s="1"/>
  <c r="N23" i="6" s="1"/>
  <c r="I13" i="6" s="1"/>
  <c r="B33" i="6"/>
  <c r="C21" i="6" s="1"/>
  <c r="D9" i="6" s="1"/>
  <c r="I9" i="6" s="1"/>
  <c r="L32" i="6"/>
  <c r="M27" i="6" s="1"/>
  <c r="N22" i="6" s="1"/>
  <c r="I15" i="6" s="1"/>
  <c r="B32" i="6"/>
  <c r="C20" i="6" s="1"/>
  <c r="D8" i="6" s="1"/>
  <c r="I4" i="6" s="1"/>
  <c r="L31" i="6"/>
  <c r="M26" i="6" s="1"/>
  <c r="N21" i="6" s="1"/>
  <c r="B31" i="6"/>
  <c r="C19" i="6" s="1"/>
  <c r="D7" i="6" s="1"/>
  <c r="I3" i="6" s="1"/>
  <c r="L30" i="6"/>
  <c r="M25" i="6" s="1"/>
  <c r="N20" i="6" s="1"/>
  <c r="B30" i="6"/>
  <c r="C18" i="6" s="1"/>
  <c r="D6" i="6" s="1"/>
  <c r="I8" i="6" s="1"/>
  <c r="L29" i="6"/>
  <c r="M24" i="6" s="1"/>
  <c r="N19" i="6" s="1"/>
  <c r="B29" i="6"/>
  <c r="C17" i="6" s="1"/>
  <c r="D5" i="6" s="1"/>
  <c r="I7" i="6" s="1"/>
  <c r="L28" i="6"/>
  <c r="M23" i="6" s="1"/>
  <c r="B28" i="6"/>
  <c r="C16" i="6" s="1"/>
  <c r="D4" i="6" s="1"/>
  <c r="I6" i="6" s="1"/>
  <c r="L27" i="6"/>
  <c r="M22" i="6" s="1"/>
  <c r="B27" i="6"/>
  <c r="C15" i="6" s="1"/>
  <c r="D3" i="6" s="1"/>
  <c r="I5" i="6" s="1"/>
  <c r="L26" i="6"/>
  <c r="M21" i="6" s="1"/>
  <c r="N16" i="6" s="1"/>
  <c r="B26" i="6"/>
  <c r="C14" i="6" s="1"/>
  <c r="D2" i="6" s="1"/>
  <c r="I2" i="6" s="1"/>
  <c r="L25" i="6"/>
  <c r="M20" i="6" s="1"/>
  <c r="N15" i="6" s="1"/>
  <c r="B25" i="6"/>
  <c r="C13" i="6" s="1"/>
  <c r="D1" i="6" s="1"/>
  <c r="I1" i="6" s="1"/>
  <c r="L24" i="6"/>
  <c r="M19" i="6" s="1"/>
  <c r="N14" i="6" s="1"/>
  <c r="B24" i="6"/>
  <c r="C12" i="6" s="1"/>
  <c r="H19" i="6" s="1"/>
  <c r="L23" i="6"/>
  <c r="M18" i="6" s="1"/>
  <c r="N13" i="6" s="1"/>
  <c r="B23" i="6"/>
  <c r="C11" i="6" s="1"/>
  <c r="H18" i="6" s="1"/>
  <c r="L22" i="6"/>
  <c r="M17" i="6" s="1"/>
  <c r="N12" i="6" s="1"/>
  <c r="B22" i="6"/>
  <c r="C10" i="6" s="1"/>
  <c r="H10" i="6" s="1"/>
  <c r="L21" i="6"/>
  <c r="M16" i="6" s="1"/>
  <c r="N11" i="6" s="1"/>
  <c r="B21" i="6"/>
  <c r="C9" i="6" s="1"/>
  <c r="H9" i="6" s="1"/>
  <c r="L20" i="6"/>
  <c r="M15" i="6" s="1"/>
  <c r="N10" i="6" s="1"/>
  <c r="B20" i="6"/>
  <c r="C8" i="6" s="1"/>
  <c r="H4" i="6" s="1"/>
  <c r="L19" i="6"/>
  <c r="M14" i="6" s="1"/>
  <c r="N9" i="6" s="1"/>
  <c r="B12" i="6"/>
  <c r="G19" i="6" s="1"/>
  <c r="F19" i="6"/>
  <c r="B19" i="6"/>
  <c r="C7" i="6" s="1"/>
  <c r="H3" i="6" s="1"/>
  <c r="L18" i="6"/>
  <c r="M13" i="6" s="1"/>
  <c r="N8" i="6" s="1"/>
  <c r="B11" i="6"/>
  <c r="G18" i="6" s="1"/>
  <c r="F18" i="6"/>
  <c r="B18" i="6"/>
  <c r="C6" i="6" s="1"/>
  <c r="H8" i="6" s="1"/>
  <c r="L17" i="6"/>
  <c r="M12" i="6" s="1"/>
  <c r="N7" i="6" s="1"/>
  <c r="L12" i="6"/>
  <c r="M7" i="6" s="1"/>
  <c r="N2" i="6" s="1"/>
  <c r="I17" i="6" s="1"/>
  <c r="L7" i="6"/>
  <c r="M2" i="6" s="1"/>
  <c r="H17" i="6" s="1"/>
  <c r="L2" i="6"/>
  <c r="G17" i="6" s="1"/>
  <c r="F17" i="6"/>
  <c r="B17" i="6"/>
  <c r="C5" i="6" s="1"/>
  <c r="H7" i="6" s="1"/>
  <c r="L16" i="6"/>
  <c r="M11" i="6" s="1"/>
  <c r="N6" i="6" s="1"/>
  <c r="L14" i="6"/>
  <c r="M9" i="6" s="1"/>
  <c r="N4" i="6" s="1"/>
  <c r="I16" i="6" s="1"/>
  <c r="L9" i="6"/>
  <c r="M4" i="6" s="1"/>
  <c r="H16" i="6" s="1"/>
  <c r="L4" i="6"/>
  <c r="G16" i="6" s="1"/>
  <c r="F16" i="6"/>
  <c r="B16" i="6"/>
  <c r="C4" i="6" s="1"/>
  <c r="H6" i="6" s="1"/>
  <c r="L15" i="6"/>
  <c r="M10" i="6" s="1"/>
  <c r="N5" i="6" s="1"/>
  <c r="I12" i="6" s="1"/>
  <c r="F15" i="6"/>
  <c r="B15" i="6"/>
  <c r="C3" i="6" s="1"/>
  <c r="H5" i="6" s="1"/>
  <c r="L11" i="6"/>
  <c r="M6" i="6" s="1"/>
  <c r="N1" i="6" s="1"/>
  <c r="I14" i="6" s="1"/>
  <c r="L6" i="6"/>
  <c r="M1" i="6" s="1"/>
  <c r="H14" i="6" s="1"/>
  <c r="L1" i="6"/>
  <c r="G14" i="6" s="1"/>
  <c r="F14" i="6"/>
  <c r="B14" i="6"/>
  <c r="C2" i="6" s="1"/>
  <c r="H2" i="6" s="1"/>
  <c r="L13" i="6"/>
  <c r="M8" i="6" s="1"/>
  <c r="N3" i="6" s="1"/>
  <c r="I11" i="6" s="1"/>
  <c r="F13" i="6"/>
  <c r="B13" i="6"/>
  <c r="C1" i="6" s="1"/>
  <c r="H1" i="6" s="1"/>
  <c r="L10" i="6"/>
  <c r="M5" i="6" s="1"/>
  <c r="H12" i="6" s="1"/>
  <c r="L5" i="6"/>
  <c r="G12" i="6" s="1"/>
  <c r="F12" i="6"/>
  <c r="L8" i="6"/>
  <c r="M3" i="6" s="1"/>
  <c r="H11" i="6" s="1"/>
  <c r="L3" i="6"/>
  <c r="G11" i="6" s="1"/>
  <c r="F11" i="6"/>
  <c r="B10" i="6"/>
  <c r="G10" i="6" s="1"/>
  <c r="F10" i="6"/>
  <c r="B9" i="6"/>
  <c r="G9" i="6" s="1"/>
  <c r="F9" i="6"/>
  <c r="B6" i="6"/>
  <c r="G8" i="6" s="1"/>
  <c r="F8" i="6"/>
  <c r="B8" i="6"/>
  <c r="G4" i="6" s="1"/>
  <c r="B5" i="6"/>
  <c r="G7" i="6" s="1"/>
  <c r="F7" i="6"/>
  <c r="B7" i="6"/>
  <c r="G3" i="6" s="1"/>
  <c r="B4" i="6"/>
  <c r="G6" i="6" s="1"/>
  <c r="F6" i="6"/>
  <c r="B3" i="6"/>
  <c r="G5" i="6" s="1"/>
  <c r="F5" i="6"/>
  <c r="F4" i="6"/>
  <c r="F3" i="6"/>
  <c r="B2" i="6"/>
  <c r="G2" i="6" s="1"/>
  <c r="F2" i="6"/>
  <c r="B1" i="6"/>
  <c r="G1" i="6" s="1"/>
  <c r="F1" i="6"/>
  <c r="G13" i="6" l="1"/>
  <c r="H13" i="6"/>
  <c r="N18" i="6"/>
  <c r="N17" i="6"/>
  <c r="H15" i="6"/>
  <c r="G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V2" authorId="0" shapeId="0" xr:uid="{00000000-0006-0000-0000-000001000000}">
      <text>
        <r>
          <rPr>
            <sz val="9"/>
            <color indexed="81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I9" authorId="0" shapeId="0" xr:uid="{00000000-0006-0000-0000-000002000000}">
      <text>
        <r>
          <rPr>
            <b/>
            <sz val="9"/>
            <color indexed="81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V2" authorId="0" shapeId="0" xr:uid="{00000000-0006-0000-0100-000001000000}">
      <text>
        <r>
          <rPr>
            <sz val="9"/>
            <color indexed="81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I9" authorId="0" shapeId="0" xr:uid="{00000000-0006-0000-0100-000002000000}">
      <text>
        <r>
          <rPr>
            <b/>
            <sz val="9"/>
            <color indexed="81"/>
            <rFont val="Calibri"/>
            <family val="2"/>
          </rPr>
          <t xml:space="preserve">HG = Height Gauge
MIC = Micrometer
CMM = Coordinate Measuring Machine
OMM = Optical CMM
TG = Thickness Gauge
HT = Hardness Tester
PG = Plug Gauge
FT = Force Tester
DC = Dial/Digital Caliper
P = Protractor
OC = Optical Comparotor
CG = Checking Gauge
</t>
        </r>
      </text>
    </comment>
  </commentList>
</comments>
</file>

<file path=xl/sharedStrings.xml><?xml version="1.0" encoding="utf-8"?>
<sst xmlns="http://schemas.openxmlformats.org/spreadsheetml/2006/main" count="5057" uniqueCount="953">
  <si>
    <t>Part Number :</t>
  </si>
  <si>
    <t>Supplier :</t>
  </si>
  <si>
    <t>Part Description :</t>
  </si>
  <si>
    <t>Revision :</t>
  </si>
  <si>
    <t>DRAWING SPECIFICATIONS</t>
  </si>
  <si>
    <t>INSPECTION RESULTS</t>
  </si>
  <si>
    <t>INSPECTION ANALYSIS</t>
  </si>
  <si>
    <t xml:space="preserve"> </t>
  </si>
  <si>
    <t>Inspection Method</t>
  </si>
  <si>
    <t>Sample Number</t>
  </si>
  <si>
    <t>Deviation from Nominal</t>
  </si>
  <si>
    <t>Mean</t>
  </si>
  <si>
    <t>% Tolerance</t>
  </si>
  <si>
    <t>Alert/Reject</t>
  </si>
  <si>
    <r>
      <t xml:space="preserve">+TOL
</t>
    </r>
    <r>
      <rPr>
        <sz val="8"/>
        <rFont val="Arial"/>
        <family val="2"/>
      </rPr>
      <t>(USL for one sided spec)</t>
    </r>
  </si>
  <si>
    <r>
      <t xml:space="preserve">-TOL
</t>
    </r>
    <r>
      <rPr>
        <sz val="8"/>
        <rFont val="Arial"/>
        <family val="2"/>
      </rPr>
      <t>(LSL for one sided spec)</t>
    </r>
  </si>
  <si>
    <t>FAI Data Sheet - Enclosures MD</t>
  </si>
  <si>
    <t>USL</t>
  </si>
  <si>
    <t>LSL</t>
  </si>
  <si>
    <t>Supplier Comment</t>
  </si>
  <si>
    <t>Instructions</t>
  </si>
  <si>
    <t>Inspector :</t>
  </si>
  <si>
    <t>Manufacturing Date :</t>
  </si>
  <si>
    <t>Tool # / Cavity # / Trial Name :</t>
  </si>
  <si>
    <t>Location</t>
  </si>
  <si>
    <t>Nominal</t>
  </si>
  <si>
    <t>Upper</t>
  </si>
  <si>
    <t>Lower</t>
  </si>
  <si>
    <t>High</t>
  </si>
  <si>
    <t>Low</t>
  </si>
  <si>
    <t>Dimension Type</t>
  </si>
  <si>
    <t>list of inspection methods</t>
  </si>
  <si>
    <t>list of dimension types</t>
  </si>
  <si>
    <t>HG</t>
  </si>
  <si>
    <t>Tolerance</t>
  </si>
  <si>
    <t>MIC</t>
  </si>
  <si>
    <t>GD&amp;T</t>
  </si>
  <si>
    <t>CMM</t>
  </si>
  <si>
    <t>MIN</t>
  </si>
  <si>
    <t>OMM</t>
  </si>
  <si>
    <t>MAX</t>
  </si>
  <si>
    <t>TG</t>
  </si>
  <si>
    <t>HT</t>
  </si>
  <si>
    <t>PG</t>
  </si>
  <si>
    <t>FT</t>
  </si>
  <si>
    <t>DC</t>
  </si>
  <si>
    <t>P</t>
  </si>
  <si>
    <t>OC</t>
  </si>
  <si>
    <t>Other</t>
  </si>
  <si>
    <t>record of positions of data blocks</t>
  </si>
  <si>
    <t>left</t>
  </si>
  <si>
    <t>top</t>
  </si>
  <si>
    <t>Rev 2</t>
  </si>
  <si>
    <t>Notes/Comments :</t>
  </si>
  <si>
    <t>CMM/OMM Program version :</t>
  </si>
  <si>
    <t>SPC #</t>
  </si>
  <si>
    <t>JGP</t>
    <phoneticPr fontId="11" type="noConversion"/>
  </si>
  <si>
    <t>N/A</t>
    <phoneticPr fontId="11" type="noConversion"/>
  </si>
  <si>
    <t>FAI#</t>
    <phoneticPr fontId="11" type="noConversion"/>
  </si>
  <si>
    <t>3.10</t>
  </si>
  <si>
    <t>4.10</t>
    <phoneticPr fontId="11" type="noConversion"/>
  </si>
  <si>
    <t>4.11</t>
  </si>
  <si>
    <t>4.12</t>
  </si>
  <si>
    <t>5.1.3</t>
  </si>
  <si>
    <t>5.1.4</t>
  </si>
  <si>
    <t>5.1.5</t>
  </si>
  <si>
    <t>5.1.10</t>
  </si>
  <si>
    <t>5.1.11</t>
  </si>
  <si>
    <t>5.1.12</t>
  </si>
  <si>
    <t>5.2.3</t>
  </si>
  <si>
    <t>5.2.4</t>
  </si>
  <si>
    <t>5.2.5</t>
  </si>
  <si>
    <t>5.2.10</t>
  </si>
  <si>
    <t>5.2.11</t>
  </si>
  <si>
    <t>5.2.12</t>
  </si>
  <si>
    <t>6.1.3</t>
  </si>
  <si>
    <t>6.1.4</t>
  </si>
  <si>
    <t>6.1.5</t>
  </si>
  <si>
    <t>6.1.10</t>
  </si>
  <si>
    <t>6.1.11</t>
  </si>
  <si>
    <t>6.1.12</t>
  </si>
  <si>
    <t>6.2.3</t>
  </si>
  <si>
    <t>6.2.4</t>
  </si>
  <si>
    <t>6.2.5</t>
  </si>
  <si>
    <t>6.2.10</t>
  </si>
  <si>
    <t>6.2.11</t>
  </si>
  <si>
    <t>6.2.12</t>
  </si>
  <si>
    <t>7.1.3</t>
  </si>
  <si>
    <t>7.1.4</t>
  </si>
  <si>
    <t>7.1.5</t>
  </si>
  <si>
    <t>7.1.10</t>
  </si>
  <si>
    <t>7.1.11</t>
  </si>
  <si>
    <t>7.1.12</t>
  </si>
  <si>
    <t>7.2.3</t>
  </si>
  <si>
    <t>7.2.4</t>
  </si>
  <si>
    <t>7.2.5</t>
  </si>
  <si>
    <t>7.2.10</t>
  </si>
  <si>
    <t>7.2.11</t>
  </si>
  <si>
    <t>7.2.12</t>
  </si>
  <si>
    <t>8.3</t>
  </si>
  <si>
    <t>8.4</t>
  </si>
  <si>
    <t>8.5</t>
  </si>
  <si>
    <t>8.10</t>
  </si>
  <si>
    <t>8.11</t>
  </si>
  <si>
    <t>8.12</t>
  </si>
  <si>
    <t>9.3</t>
  </si>
  <si>
    <t>9.4</t>
  </si>
  <si>
    <t>9.5</t>
  </si>
  <si>
    <t>9.10</t>
  </si>
  <si>
    <t>9.11</t>
  </si>
  <si>
    <t>9.12</t>
  </si>
  <si>
    <t>10.1</t>
    <phoneticPr fontId="11" type="noConversion"/>
  </si>
  <si>
    <t>10.2</t>
  </si>
  <si>
    <t>10.3</t>
  </si>
  <si>
    <t>10.4</t>
  </si>
  <si>
    <t>10.5</t>
  </si>
  <si>
    <t>10.6</t>
  </si>
  <si>
    <t>10.7</t>
  </si>
  <si>
    <t>10.8</t>
  </si>
  <si>
    <t>11.1</t>
    <phoneticPr fontId="11" type="noConversion"/>
  </si>
  <si>
    <t>11.2</t>
  </si>
  <si>
    <t>11.3</t>
  </si>
  <si>
    <t>11.4</t>
  </si>
  <si>
    <t>11.5</t>
  </si>
  <si>
    <t>11.6</t>
  </si>
  <si>
    <t>11.7</t>
  </si>
  <si>
    <t>11.8</t>
  </si>
  <si>
    <t>12.1</t>
    <phoneticPr fontId="11" type="noConversion"/>
  </si>
  <si>
    <t>12.2</t>
  </si>
  <si>
    <t>12.3</t>
  </si>
  <si>
    <t>12.4</t>
  </si>
  <si>
    <t>12.5</t>
  </si>
  <si>
    <t>12.6</t>
  </si>
  <si>
    <t>12.7</t>
  </si>
  <si>
    <t>12.8</t>
  </si>
  <si>
    <t>16.1</t>
    <phoneticPr fontId="11" type="noConversion"/>
  </si>
  <si>
    <t>16.2</t>
  </si>
  <si>
    <t>16.3</t>
  </si>
  <si>
    <t>17.1</t>
    <phoneticPr fontId="11" type="noConversion"/>
  </si>
  <si>
    <t>17.2</t>
  </si>
  <si>
    <t>20.1</t>
    <phoneticPr fontId="11" type="noConversion"/>
  </si>
  <si>
    <t>20.2</t>
  </si>
  <si>
    <t>21.1</t>
    <phoneticPr fontId="11" type="noConversion"/>
  </si>
  <si>
    <t>21.2</t>
  </si>
  <si>
    <t>21.3</t>
  </si>
  <si>
    <t>21.4</t>
  </si>
  <si>
    <t>27.1</t>
    <phoneticPr fontId="11" type="noConversion"/>
  </si>
  <si>
    <t>27.2</t>
  </si>
  <si>
    <t>28.1</t>
    <phoneticPr fontId="11" type="noConversion"/>
  </si>
  <si>
    <t>28.2</t>
  </si>
  <si>
    <t>29.1</t>
    <phoneticPr fontId="11" type="noConversion"/>
  </si>
  <si>
    <t>29.2</t>
  </si>
  <si>
    <t>30.1</t>
    <phoneticPr fontId="11" type="noConversion"/>
  </si>
  <si>
    <t>30.2</t>
  </si>
  <si>
    <t>31.1</t>
    <phoneticPr fontId="11" type="noConversion"/>
  </si>
  <si>
    <t>31.2</t>
  </si>
  <si>
    <t>31.3</t>
  </si>
  <si>
    <t>31.4</t>
  </si>
  <si>
    <t>32.1</t>
    <phoneticPr fontId="11" type="noConversion"/>
  </si>
  <si>
    <t>32.2</t>
  </si>
  <si>
    <t>32.3</t>
  </si>
  <si>
    <t>32.4</t>
  </si>
  <si>
    <t>39.1</t>
    <phoneticPr fontId="11" type="noConversion"/>
  </si>
  <si>
    <t>39.2</t>
  </si>
  <si>
    <t>39.3</t>
  </si>
  <si>
    <t>40.1</t>
    <phoneticPr fontId="11" type="noConversion"/>
  </si>
  <si>
    <t>40.2</t>
  </si>
  <si>
    <t>45.1</t>
    <phoneticPr fontId="11" type="noConversion"/>
  </si>
  <si>
    <t>45.2</t>
  </si>
  <si>
    <t>45.3</t>
  </si>
  <si>
    <t>Tolerance</t>
    <phoneticPr fontId="11" type="noConversion"/>
  </si>
  <si>
    <t>62.3</t>
  </si>
  <si>
    <t>62.4</t>
  </si>
  <si>
    <t>62.5</t>
  </si>
  <si>
    <t>62.10</t>
  </si>
  <si>
    <t>62.11</t>
  </si>
  <si>
    <t>62.12</t>
  </si>
  <si>
    <t>63.3</t>
  </si>
  <si>
    <t>63.4</t>
  </si>
  <si>
    <t>63.5</t>
  </si>
  <si>
    <t>63.10</t>
  </si>
  <si>
    <t>63.11</t>
  </si>
  <si>
    <t>63.12</t>
  </si>
  <si>
    <t>65.1</t>
  </si>
  <si>
    <t>65.2</t>
  </si>
  <si>
    <t>65.3</t>
  </si>
  <si>
    <t>65.4</t>
  </si>
  <si>
    <t>66.1</t>
  </si>
  <si>
    <t>66.2</t>
  </si>
  <si>
    <t>66.3</t>
  </si>
  <si>
    <t>66.4</t>
  </si>
  <si>
    <t>64.1.3</t>
  </si>
  <si>
    <t>64.1.4</t>
  </si>
  <si>
    <t>64.1.5</t>
  </si>
  <si>
    <t>64.1.10</t>
  </si>
  <si>
    <t>64.1.11</t>
  </si>
  <si>
    <t>64.1.12</t>
  </si>
  <si>
    <t>64.2.3</t>
  </si>
  <si>
    <t>64.2.4</t>
  </si>
  <si>
    <t>64.2.5</t>
  </si>
  <si>
    <t>64.2.10</t>
  </si>
  <si>
    <t>64.2.11</t>
  </si>
  <si>
    <t>64.2.12</t>
  </si>
  <si>
    <t>68.3</t>
  </si>
  <si>
    <t>68.4</t>
  </si>
  <si>
    <t>68.5</t>
  </si>
  <si>
    <t>68.10</t>
  </si>
  <si>
    <t>68.11</t>
  </si>
  <si>
    <t>68.12</t>
  </si>
  <si>
    <t>70.1</t>
  </si>
  <si>
    <t>70.2</t>
  </si>
  <si>
    <t>74.1</t>
  </si>
  <si>
    <t>74.2</t>
  </si>
  <si>
    <t>74.3</t>
  </si>
  <si>
    <t>FAI 51.1_1</t>
  </si>
  <si>
    <t>FAI 51.2_1</t>
  </si>
  <si>
    <t>FAI 53.1_1</t>
  </si>
  <si>
    <t>FAI 53.2_1</t>
  </si>
  <si>
    <t>FAI 4-3</t>
  </si>
  <si>
    <t>FAI 62-3</t>
  </si>
  <si>
    <t>FAI 63-3</t>
  </si>
  <si>
    <t>FAI 3-4</t>
  </si>
  <si>
    <t>FAI 4-4</t>
  </si>
  <si>
    <t>FAI 62-4</t>
  </si>
  <si>
    <t>FAI 63-4</t>
  </si>
  <si>
    <t>FAI 3-5</t>
  </si>
  <si>
    <t>FAI 4-5</t>
  </si>
  <si>
    <t>FAI 62-5</t>
  </si>
  <si>
    <t>FAI 63-5</t>
  </si>
  <si>
    <t>FAI 4-11</t>
  </si>
  <si>
    <t>FAI 62-11</t>
  </si>
  <si>
    <t>FAI 63-11</t>
  </si>
  <si>
    <t>FAI 2-1</t>
  </si>
  <si>
    <t>FAI 2-2</t>
  </si>
  <si>
    <t>FAI 1-1</t>
  </si>
  <si>
    <t>FAI 1-2</t>
  </si>
  <si>
    <t>FAI 1-3</t>
  </si>
  <si>
    <t>FAI 10-2</t>
  </si>
  <si>
    <t>FAI 10-3</t>
  </si>
  <si>
    <t>FAI 10-4</t>
  </si>
  <si>
    <t>FAI 10-5</t>
  </si>
  <si>
    <t>FAI 10-6</t>
  </si>
  <si>
    <t>FAI 10-7</t>
  </si>
  <si>
    <t>FAI 10-8</t>
  </si>
  <si>
    <t>FAI 22</t>
  </si>
  <si>
    <t>FAI 23</t>
  </si>
  <si>
    <t>FAI 24</t>
  </si>
  <si>
    <t>FAI 25</t>
  </si>
  <si>
    <t>FAI 67</t>
  </si>
  <si>
    <t>FAI 30-1</t>
  </si>
  <si>
    <t>FAI 30-2</t>
  </si>
  <si>
    <t>FAI 31-1</t>
  </si>
  <si>
    <t>FAI 31-2</t>
  </si>
  <si>
    <t>FAI 31-3</t>
  </si>
  <si>
    <t>FAI 31-4</t>
  </si>
  <si>
    <t>FAI 32-1</t>
  </si>
  <si>
    <t>FAI 32-2</t>
  </si>
  <si>
    <t>FAI 32-3</t>
  </si>
  <si>
    <t>FAI 32-4</t>
  </si>
  <si>
    <t>FAI 33</t>
  </si>
  <si>
    <t>FAI 34</t>
  </si>
  <si>
    <t>FAI 35</t>
  </si>
  <si>
    <t>FAI 38</t>
  </si>
  <si>
    <t>FAI 37</t>
  </si>
  <si>
    <t>FAI 36</t>
  </si>
  <si>
    <t>FAI 39-1</t>
  </si>
  <si>
    <t>FAI 39-2</t>
  </si>
  <si>
    <t>FAI 39-3</t>
  </si>
  <si>
    <t>FAI 40-1</t>
  </si>
  <si>
    <t>FAI 40-2</t>
  </si>
  <si>
    <t>FAI 65-1</t>
  </si>
  <si>
    <t>FAI 65-2</t>
  </si>
  <si>
    <t>FAI 65-3</t>
  </si>
  <si>
    <t>FAI 65-4</t>
  </si>
  <si>
    <t>FAI 41-1</t>
  </si>
  <si>
    <t>FAI 41-2</t>
  </si>
  <si>
    <t>FAI 42</t>
  </si>
  <si>
    <t>FAI 43</t>
  </si>
  <si>
    <t>FAI 44</t>
  </si>
  <si>
    <t>FAI 45-1</t>
  </si>
  <si>
    <t>FAI 45-2</t>
  </si>
  <si>
    <t>FAI 45-3</t>
  </si>
  <si>
    <t>FAI 66-1</t>
  </si>
  <si>
    <t>FAI 66-2</t>
  </si>
  <si>
    <t>FAI 66-3</t>
  </si>
  <si>
    <t>FAI 66-4</t>
  </si>
  <si>
    <t>FAI 46</t>
  </si>
  <si>
    <t>FAI 47</t>
  </si>
  <si>
    <t>FAI 56</t>
    <phoneticPr fontId="23" type="noConversion"/>
  </si>
  <si>
    <t>FAI 57</t>
    <phoneticPr fontId="23" type="noConversion"/>
  </si>
  <si>
    <t>A.1</t>
    <phoneticPr fontId="11" type="noConversion"/>
  </si>
  <si>
    <t>A.2</t>
  </si>
  <si>
    <t>B.1</t>
    <phoneticPr fontId="11" type="noConversion"/>
  </si>
  <si>
    <t>B.2</t>
    <phoneticPr fontId="11" type="noConversion"/>
  </si>
  <si>
    <t>1#-1</t>
    <phoneticPr fontId="23" type="noConversion"/>
  </si>
  <si>
    <t>1#-2</t>
  </si>
  <si>
    <t>1#-3</t>
  </si>
  <si>
    <t>FAI 77</t>
  </si>
  <si>
    <t>FAI 16.1</t>
  </si>
  <si>
    <t>FAI 16.2</t>
  </si>
  <si>
    <t>FAI 16.3</t>
  </si>
  <si>
    <t>FAI 17.1</t>
  </si>
  <si>
    <t>FAI 17.2</t>
  </si>
  <si>
    <t>FAI 13.2</t>
  </si>
  <si>
    <t xml:space="preserve">FAI 28.1 </t>
  </si>
  <si>
    <t xml:space="preserve">FAI 28.2 </t>
  </si>
  <si>
    <t>V88 Cap</t>
    <phoneticPr fontId="11" type="noConversion"/>
  </si>
  <si>
    <t>3-A4</t>
    <phoneticPr fontId="11" type="noConversion"/>
  </si>
  <si>
    <t>4-B4</t>
    <phoneticPr fontId="11" type="noConversion"/>
  </si>
  <si>
    <t>4-D2</t>
    <phoneticPr fontId="11" type="noConversion"/>
  </si>
  <si>
    <t>4-B2</t>
    <phoneticPr fontId="11" type="noConversion"/>
  </si>
  <si>
    <t>4-D2</t>
    <phoneticPr fontId="11" type="noConversion"/>
  </si>
  <si>
    <t>4-C2</t>
    <phoneticPr fontId="11" type="noConversion"/>
  </si>
  <si>
    <t>4-C2</t>
    <phoneticPr fontId="11" type="noConversion"/>
  </si>
  <si>
    <t>4-D1</t>
    <phoneticPr fontId="11" type="noConversion"/>
  </si>
  <si>
    <t>4-B1</t>
    <phoneticPr fontId="11" type="noConversion"/>
  </si>
  <si>
    <t>4-B4</t>
    <phoneticPr fontId="11" type="noConversion"/>
  </si>
  <si>
    <t>5-C4</t>
    <phoneticPr fontId="11" type="noConversion"/>
  </si>
  <si>
    <t>5-D4</t>
    <phoneticPr fontId="11" type="noConversion"/>
  </si>
  <si>
    <t>5-B3</t>
    <phoneticPr fontId="11" type="noConversion"/>
  </si>
  <si>
    <t>5-D3</t>
    <phoneticPr fontId="11" type="noConversion"/>
  </si>
  <si>
    <t>5-B4</t>
    <phoneticPr fontId="11" type="noConversion"/>
  </si>
  <si>
    <t>5-A4</t>
    <phoneticPr fontId="11" type="noConversion"/>
  </si>
  <si>
    <t>5-A3</t>
    <phoneticPr fontId="11" type="noConversion"/>
  </si>
  <si>
    <t>5-B3</t>
    <phoneticPr fontId="11" type="noConversion"/>
  </si>
  <si>
    <t>5-A2</t>
    <phoneticPr fontId="11" type="noConversion"/>
  </si>
  <si>
    <t>5-B2</t>
    <phoneticPr fontId="11" type="noConversion"/>
  </si>
  <si>
    <t>5-C2</t>
    <phoneticPr fontId="11" type="noConversion"/>
  </si>
  <si>
    <t>5-D2</t>
    <phoneticPr fontId="11" type="noConversion"/>
  </si>
  <si>
    <t>5-B2</t>
    <phoneticPr fontId="11" type="noConversion"/>
  </si>
  <si>
    <t>5-B1</t>
    <phoneticPr fontId="11" type="noConversion"/>
  </si>
  <si>
    <t>5-C1</t>
    <phoneticPr fontId="11" type="noConversion"/>
  </si>
  <si>
    <t>5-D3</t>
    <phoneticPr fontId="11" type="noConversion"/>
  </si>
  <si>
    <t>4-B1</t>
    <phoneticPr fontId="11" type="noConversion"/>
  </si>
  <si>
    <t>S.1</t>
    <phoneticPr fontId="11" type="noConversion"/>
  </si>
  <si>
    <t>S.2</t>
    <phoneticPr fontId="11" type="noConversion"/>
  </si>
  <si>
    <t>O</t>
    <phoneticPr fontId="11" type="noConversion"/>
  </si>
  <si>
    <t>P</t>
    <phoneticPr fontId="11" type="noConversion"/>
  </si>
  <si>
    <t>N</t>
    <phoneticPr fontId="11" type="noConversion"/>
  </si>
  <si>
    <t>X</t>
    <phoneticPr fontId="11" type="noConversion"/>
  </si>
  <si>
    <t>W</t>
    <phoneticPr fontId="11" type="noConversion"/>
  </si>
  <si>
    <t>V</t>
    <phoneticPr fontId="11" type="noConversion"/>
  </si>
  <si>
    <t>5-C1</t>
    <phoneticPr fontId="11" type="noConversion"/>
  </si>
  <si>
    <t>Q.1</t>
    <phoneticPr fontId="11" type="noConversion"/>
  </si>
  <si>
    <t>Q.2</t>
    <phoneticPr fontId="11" type="noConversion"/>
  </si>
  <si>
    <t>R.1</t>
    <phoneticPr fontId="11" type="noConversion"/>
  </si>
  <si>
    <t>R.2</t>
    <phoneticPr fontId="11" type="noConversion"/>
  </si>
  <si>
    <t>2#-1</t>
    <phoneticPr fontId="23" type="noConversion"/>
  </si>
  <si>
    <t>2#-2</t>
  </si>
  <si>
    <t>2#-3</t>
  </si>
  <si>
    <t>FAI 69</t>
    <phoneticPr fontId="23" type="noConversion"/>
  </si>
  <si>
    <t>FAI 70.1</t>
    <phoneticPr fontId="23" type="noConversion"/>
  </si>
  <si>
    <t>FAI 70.2</t>
    <phoneticPr fontId="23" type="noConversion"/>
  </si>
  <si>
    <t>FAI 14.1</t>
    <phoneticPr fontId="23" type="noConversion"/>
  </si>
  <si>
    <t>FAI 14.2</t>
    <phoneticPr fontId="23" type="noConversion"/>
  </si>
  <si>
    <t>FAI 13.1</t>
    <phoneticPr fontId="23" type="noConversion"/>
  </si>
  <si>
    <t>FAI 15.1</t>
    <phoneticPr fontId="23" type="noConversion"/>
  </si>
  <si>
    <t xml:space="preserve">FAI 27.1 </t>
    <phoneticPr fontId="23" type="noConversion"/>
  </si>
  <si>
    <t>FAI 27.2</t>
  </si>
  <si>
    <t>FAI 29.1</t>
    <phoneticPr fontId="23" type="noConversion"/>
  </si>
  <si>
    <t>FAI 29.2</t>
  </si>
  <si>
    <t>FAI 49.1</t>
    <phoneticPr fontId="23" type="noConversion"/>
  </si>
  <si>
    <t>FAI 49.2</t>
    <phoneticPr fontId="23" type="noConversion"/>
  </si>
  <si>
    <t>FAI 3-12</t>
    <phoneticPr fontId="23" type="noConversion"/>
  </si>
  <si>
    <t>FAI 4-12</t>
    <phoneticPr fontId="23" type="noConversion"/>
  </si>
  <si>
    <t>FAI 5.1-12</t>
    <phoneticPr fontId="23" type="noConversion"/>
  </si>
  <si>
    <t>FAI 5.2-12</t>
    <phoneticPr fontId="23" type="noConversion"/>
  </si>
  <si>
    <t>FAI 62-12</t>
    <phoneticPr fontId="23" type="noConversion"/>
  </si>
  <si>
    <t>FAI 63-12</t>
    <phoneticPr fontId="23" type="noConversion"/>
  </si>
  <si>
    <t>FAI 3-3</t>
    <phoneticPr fontId="23" type="noConversion"/>
  </si>
  <si>
    <t>FAI 5.1-3</t>
    <phoneticPr fontId="23" type="noConversion"/>
  </si>
  <si>
    <t>FAI 5.2-3</t>
    <phoneticPr fontId="23" type="noConversion"/>
  </si>
  <si>
    <t>FAI 5.1-4</t>
    <phoneticPr fontId="23" type="noConversion"/>
  </si>
  <si>
    <t>FAI 5.2-4</t>
    <phoneticPr fontId="23" type="noConversion"/>
  </si>
  <si>
    <t>FAI 5.1-5</t>
    <phoneticPr fontId="23" type="noConversion"/>
  </si>
  <si>
    <t>FAI 5.2-5</t>
    <phoneticPr fontId="23" type="noConversion"/>
  </si>
  <si>
    <t>FAI 3-11</t>
    <phoneticPr fontId="23" type="noConversion"/>
  </si>
  <si>
    <t>FAI 5.1-11</t>
    <phoneticPr fontId="23" type="noConversion"/>
  </si>
  <si>
    <t>FAI 5.2-11</t>
    <phoneticPr fontId="23" type="noConversion"/>
  </si>
  <si>
    <t>FAI 5.1-13</t>
    <phoneticPr fontId="23" type="noConversion"/>
  </si>
  <si>
    <t>FAI 5.2-13</t>
    <phoneticPr fontId="23" type="noConversion"/>
  </si>
  <si>
    <t>FAI 3-13</t>
    <phoneticPr fontId="23" type="noConversion"/>
  </si>
  <si>
    <t>FAI 4-13</t>
    <phoneticPr fontId="23" type="noConversion"/>
  </si>
  <si>
    <t>FAI 62-13</t>
    <phoneticPr fontId="23" type="noConversion"/>
  </si>
  <si>
    <t>FAI 63-13</t>
    <phoneticPr fontId="23" type="noConversion"/>
  </si>
  <si>
    <t>FAI 10-1</t>
    <phoneticPr fontId="23" type="noConversion"/>
  </si>
  <si>
    <t>FAI 48.1</t>
    <phoneticPr fontId="23" type="noConversion"/>
  </si>
  <si>
    <t>FAI 48.2</t>
  </si>
  <si>
    <t>FAI 50.1</t>
    <phoneticPr fontId="23" type="noConversion"/>
  </si>
  <si>
    <t>FAI 50.2</t>
  </si>
  <si>
    <t>FAI 52.1</t>
    <phoneticPr fontId="23" type="noConversion"/>
  </si>
  <si>
    <t>FAI 52.2</t>
  </si>
  <si>
    <t>FAI 54.1</t>
    <phoneticPr fontId="23" type="noConversion"/>
  </si>
  <si>
    <t>FAI 54.2</t>
    <phoneticPr fontId="23" type="noConversion"/>
  </si>
  <si>
    <t>FAI 55.1</t>
    <phoneticPr fontId="23" type="noConversion"/>
  </si>
  <si>
    <t>FAI 55.2</t>
  </si>
  <si>
    <t>FAI 78.1</t>
    <phoneticPr fontId="23" type="noConversion"/>
  </si>
  <si>
    <t>FAI 78.2</t>
  </si>
  <si>
    <t>FAI 79.1</t>
    <phoneticPr fontId="23" type="noConversion"/>
  </si>
  <si>
    <t>FAI 79.2</t>
  </si>
  <si>
    <t>FAI 74.1</t>
    <phoneticPr fontId="23" type="noConversion"/>
  </si>
  <si>
    <t>FAI 74.2</t>
  </si>
  <si>
    <t>FAI 74.3</t>
  </si>
  <si>
    <t>818-06496</t>
    <phoneticPr fontId="11" type="noConversion"/>
  </si>
  <si>
    <t>A</t>
    <phoneticPr fontId="11" type="noConversion"/>
  </si>
  <si>
    <t>H.1</t>
    <phoneticPr fontId="11" type="noConversion"/>
  </si>
  <si>
    <t>2-C3</t>
    <phoneticPr fontId="11" type="noConversion"/>
  </si>
  <si>
    <t>H.2</t>
    <phoneticPr fontId="11" type="noConversion"/>
  </si>
  <si>
    <t>U.1</t>
    <phoneticPr fontId="11" type="noConversion"/>
  </si>
  <si>
    <t>U.2</t>
  </si>
  <si>
    <t>T.1</t>
    <phoneticPr fontId="11" type="noConversion"/>
  </si>
  <si>
    <t>T.2</t>
    <phoneticPr fontId="11" type="noConversion"/>
  </si>
  <si>
    <t>J.1</t>
    <phoneticPr fontId="11" type="noConversion"/>
  </si>
  <si>
    <t>J.2</t>
    <phoneticPr fontId="11" type="noConversion"/>
  </si>
  <si>
    <t>R.1</t>
    <phoneticPr fontId="11" type="noConversion"/>
  </si>
  <si>
    <t>R.2</t>
    <phoneticPr fontId="11" type="noConversion"/>
  </si>
  <si>
    <t>V.1</t>
    <phoneticPr fontId="11" type="noConversion"/>
  </si>
  <si>
    <t>V.2</t>
    <phoneticPr fontId="11" type="noConversion"/>
  </si>
  <si>
    <t>L.1</t>
    <phoneticPr fontId="11" type="noConversion"/>
  </si>
  <si>
    <t>L.2</t>
    <phoneticPr fontId="11" type="noConversion"/>
  </si>
  <si>
    <t>W.1</t>
    <phoneticPr fontId="11" type="noConversion"/>
  </si>
  <si>
    <t>W.2</t>
    <phoneticPr fontId="11" type="noConversion"/>
  </si>
  <si>
    <t>X.1</t>
    <phoneticPr fontId="11" type="noConversion"/>
  </si>
  <si>
    <t>X.2</t>
    <phoneticPr fontId="11" type="noConversion"/>
  </si>
  <si>
    <t>M.1</t>
    <phoneticPr fontId="11" type="noConversion"/>
  </si>
  <si>
    <t>M.2</t>
    <phoneticPr fontId="11" type="noConversion"/>
  </si>
  <si>
    <t>K.1</t>
    <phoneticPr fontId="11" type="noConversion"/>
  </si>
  <si>
    <t>K.2</t>
    <phoneticPr fontId="11" type="noConversion"/>
  </si>
  <si>
    <t>Q.1</t>
    <phoneticPr fontId="11" type="noConversion"/>
  </si>
  <si>
    <t>Q.2</t>
    <phoneticPr fontId="11" type="noConversion"/>
  </si>
  <si>
    <t>N.1</t>
    <phoneticPr fontId="11" type="noConversion"/>
  </si>
  <si>
    <t>N.2</t>
    <phoneticPr fontId="11" type="noConversion"/>
  </si>
  <si>
    <t>P.1</t>
    <phoneticPr fontId="11" type="noConversion"/>
  </si>
  <si>
    <t>P.2</t>
    <phoneticPr fontId="11" type="noConversion"/>
  </si>
  <si>
    <t>O.1</t>
    <phoneticPr fontId="11" type="noConversion"/>
  </si>
  <si>
    <t>O.2</t>
    <phoneticPr fontId="11" type="noConversion"/>
  </si>
  <si>
    <t>G.1</t>
    <phoneticPr fontId="11" type="noConversion"/>
  </si>
  <si>
    <t>G.2</t>
    <phoneticPr fontId="11" type="noConversion"/>
  </si>
  <si>
    <t>Y.1</t>
    <phoneticPr fontId="11" type="noConversion"/>
  </si>
  <si>
    <t>Y.2</t>
    <phoneticPr fontId="11" type="noConversion"/>
  </si>
  <si>
    <t>F.1</t>
    <phoneticPr fontId="11" type="noConversion"/>
  </si>
  <si>
    <t>F.2</t>
    <phoneticPr fontId="11" type="noConversion"/>
  </si>
  <si>
    <t>E.1</t>
    <phoneticPr fontId="11" type="noConversion"/>
  </si>
  <si>
    <t>E.2</t>
    <phoneticPr fontId="11" type="noConversion"/>
  </si>
  <si>
    <t>Z.1</t>
    <phoneticPr fontId="11" type="noConversion"/>
  </si>
  <si>
    <t>Z.2</t>
    <phoneticPr fontId="11" type="noConversion"/>
  </si>
  <si>
    <t>D.1</t>
    <phoneticPr fontId="11" type="noConversion"/>
  </si>
  <si>
    <t>D.2</t>
    <phoneticPr fontId="11" type="noConversion"/>
  </si>
  <si>
    <t>AA.1</t>
    <phoneticPr fontId="11" type="noConversion"/>
  </si>
  <si>
    <t>AA.2</t>
    <phoneticPr fontId="11" type="noConversion"/>
  </si>
  <si>
    <t>AB.1</t>
    <phoneticPr fontId="11" type="noConversion"/>
  </si>
  <si>
    <t>AB.2</t>
    <phoneticPr fontId="11" type="noConversion"/>
  </si>
  <si>
    <t>AC.1</t>
    <phoneticPr fontId="11" type="noConversion"/>
  </si>
  <si>
    <t>AC.2</t>
    <phoneticPr fontId="11" type="noConversion"/>
  </si>
  <si>
    <t>C.1</t>
    <phoneticPr fontId="11" type="noConversion"/>
  </si>
  <si>
    <t>C.2</t>
    <phoneticPr fontId="11" type="noConversion"/>
  </si>
  <si>
    <t>B.1</t>
    <phoneticPr fontId="11" type="noConversion"/>
  </si>
  <si>
    <t>B.2</t>
    <phoneticPr fontId="11" type="noConversion"/>
  </si>
  <si>
    <t>AD.1</t>
    <phoneticPr fontId="11" type="noConversion"/>
  </si>
  <si>
    <t>AD.2</t>
    <phoneticPr fontId="11" type="noConversion"/>
  </si>
  <si>
    <t>AE.1</t>
    <phoneticPr fontId="11" type="noConversion"/>
  </si>
  <si>
    <t>AE.2</t>
    <phoneticPr fontId="11" type="noConversion"/>
  </si>
  <si>
    <t>AI.1</t>
    <phoneticPr fontId="11" type="noConversion"/>
  </si>
  <si>
    <t>AI.2</t>
    <phoneticPr fontId="11" type="noConversion"/>
  </si>
  <si>
    <t>AI.3</t>
  </si>
  <si>
    <t>AI.4</t>
  </si>
  <si>
    <t>AI.5</t>
  </si>
  <si>
    <t>AI.6</t>
  </si>
  <si>
    <t>AI.7</t>
  </si>
  <si>
    <t>AI.8</t>
  </si>
  <si>
    <t>AI.9</t>
  </si>
  <si>
    <t>AI.10</t>
    <phoneticPr fontId="11" type="noConversion"/>
  </si>
  <si>
    <t>AI.11</t>
    <phoneticPr fontId="11" type="noConversion"/>
  </si>
  <si>
    <t>AI.12</t>
  </si>
  <si>
    <t>AI.13</t>
  </si>
  <si>
    <t>AI.14</t>
  </si>
  <si>
    <t>AI.15</t>
  </si>
  <si>
    <t>AI.16</t>
  </si>
  <si>
    <t>AI.17</t>
  </si>
  <si>
    <t>AI.18</t>
  </si>
  <si>
    <t>AI.19</t>
  </si>
  <si>
    <t>AI.20</t>
  </si>
  <si>
    <t>AI.21</t>
  </si>
  <si>
    <t>AI.22</t>
  </si>
  <si>
    <t>AI.23</t>
  </si>
  <si>
    <t>AI.24</t>
  </si>
  <si>
    <t>AI.25</t>
  </si>
  <si>
    <t>AI.26</t>
  </si>
  <si>
    <t>AI.27</t>
  </si>
  <si>
    <t>AI.28</t>
  </si>
  <si>
    <t>AI.29</t>
  </si>
  <si>
    <t>AI.30</t>
  </si>
  <si>
    <t>AI.31</t>
  </si>
  <si>
    <t>AI.32</t>
  </si>
  <si>
    <t>AI.33</t>
  </si>
  <si>
    <t>AI.34</t>
  </si>
  <si>
    <t>AI.35</t>
  </si>
  <si>
    <t>AI.36</t>
  </si>
  <si>
    <t>AI.37</t>
  </si>
  <si>
    <t>AI.38</t>
  </si>
  <si>
    <t>AI.39</t>
  </si>
  <si>
    <t>AI.40</t>
  </si>
  <si>
    <t>AI.41</t>
  </si>
  <si>
    <t>AI.42</t>
  </si>
  <si>
    <t>AI.43</t>
  </si>
  <si>
    <t>AI.44</t>
  </si>
  <si>
    <t>AI.45</t>
  </si>
  <si>
    <t>AI.46</t>
  </si>
  <si>
    <t>AI.47</t>
  </si>
  <si>
    <t>AI.48</t>
  </si>
  <si>
    <t>AI.49</t>
  </si>
  <si>
    <t>AI.50</t>
  </si>
  <si>
    <t>AI.51</t>
  </si>
  <si>
    <t>AI.52</t>
  </si>
  <si>
    <t>AI.53</t>
  </si>
  <si>
    <t>AI.54</t>
  </si>
  <si>
    <t>AI.55</t>
  </si>
  <si>
    <t>AI.56</t>
  </si>
  <si>
    <t>AI.57</t>
  </si>
  <si>
    <t>AI.58</t>
  </si>
  <si>
    <t>AI.59</t>
  </si>
  <si>
    <t>AI.60</t>
  </si>
  <si>
    <t>AI.61</t>
  </si>
  <si>
    <t>AI.62</t>
  </si>
  <si>
    <t>AI.63</t>
  </si>
  <si>
    <t>AI.64</t>
  </si>
  <si>
    <t>AI.65</t>
  </si>
  <si>
    <t>AI.66</t>
  </si>
  <si>
    <t>AI.67</t>
  </si>
  <si>
    <t>AI.68</t>
  </si>
  <si>
    <t>AI.69</t>
  </si>
  <si>
    <t>AI.70</t>
  </si>
  <si>
    <t>AI.71</t>
  </si>
  <si>
    <t>AI.72</t>
  </si>
  <si>
    <t>AI.73</t>
  </si>
  <si>
    <t>AI.74</t>
  </si>
  <si>
    <t>AI.75</t>
  </si>
  <si>
    <t>AI.76</t>
  </si>
  <si>
    <t>AI.77</t>
  </si>
  <si>
    <t>AI.78</t>
  </si>
  <si>
    <t>AI.79</t>
  </si>
  <si>
    <t>AI.80</t>
  </si>
  <si>
    <t>AI.81</t>
  </si>
  <si>
    <t>AI.82</t>
  </si>
  <si>
    <t>AI.83</t>
  </si>
  <si>
    <t>AI.84</t>
  </si>
  <si>
    <t>AI.85</t>
  </si>
  <si>
    <t>AI.86</t>
  </si>
  <si>
    <t>AI.87</t>
  </si>
  <si>
    <t>AI.88</t>
  </si>
  <si>
    <t>AI.89</t>
  </si>
  <si>
    <t>AI.90</t>
  </si>
  <si>
    <t>AI.91</t>
  </si>
  <si>
    <t>AI.92</t>
  </si>
  <si>
    <t>AI.93</t>
  </si>
  <si>
    <t>AI.94</t>
  </si>
  <si>
    <t>AI.95</t>
  </si>
  <si>
    <t>AI.96</t>
  </si>
  <si>
    <t>AI.97</t>
  </si>
  <si>
    <t>AI.98</t>
  </si>
  <si>
    <t>AI.99</t>
  </si>
  <si>
    <t>AI.100</t>
  </si>
  <si>
    <t>AI.101</t>
  </si>
  <si>
    <t>AI.102</t>
  </si>
  <si>
    <t>AI.103</t>
  </si>
  <si>
    <t>AI.104</t>
  </si>
  <si>
    <t>AI.105</t>
  </si>
  <si>
    <t>AI.106</t>
  </si>
  <si>
    <t>AI.107</t>
  </si>
  <si>
    <t>AI.108</t>
  </si>
  <si>
    <t>AI.109</t>
  </si>
  <si>
    <t>AI.110</t>
  </si>
  <si>
    <t>AJ.1</t>
    <phoneticPr fontId="11" type="noConversion"/>
  </si>
  <si>
    <t>AJ.2</t>
  </si>
  <si>
    <t>AJ.3</t>
  </si>
  <si>
    <t>AJ.4</t>
  </si>
  <si>
    <t>AJ.5</t>
  </si>
  <si>
    <t>AJ.6</t>
  </si>
  <si>
    <t>AJ.7</t>
  </si>
  <si>
    <t>AJ.8</t>
  </si>
  <si>
    <t>AJ.9</t>
  </si>
  <si>
    <t>AJ.10</t>
  </si>
  <si>
    <t>AJ.11</t>
  </si>
  <si>
    <t>AJ.12</t>
  </si>
  <si>
    <t>AJ.13</t>
  </si>
  <si>
    <t>AJ.14</t>
  </si>
  <si>
    <t>AJ.15</t>
  </si>
  <si>
    <t>AJ.16</t>
  </si>
  <si>
    <t>AJ.17</t>
  </si>
  <si>
    <t>AJ.18</t>
  </si>
  <si>
    <t>AJ.19</t>
  </si>
  <si>
    <t>AJ.20</t>
  </si>
  <si>
    <t>AJ.21</t>
  </si>
  <si>
    <t>AJ.22</t>
  </si>
  <si>
    <t>AJ.23</t>
  </si>
  <si>
    <t>AJ.24</t>
  </si>
  <si>
    <t>AJ.25</t>
  </si>
  <si>
    <t>AJ.26</t>
  </si>
  <si>
    <t>AJ.27</t>
  </si>
  <si>
    <t>AJ.28</t>
  </si>
  <si>
    <t>AJ.29</t>
  </si>
  <si>
    <t>AJ.30</t>
  </si>
  <si>
    <t>AJ.31</t>
  </si>
  <si>
    <t>AJ.32</t>
  </si>
  <si>
    <t>AJ.33</t>
  </si>
  <si>
    <t>AJ.34</t>
  </si>
  <si>
    <t>AJ.35</t>
  </si>
  <si>
    <t>AJ.36</t>
  </si>
  <si>
    <t>AJ.37</t>
  </si>
  <si>
    <t>AJ.38</t>
  </si>
  <si>
    <t>AJ.39</t>
  </si>
  <si>
    <t>AJ.40</t>
  </si>
  <si>
    <t>AJ.41</t>
  </si>
  <si>
    <t>AJ.42</t>
  </si>
  <si>
    <t>AJ.43</t>
  </si>
  <si>
    <t>AJ.44</t>
  </si>
  <si>
    <t>AJ.45</t>
  </si>
  <si>
    <t>AJ.46</t>
  </si>
  <si>
    <t>AJ.47</t>
  </si>
  <si>
    <t>AJ.48</t>
  </si>
  <si>
    <t>AJ.49</t>
  </si>
  <si>
    <t>AJ.50</t>
  </si>
  <si>
    <t>AJ.51</t>
  </si>
  <si>
    <t>AJ.52</t>
  </si>
  <si>
    <t>AJ.53</t>
  </si>
  <si>
    <t>AJ.54</t>
  </si>
  <si>
    <t>AJ.55</t>
  </si>
  <si>
    <t>AJ.56</t>
  </si>
  <si>
    <t>AJ.57</t>
  </si>
  <si>
    <t>AJ.58</t>
  </si>
  <si>
    <t>AJ.59</t>
  </si>
  <si>
    <t>AJ.60</t>
  </si>
  <si>
    <t>AJ.61</t>
  </si>
  <si>
    <t>AJ.62</t>
  </si>
  <si>
    <t>AJ.63</t>
  </si>
  <si>
    <t>AJ.64</t>
  </si>
  <si>
    <t>AJ.65</t>
  </si>
  <si>
    <t>AJ.66</t>
  </si>
  <si>
    <t>AJ.67</t>
  </si>
  <si>
    <t>AJ.68</t>
  </si>
  <si>
    <t>AJ.69</t>
  </si>
  <si>
    <t>AJ.70</t>
  </si>
  <si>
    <t>AJ.71</t>
  </si>
  <si>
    <t>AJ.72</t>
  </si>
  <si>
    <t>AJ.73</t>
  </si>
  <si>
    <t>AJ.74</t>
  </si>
  <si>
    <t>AJ.75</t>
  </si>
  <si>
    <t>AJ.76</t>
  </si>
  <si>
    <t>AJ.77</t>
  </si>
  <si>
    <t>AJ.78</t>
  </si>
  <si>
    <t>AJ.79</t>
  </si>
  <si>
    <t>AJ.80</t>
  </si>
  <si>
    <t>AJ.81</t>
  </si>
  <si>
    <t>AJ.82</t>
  </si>
  <si>
    <t>AJ.83</t>
  </si>
  <si>
    <t>AJ.84</t>
  </si>
  <si>
    <t>AJ.85</t>
  </si>
  <si>
    <t>AJ.86</t>
  </si>
  <si>
    <t>AJ.87</t>
  </si>
  <si>
    <t>AJ.88</t>
  </si>
  <si>
    <t>AJ.89</t>
  </si>
  <si>
    <t>AJ.90</t>
  </si>
  <si>
    <t>AJ.91</t>
  </si>
  <si>
    <t>AJ.92</t>
  </si>
  <si>
    <t>AJ.93</t>
  </si>
  <si>
    <t>AJ.94</t>
  </si>
  <si>
    <t>AJ.95</t>
  </si>
  <si>
    <t>AJ.96</t>
  </si>
  <si>
    <t>AJ.97</t>
  </si>
  <si>
    <t>AJ.98</t>
  </si>
  <si>
    <t>AJ.99</t>
  </si>
  <si>
    <t>AJ.100</t>
  </si>
  <si>
    <t>AJ.101</t>
  </si>
  <si>
    <t>AJ.102</t>
  </si>
  <si>
    <t>AJ.103</t>
  </si>
  <si>
    <t>AJ.104</t>
  </si>
  <si>
    <t>AJ.105</t>
  </si>
  <si>
    <t>AJ.106</t>
  </si>
  <si>
    <t>AJ.107</t>
  </si>
  <si>
    <t>AJ.108</t>
  </si>
  <si>
    <t>AJ.109</t>
  </si>
  <si>
    <t>AJ.110</t>
  </si>
  <si>
    <t>AF.1</t>
    <phoneticPr fontId="11" type="noConversion"/>
  </si>
  <si>
    <t>AF.2</t>
    <phoneticPr fontId="11" type="noConversion"/>
  </si>
  <si>
    <t>AG.1</t>
    <phoneticPr fontId="11" type="noConversion"/>
  </si>
  <si>
    <t>AG.2</t>
    <phoneticPr fontId="11" type="noConversion"/>
  </si>
  <si>
    <t>AP.1</t>
    <phoneticPr fontId="11" type="noConversion"/>
  </si>
  <si>
    <t>AP.2</t>
    <phoneticPr fontId="11" type="noConversion"/>
  </si>
  <si>
    <t>AP.3</t>
    <phoneticPr fontId="11" type="noConversion"/>
  </si>
  <si>
    <t>AO.1</t>
    <phoneticPr fontId="11" type="noConversion"/>
  </si>
  <si>
    <t>AO.2</t>
  </si>
  <si>
    <t>AO.3</t>
  </si>
  <si>
    <t>AL.A1</t>
    <phoneticPr fontId="11" type="noConversion"/>
  </si>
  <si>
    <t>AL.A2</t>
  </si>
  <si>
    <t>AL.A3</t>
  </si>
  <si>
    <t>AL.A4</t>
  </si>
  <si>
    <t>AL.A5</t>
  </si>
  <si>
    <t>AL.A6</t>
  </si>
  <si>
    <t>AL.A7</t>
  </si>
  <si>
    <t>AL.A8</t>
  </si>
  <si>
    <t>AL.A9</t>
  </si>
  <si>
    <t>AL.A10</t>
  </si>
  <si>
    <t>AL.A11</t>
  </si>
  <si>
    <t>AL.A12</t>
  </si>
  <si>
    <t>AL.A13</t>
  </si>
  <si>
    <t>AL.A14</t>
  </si>
  <si>
    <t>AL.A15</t>
  </si>
  <si>
    <t>3-B2</t>
    <phoneticPr fontId="11" type="noConversion"/>
  </si>
  <si>
    <t>3-C2</t>
    <phoneticPr fontId="11" type="noConversion"/>
  </si>
  <si>
    <t>3-A3</t>
    <phoneticPr fontId="11" type="noConversion"/>
  </si>
  <si>
    <t>I.1</t>
    <phoneticPr fontId="11" type="noConversion"/>
  </si>
  <si>
    <t>I.2</t>
    <phoneticPr fontId="11" type="noConversion"/>
  </si>
  <si>
    <t>AH.1</t>
    <phoneticPr fontId="11" type="noConversion"/>
  </si>
  <si>
    <t>AH.2</t>
  </si>
  <si>
    <t>AH.3</t>
  </si>
  <si>
    <t>AH.4</t>
  </si>
  <si>
    <t>AH.5</t>
  </si>
  <si>
    <t>AH.6</t>
  </si>
  <si>
    <t>AH.7</t>
  </si>
  <si>
    <t>AH.8</t>
  </si>
  <si>
    <t>AH.9</t>
  </si>
  <si>
    <t>AH.10</t>
  </si>
  <si>
    <t>AH.11</t>
  </si>
  <si>
    <t>AH.12</t>
  </si>
  <si>
    <t>AH.13</t>
  </si>
  <si>
    <t>AH.14</t>
  </si>
  <si>
    <t>AH.15</t>
  </si>
  <si>
    <t>AH.16</t>
  </si>
  <si>
    <t>AH.17</t>
  </si>
  <si>
    <t>AH.18</t>
  </si>
  <si>
    <t>AH.19</t>
  </si>
  <si>
    <t>AH.20</t>
  </si>
  <si>
    <t>AH.21</t>
  </si>
  <si>
    <t>AH.22</t>
  </si>
  <si>
    <t>AH.23</t>
  </si>
  <si>
    <t>AH.24</t>
  </si>
  <si>
    <t>AH.25</t>
  </si>
  <si>
    <t>AH.26</t>
  </si>
  <si>
    <t>AH.27</t>
  </si>
  <si>
    <t>AH.28</t>
  </si>
  <si>
    <t>AH.29</t>
  </si>
  <si>
    <t>AH.30</t>
  </si>
  <si>
    <t>AH.31</t>
  </si>
  <si>
    <t>AH.32</t>
  </si>
  <si>
    <t>AH.33</t>
  </si>
  <si>
    <t>AH.34</t>
  </si>
  <si>
    <t>AH.35</t>
  </si>
  <si>
    <t>AH.36</t>
  </si>
  <si>
    <t>AH.37</t>
  </si>
  <si>
    <t>AH.38</t>
  </si>
  <si>
    <t>AH.39</t>
  </si>
  <si>
    <t>AH.40</t>
  </si>
  <si>
    <t>AH.41</t>
  </si>
  <si>
    <t>AH.42</t>
  </si>
  <si>
    <t>AH.43</t>
  </si>
  <si>
    <t>AH.44</t>
  </si>
  <si>
    <t>AH.45</t>
  </si>
  <si>
    <t>AH.46</t>
  </si>
  <si>
    <t>AH.47</t>
  </si>
  <si>
    <t>AM.A1</t>
  </si>
  <si>
    <t>AM.A2</t>
  </si>
  <si>
    <t>AM.A3</t>
  </si>
  <si>
    <t>AM.A4</t>
  </si>
  <si>
    <t>AM.A5</t>
  </si>
  <si>
    <t>AM.A6</t>
  </si>
  <si>
    <t>AM.A7</t>
  </si>
  <si>
    <t>AM.A8</t>
  </si>
  <si>
    <t>AM.A9</t>
  </si>
  <si>
    <t>AM.A10</t>
  </si>
  <si>
    <t>AM.A11</t>
  </si>
  <si>
    <t>AM.A12</t>
  </si>
  <si>
    <t>AM.A13</t>
  </si>
  <si>
    <t>AM.A14</t>
  </si>
  <si>
    <t>AM.A15</t>
  </si>
  <si>
    <t>3-D1</t>
    <phoneticPr fontId="11" type="noConversion"/>
  </si>
  <si>
    <t>3-D3</t>
    <phoneticPr fontId="11" type="noConversion"/>
  </si>
  <si>
    <t>3-D4</t>
    <phoneticPr fontId="11" type="noConversion"/>
  </si>
  <si>
    <t>3-C4</t>
    <phoneticPr fontId="11" type="noConversion"/>
  </si>
  <si>
    <t>3-B4</t>
    <phoneticPr fontId="11" type="noConversion"/>
  </si>
  <si>
    <t>AN.A1</t>
  </si>
  <si>
    <t>AN.A2</t>
  </si>
  <si>
    <t>AN.A3</t>
  </si>
  <si>
    <t>AN.A4</t>
  </si>
  <si>
    <t>AN.A5</t>
  </si>
  <si>
    <t>AN.A6</t>
  </si>
  <si>
    <t>AN.A7</t>
  </si>
  <si>
    <t>AN.A8</t>
  </si>
  <si>
    <t>AN.A9</t>
  </si>
  <si>
    <t>AN.A10</t>
  </si>
  <si>
    <t>AN.A11</t>
  </si>
  <si>
    <t>AN.A12</t>
  </si>
  <si>
    <t>AN.A13</t>
  </si>
  <si>
    <t>AN.A14</t>
  </si>
  <si>
    <t>AN.A15</t>
  </si>
  <si>
    <t>3-A1</t>
    <phoneticPr fontId="11" type="noConversion"/>
  </si>
  <si>
    <t>AQ.A1</t>
  </si>
  <si>
    <t>AQ.A2</t>
  </si>
  <si>
    <t>AQ.A3</t>
  </si>
  <si>
    <t>AQ.A4</t>
  </si>
  <si>
    <t>AQ.A5</t>
  </si>
  <si>
    <t>AQ.A6</t>
  </si>
  <si>
    <t>AQ.A7</t>
  </si>
  <si>
    <t>AQ.A8</t>
  </si>
  <si>
    <t>AQ.A9</t>
  </si>
  <si>
    <t>AQ.A10</t>
  </si>
  <si>
    <t>AQ.A11</t>
  </si>
  <si>
    <t>AQ.A12</t>
  </si>
  <si>
    <t>AQ.A13</t>
  </si>
  <si>
    <t>AQ.A14</t>
  </si>
  <si>
    <t>AQ.A15</t>
  </si>
  <si>
    <t>3-B1</t>
    <phoneticPr fontId="11" type="noConversion"/>
  </si>
  <si>
    <t>AR.A1</t>
  </si>
  <si>
    <t>AR.A2</t>
  </si>
  <si>
    <t>AR.A3</t>
  </si>
  <si>
    <t>AR.A4</t>
  </si>
  <si>
    <t>AR.A5</t>
  </si>
  <si>
    <t>AR.A6</t>
  </si>
  <si>
    <t>AR.A7</t>
  </si>
  <si>
    <t>AR.A9</t>
  </si>
  <si>
    <t>AR.A10</t>
  </si>
  <si>
    <t>AR.A11</t>
  </si>
  <si>
    <t>AR.A12</t>
  </si>
  <si>
    <t>AR.A13</t>
  </si>
  <si>
    <t>AR.A14</t>
  </si>
  <si>
    <t>AR.A15</t>
  </si>
  <si>
    <t>AS.1</t>
    <phoneticPr fontId="11" type="noConversion"/>
  </si>
  <si>
    <t>AS.2</t>
    <phoneticPr fontId="11" type="noConversion"/>
  </si>
  <si>
    <t>3-A3</t>
    <phoneticPr fontId="11" type="noConversion"/>
  </si>
  <si>
    <t>3-D1</t>
    <phoneticPr fontId="11" type="noConversion"/>
  </si>
  <si>
    <t>AT.1</t>
    <phoneticPr fontId="11" type="noConversion"/>
  </si>
  <si>
    <t>AT.2</t>
    <phoneticPr fontId="11" type="noConversion"/>
  </si>
  <si>
    <t>AT.3</t>
    <phoneticPr fontId="11" type="noConversion"/>
  </si>
  <si>
    <t>AU.1</t>
    <phoneticPr fontId="11" type="noConversion"/>
  </si>
  <si>
    <t>AU.2</t>
    <phoneticPr fontId="11" type="noConversion"/>
  </si>
  <si>
    <t>AU.3</t>
    <phoneticPr fontId="11" type="noConversion"/>
  </si>
  <si>
    <t>AV.A1</t>
  </si>
  <si>
    <t>AV.A2</t>
  </si>
  <si>
    <t>AV.A3</t>
  </si>
  <si>
    <t>AV.A4</t>
  </si>
  <si>
    <t>AV.A5</t>
  </si>
  <si>
    <t>AV.A6</t>
  </si>
  <si>
    <t>AV.A7</t>
  </si>
  <si>
    <t>AV.A8</t>
  </si>
  <si>
    <t>AV.A9</t>
  </si>
  <si>
    <t>AV.A10</t>
  </si>
  <si>
    <t>AV.A11</t>
  </si>
  <si>
    <t>AV.A12</t>
  </si>
  <si>
    <t>AV.A13</t>
  </si>
  <si>
    <t>AV.A14</t>
  </si>
  <si>
    <t>AV.A15</t>
  </si>
  <si>
    <t>2-B1</t>
    <phoneticPr fontId="11" type="noConversion"/>
  </si>
  <si>
    <t>3-D3</t>
    <phoneticPr fontId="11" type="noConversion"/>
  </si>
  <si>
    <t>AW.1</t>
    <phoneticPr fontId="11" type="noConversion"/>
  </si>
  <si>
    <t>AW.2</t>
    <phoneticPr fontId="11" type="noConversion"/>
  </si>
  <si>
    <t>AX.1</t>
    <phoneticPr fontId="11" type="noConversion"/>
  </si>
  <si>
    <t>AX.2</t>
    <phoneticPr fontId="11" type="noConversion"/>
  </si>
  <si>
    <t>The structure here is different from other structures.</t>
    <phoneticPr fontId="11" type="noConversion"/>
  </si>
  <si>
    <t>The theoretical value of 3D crawl is 3.820.</t>
    <phoneticPr fontId="11" type="noConversion"/>
  </si>
  <si>
    <t>OMM11+CMM10+HG</t>
    <phoneticPr fontId="11" type="noConversion"/>
  </si>
  <si>
    <t>J01/Cav.1</t>
    <phoneticPr fontId="11" type="noConversion"/>
  </si>
  <si>
    <t>X ??</t>
  </si>
  <si>
    <t>XY ??</t>
  </si>
  <si>
    <t>Z ??</t>
  </si>
  <si>
    <t>Y ??</t>
  </si>
  <si>
    <t>26_P</t>
    <phoneticPr fontId="11" type="noConversion"/>
  </si>
  <si>
    <t>26_X</t>
    <phoneticPr fontId="11" type="noConversion"/>
  </si>
  <si>
    <t>26_Y</t>
    <phoneticPr fontId="11" type="noConversion"/>
  </si>
  <si>
    <t>26_X</t>
    <phoneticPr fontId="23" type="noConversion"/>
  </si>
  <si>
    <t>26_Y</t>
    <phoneticPr fontId="23" type="noConversion"/>
  </si>
  <si>
    <t>26_P</t>
    <phoneticPr fontId="23" type="noConversion"/>
  </si>
  <si>
    <t>26_DF</t>
    <phoneticPr fontId="23" type="noConversion"/>
  </si>
  <si>
    <t>26_DF</t>
    <phoneticPr fontId="11" type="noConversion"/>
  </si>
  <si>
    <t>117.10</t>
    <phoneticPr fontId="11" type="noConversion"/>
  </si>
  <si>
    <t>117.20</t>
    <phoneticPr fontId="11" type="noConversion"/>
  </si>
  <si>
    <t>117.30</t>
    <phoneticPr fontId="11" type="noConversion"/>
  </si>
  <si>
    <t>117.40</t>
    <phoneticPr fontId="11" type="noConversion"/>
  </si>
  <si>
    <t>117.50</t>
    <phoneticPr fontId="11" type="noConversion"/>
  </si>
  <si>
    <t>117.60</t>
    <phoneticPr fontId="11" type="noConversion"/>
  </si>
  <si>
    <t>117.60</t>
    <phoneticPr fontId="11" type="noConversion"/>
  </si>
  <si>
    <t>117.70</t>
    <phoneticPr fontId="11" type="noConversion"/>
  </si>
  <si>
    <t>117.80</t>
    <phoneticPr fontId="11" type="noConversion"/>
  </si>
  <si>
    <t>117.80</t>
    <phoneticPr fontId="11" type="noConversion"/>
  </si>
  <si>
    <t>117.90</t>
    <phoneticPr fontId="11" type="noConversion"/>
  </si>
  <si>
    <t>117.90</t>
    <phoneticPr fontId="11" type="noConversion"/>
  </si>
  <si>
    <t>117.100</t>
    <phoneticPr fontId="11" type="noConversion"/>
  </si>
  <si>
    <t>117.110</t>
    <phoneticPr fontId="11" type="noConversion"/>
  </si>
  <si>
    <t>117.110</t>
    <phoneticPr fontId="11" type="noConversion"/>
  </si>
  <si>
    <t>118.10</t>
    <phoneticPr fontId="11" type="noConversion"/>
  </si>
  <si>
    <t>118.20</t>
    <phoneticPr fontId="11" type="noConversion"/>
  </si>
  <si>
    <t>118.30</t>
    <phoneticPr fontId="11" type="noConversion"/>
  </si>
  <si>
    <t>118.40</t>
    <phoneticPr fontId="11" type="noConversion"/>
  </si>
  <si>
    <t>118.40</t>
    <phoneticPr fontId="11" type="noConversion"/>
  </si>
  <si>
    <t>118.50</t>
    <phoneticPr fontId="11" type="noConversion"/>
  </si>
  <si>
    <t>118.50</t>
    <phoneticPr fontId="11" type="noConversion"/>
  </si>
  <si>
    <t>118.60</t>
    <phoneticPr fontId="11" type="noConversion"/>
  </si>
  <si>
    <t>118.70</t>
    <phoneticPr fontId="11" type="noConversion"/>
  </si>
  <si>
    <t>118.71</t>
    <phoneticPr fontId="11" type="noConversion"/>
  </si>
  <si>
    <t>118.72</t>
  </si>
  <si>
    <t>118.73</t>
  </si>
  <si>
    <t>118.74</t>
  </si>
  <si>
    <t>118.75</t>
  </si>
  <si>
    <t>118.76</t>
  </si>
  <si>
    <t>118.77</t>
  </si>
  <si>
    <t>118.78</t>
  </si>
  <si>
    <t>118.79</t>
  </si>
  <si>
    <t>118.80</t>
  </si>
  <si>
    <t>118.81</t>
  </si>
  <si>
    <t>118.82</t>
  </si>
  <si>
    <t>118.83</t>
  </si>
  <si>
    <t>118.84</t>
  </si>
  <si>
    <t>118.85</t>
  </si>
  <si>
    <t>118.86</t>
  </si>
  <si>
    <t>118.87</t>
  </si>
  <si>
    <t>118.88</t>
  </si>
  <si>
    <t>118.89</t>
  </si>
  <si>
    <t>118.90</t>
  </si>
  <si>
    <t>118.91</t>
  </si>
  <si>
    <t>118.92</t>
  </si>
  <si>
    <t>118.93</t>
  </si>
  <si>
    <t>118.94</t>
  </si>
  <si>
    <t>118.95</t>
  </si>
  <si>
    <t>118.96</t>
  </si>
  <si>
    <t>118.97</t>
  </si>
  <si>
    <t>118.98</t>
  </si>
  <si>
    <t>118.99</t>
  </si>
  <si>
    <t>118.100</t>
  </si>
  <si>
    <t>118.101</t>
  </si>
  <si>
    <t>118.102</t>
  </si>
  <si>
    <t>118.103</t>
  </si>
  <si>
    <t>118.104</t>
  </si>
  <si>
    <t>118.105</t>
  </si>
  <si>
    <t>118.106</t>
  </si>
  <si>
    <t>118.107</t>
  </si>
  <si>
    <t>118.108</t>
  </si>
  <si>
    <t>118.109</t>
  </si>
  <si>
    <t>118.110</t>
  </si>
  <si>
    <t>119.10</t>
    <phoneticPr fontId="11" type="noConversion"/>
  </si>
  <si>
    <t>119.20</t>
    <phoneticPr fontId="11" type="noConversion"/>
  </si>
  <si>
    <t>119.30</t>
    <phoneticPr fontId="11" type="noConversion"/>
  </si>
  <si>
    <t>119.40</t>
    <phoneticPr fontId="11" type="noConversion"/>
  </si>
  <si>
    <t>124.10</t>
    <phoneticPr fontId="11" type="noConversion"/>
  </si>
  <si>
    <t>125.10</t>
    <phoneticPr fontId="11" type="noConversion"/>
  </si>
  <si>
    <t>126.10</t>
    <phoneticPr fontId="11" type="noConversion"/>
  </si>
  <si>
    <t>127.10</t>
    <phoneticPr fontId="11" type="noConversion"/>
  </si>
  <si>
    <t>128.10</t>
    <phoneticPr fontId="11" type="noConversion"/>
  </si>
  <si>
    <t>146.10</t>
    <phoneticPr fontId="11" type="noConversion"/>
  </si>
  <si>
    <t>146.10</t>
    <phoneticPr fontId="11" type="noConversion"/>
  </si>
  <si>
    <t>150.10</t>
    <phoneticPr fontId="11" type="noConversion"/>
  </si>
  <si>
    <t>3-B3</t>
  </si>
  <si>
    <t>3-B4</t>
  </si>
  <si>
    <t>GG_Measuring 02</t>
  </si>
  <si>
    <t>GG_Measuring 01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</si>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</sst>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_);[Red]\(0.00\)"/>
    <numFmt numFmtId="165" formatCode="0.000"/>
    <numFmt numFmtId="166" formatCode="#,##0.000;[Blue]\-#,##0.000"/>
    <numFmt numFmtId="167" formatCode="0.0%"/>
    <numFmt numFmtId="168" formatCode="#,##0.0000"/>
    <numFmt numFmtId="169" formatCode="0.0_ "/>
    <numFmt numFmtId="170" formatCode="0.0"/>
    <numFmt numFmtId="171" formatCode="0.0000;[Red]0.0000"/>
    <numFmt numFmtId="172" formatCode="0.0_);[Red]\(0.0\)"/>
    <numFmt numFmtId="173" formatCode="0.0000"/>
  </numFmts>
  <fonts count="27"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sz val="10"/>
      <color indexed="1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sz val="12"/>
      <name val="Arial"/>
      <family val="2"/>
    </font>
    <font>
      <sz val="8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sz val="16"/>
      <name val="Arial"/>
      <family val="2"/>
    </font>
    <font>
      <sz val="10"/>
      <color theme="4"/>
      <name val="Arial"/>
      <family val="2"/>
    </font>
    <font>
      <b/>
      <sz val="12"/>
      <color theme="1"/>
      <name val="Calibri"/>
      <family val="2"/>
      <charset val="204"/>
      <scheme val="minor"/>
    </font>
    <font>
      <sz val="12"/>
      <name val="____"/>
      <family val="2"/>
    </font>
    <font>
      <b/>
      <sz val="12"/>
      <name val="Arial"/>
      <family val="2"/>
    </font>
    <font>
      <sz val="12"/>
      <name val="宋体"/>
      <family val="3"/>
      <charset val="134"/>
    </font>
    <font>
      <sz val="10"/>
      <color indexed="8"/>
      <name val="Arial"/>
      <family val="2"/>
    </font>
    <font>
      <sz val="9"/>
      <name val="Calibri"/>
      <family val="3"/>
      <charset val="134"/>
      <scheme val="minor"/>
    </font>
    <font>
      <sz val="10"/>
      <name val="宋体"/>
      <family val="3"/>
      <charset val="134"/>
    </font>
    <font>
      <sz val="10"/>
      <color theme="1"/>
      <name val="Arial"/>
      <family val="2"/>
    </font>
    <font>
      <sz val="12"/>
      <color rgb="FF000000"/>
      <name val="Lucida Grande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73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9" fillId="0" borderId="0"/>
    <xf numFmtId="167" fontId="1" fillId="0" borderId="0" applyFill="0" applyBorder="0" applyAlignment="0"/>
    <xf numFmtId="168" fontId="1" fillId="0" borderId="0" applyFill="0" applyBorder="0" applyAlignment="0"/>
    <xf numFmtId="0" fontId="20" fillId="0" borderId="12" applyNumberFormat="0" applyAlignment="0" applyProtection="0">
      <alignment horizontal="left" vertical="center"/>
    </xf>
    <xf numFmtId="0" fontId="20" fillId="0" borderId="2">
      <alignment horizontal="left" vertical="center"/>
    </xf>
    <xf numFmtId="168" fontId="1" fillId="0" borderId="0" applyFill="0" applyBorder="0" applyAlignment="0"/>
    <xf numFmtId="0" fontId="10" fillId="0" borderId="0"/>
    <xf numFmtId="0" fontId="10" fillId="0" borderId="0"/>
    <xf numFmtId="9" fontId="21" fillId="0" borderId="0" applyFont="0" applyFill="0" applyBorder="0" applyAlignment="0" applyProtection="0"/>
    <xf numFmtId="168" fontId="1" fillId="0" borderId="0" applyFill="0" applyBorder="0" applyAlignment="0"/>
    <xf numFmtId="49" fontId="22" fillId="0" borderId="0" applyFill="0" applyBorder="0" applyAlignment="0"/>
    <xf numFmtId="168" fontId="1" fillId="0" borderId="0" applyFill="0" applyBorder="0" applyAlignment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118">
    <xf numFmtId="0" fontId="0" fillId="0" borderId="0" xfId="0"/>
    <xf numFmtId="0" fontId="1" fillId="2" borderId="0" xfId="0" applyFont="1" applyFill="1" applyBorder="1" applyProtection="1"/>
    <xf numFmtId="0" fontId="1" fillId="2" borderId="0" xfId="0" applyFont="1" applyFill="1" applyBorder="1" applyProtection="1">
      <protection locked="0"/>
    </xf>
    <xf numFmtId="0" fontId="1" fillId="2" borderId="0" xfId="0" applyFont="1" applyFill="1" applyProtection="1"/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165" fontId="1" fillId="4" borderId="7" xfId="0" applyNumberFormat="1" applyFont="1" applyFill="1" applyBorder="1" applyAlignment="1" applyProtection="1">
      <alignment horizontal="center"/>
      <protection locked="0"/>
    </xf>
    <xf numFmtId="9" fontId="9" fillId="0" borderId="7" xfId="0" quotePrefix="1" applyNumberFormat="1" applyFont="1" applyFill="1" applyBorder="1" applyAlignment="1" applyProtection="1">
      <alignment horizontal="center"/>
    </xf>
    <xf numFmtId="9" fontId="9" fillId="0" borderId="7" xfId="0" applyNumberFormat="1" applyFont="1" applyFill="1" applyBorder="1" applyAlignment="1" applyProtection="1">
      <alignment horizontal="center"/>
    </xf>
    <xf numFmtId="165" fontId="4" fillId="0" borderId="7" xfId="0" applyNumberFormat="1" applyFont="1" applyFill="1" applyBorder="1" applyAlignment="1" applyProtection="1">
      <alignment horizontal="center"/>
    </xf>
    <xf numFmtId="0" fontId="1" fillId="0" borderId="0" xfId="0" applyFont="1" applyBorder="1" applyProtection="1">
      <protection locked="0"/>
    </xf>
    <xf numFmtId="0" fontId="0" fillId="5" borderId="0" xfId="0" applyFill="1"/>
    <xf numFmtId="165" fontId="1" fillId="5" borderId="4" xfId="0" applyNumberFormat="1" applyFont="1" applyFill="1" applyBorder="1" applyAlignment="1" applyProtection="1">
      <alignment horizontal="center"/>
      <protection locked="0"/>
    </xf>
    <xf numFmtId="0" fontId="6" fillId="5" borderId="0" xfId="0" applyFont="1" applyFill="1" applyBorder="1" applyProtection="1"/>
    <xf numFmtId="164" fontId="6" fillId="5" borderId="0" xfId="0" applyNumberFormat="1" applyFont="1" applyFill="1" applyBorder="1" applyProtection="1"/>
    <xf numFmtId="0" fontId="6" fillId="5" borderId="4" xfId="0" applyFont="1" applyFill="1" applyBorder="1" applyAlignment="1" applyProtection="1">
      <alignment horizontal="centerContinuous"/>
    </xf>
    <xf numFmtId="0" fontId="6" fillId="5" borderId="6" xfId="0" applyFont="1" applyFill="1" applyBorder="1" applyAlignment="1" applyProtection="1">
      <alignment horizontal="centerContinuous"/>
    </xf>
    <xf numFmtId="0" fontId="6" fillId="5" borderId="5" xfId="0" applyFont="1" applyFill="1" applyBorder="1" applyAlignment="1" applyProtection="1">
      <alignment horizontal="centerContinuous"/>
    </xf>
    <xf numFmtId="0" fontId="6" fillId="5" borderId="10" xfId="0" applyFont="1" applyFill="1" applyBorder="1" applyProtection="1"/>
    <xf numFmtId="0" fontId="6" fillId="5" borderId="9" xfId="0" applyFont="1" applyFill="1" applyBorder="1" applyAlignment="1" applyProtection="1">
      <alignment horizontal="center"/>
    </xf>
    <xf numFmtId="164" fontId="6" fillId="5" borderId="9" xfId="0" applyNumberFormat="1" applyFont="1" applyFill="1" applyBorder="1" applyAlignment="1" applyProtection="1">
      <alignment horizontal="center"/>
    </xf>
    <xf numFmtId="0" fontId="7" fillId="5" borderId="9" xfId="0" applyFont="1" applyFill="1" applyBorder="1" applyAlignment="1" applyProtection="1">
      <alignment horizontal="center"/>
    </xf>
    <xf numFmtId="0" fontId="7" fillId="5" borderId="7" xfId="0" applyFont="1" applyFill="1" applyBorder="1" applyAlignment="1" applyProtection="1">
      <alignment horizontal="center"/>
    </xf>
    <xf numFmtId="0" fontId="6" fillId="5" borderId="6" xfId="0" applyFont="1" applyFill="1" applyBorder="1" applyAlignment="1" applyProtection="1">
      <alignment horizontal="center"/>
    </xf>
    <xf numFmtId="166" fontId="3" fillId="0" borderId="6" xfId="0" applyNumberFormat="1" applyFont="1" applyFill="1" applyBorder="1" applyAlignment="1" applyProtection="1">
      <alignment horizontal="center"/>
    </xf>
    <xf numFmtId="166" fontId="3" fillId="0" borderId="7" xfId="0" applyNumberFormat="1" applyFont="1" applyFill="1" applyBorder="1" applyAlignment="1" applyProtection="1">
      <alignment horizontal="center"/>
    </xf>
    <xf numFmtId="165" fontId="3" fillId="0" borderId="7" xfId="0" applyNumberFormat="1" applyFont="1" applyFill="1" applyBorder="1" applyAlignment="1" applyProtection="1">
      <alignment horizontal="center"/>
    </xf>
    <xf numFmtId="0" fontId="1" fillId="6" borderId="7" xfId="0" applyNumberFormat="1" applyFont="1" applyFill="1" applyBorder="1" applyAlignment="1" applyProtection="1">
      <alignment horizontal="center"/>
      <protection locked="0"/>
    </xf>
    <xf numFmtId="165" fontId="2" fillId="6" borderId="9" xfId="0" applyNumberFormat="1" applyFont="1" applyFill="1" applyBorder="1" applyAlignment="1" applyProtection="1">
      <alignment horizontal="center"/>
      <protection locked="0"/>
    </xf>
    <xf numFmtId="165" fontId="1" fillId="6" borderId="9" xfId="0" applyNumberFormat="1" applyFont="1" applyFill="1" applyBorder="1" applyAlignment="1" applyProtection="1">
      <alignment horizontal="center"/>
      <protection locked="0"/>
    </xf>
    <xf numFmtId="49" fontId="1" fillId="6" borderId="4" xfId="0" applyNumberFormat="1" applyFont="1" applyFill="1" applyBorder="1" applyAlignment="1" applyProtection="1">
      <alignment horizontal="center"/>
      <protection locked="0"/>
    </xf>
    <xf numFmtId="49" fontId="1" fillId="6" borderId="9" xfId="0" applyNumberFormat="1" applyFont="1" applyFill="1" applyBorder="1" applyAlignment="1" applyProtection="1">
      <alignment horizontal="center"/>
      <protection locked="0"/>
    </xf>
    <xf numFmtId="49" fontId="1" fillId="6" borderId="9" xfId="0" applyNumberFormat="1" applyFont="1" applyFill="1" applyBorder="1" applyAlignment="1" applyProtection="1">
      <alignment horizontal="center" wrapText="1"/>
      <protection locked="0"/>
    </xf>
    <xf numFmtId="0" fontId="17" fillId="2" borderId="0" xfId="0" applyFont="1" applyFill="1" applyProtection="1"/>
    <xf numFmtId="0" fontId="6" fillId="7" borderId="10" xfId="0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165" fontId="1" fillId="7" borderId="11" xfId="0" applyNumberFormat="1" applyFont="1" applyFill="1" applyBorder="1" applyAlignment="1" applyProtection="1">
      <alignment horizontal="center"/>
      <protection locked="0"/>
    </xf>
    <xf numFmtId="165" fontId="1" fillId="7" borderId="7" xfId="0" applyNumberFormat="1" applyFont="1" applyFill="1" applyBorder="1" applyAlignment="1" applyProtection="1">
      <alignment horizontal="center"/>
      <protection locked="0"/>
    </xf>
    <xf numFmtId="0" fontId="6" fillId="5" borderId="7" xfId="0" applyFont="1" applyFill="1" applyBorder="1" applyAlignment="1" applyProtection="1">
      <alignment horizontal="center"/>
    </xf>
    <xf numFmtId="0" fontId="6" fillId="5" borderId="9" xfId="0" quotePrefix="1" applyFont="1" applyFill="1" applyBorder="1" applyAlignment="1" applyProtection="1">
      <alignment horizontal="center" wrapText="1"/>
    </xf>
    <xf numFmtId="0" fontId="1" fillId="2" borderId="0" xfId="0" applyFont="1" applyFill="1" applyBorder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164" fontId="6" fillId="5" borderId="9" xfId="0" applyNumberFormat="1" applyFont="1" applyFill="1" applyBorder="1" applyAlignment="1" applyProtection="1">
      <alignment horizontal="center" wrapText="1"/>
    </xf>
    <xf numFmtId="0" fontId="18" fillId="0" borderId="0" xfId="0" applyFont="1" applyAlignment="1">
      <alignment horizontal="center" wrapText="1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49" fontId="24" fillId="6" borderId="9" xfId="0" applyNumberFormat="1" applyFont="1" applyFill="1" applyBorder="1" applyAlignment="1" applyProtection="1">
      <alignment horizontal="center" wrapText="1"/>
      <protection locked="0"/>
    </xf>
    <xf numFmtId="0" fontId="1" fillId="6" borderId="7" xfId="0" quotePrefix="1" applyNumberFormat="1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left" vertical="center"/>
    </xf>
    <xf numFmtId="165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65" fontId="25" fillId="0" borderId="0" xfId="0" applyNumberFormat="1" applyFont="1" applyAlignment="1">
      <alignment horizontal="left" vertical="center"/>
    </xf>
    <xf numFmtId="169" fontId="1" fillId="6" borderId="7" xfId="0" applyNumberFormat="1" applyFont="1" applyFill="1" applyBorder="1" applyAlignment="1" applyProtection="1">
      <alignment horizontal="center"/>
      <protection locked="0"/>
    </xf>
    <xf numFmtId="170" fontId="1" fillId="6" borderId="9" xfId="0" applyNumberFormat="1" applyFont="1" applyFill="1" applyBorder="1" applyAlignment="1" applyProtection="1">
      <alignment horizontal="center"/>
      <protection locked="0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171" fontId="1" fillId="4" borderId="7" xfId="0" applyNumberFormat="1" applyFont="1" applyFill="1" applyBorder="1" applyAlignment="1" applyProtection="1">
      <alignment horizontal="center"/>
      <protection locked="0"/>
    </xf>
    <xf numFmtId="49" fontId="17" fillId="2" borderId="0" xfId="0" applyNumberFormat="1" applyFont="1" applyFill="1" applyProtection="1"/>
    <xf numFmtId="49" fontId="1" fillId="2" borderId="0" xfId="0" applyNumberFormat="1" applyFont="1" applyFill="1" applyProtection="1"/>
    <xf numFmtId="49" fontId="1" fillId="2" borderId="0" xfId="0" applyNumberFormat="1" applyFont="1" applyFill="1" applyAlignment="1" applyProtection="1">
      <alignment horizontal="center"/>
    </xf>
    <xf numFmtId="49" fontId="6" fillId="5" borderId="9" xfId="0" applyNumberFormat="1" applyFont="1" applyFill="1" applyBorder="1" applyAlignment="1" applyProtection="1">
      <alignment horizontal="center"/>
    </xf>
    <xf numFmtId="49" fontId="1" fillId="6" borderId="7" xfId="0" applyNumberFormat="1" applyFont="1" applyFill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6" fillId="5" borderId="0" xfId="0" applyNumberFormat="1" applyFont="1" applyFill="1" applyBorder="1" applyProtection="1"/>
    <xf numFmtId="164" fontId="17" fillId="2" borderId="0" xfId="0" applyNumberFormat="1" applyFont="1" applyFill="1" applyProtection="1"/>
    <xf numFmtId="164" fontId="1" fillId="2" borderId="0" xfId="0" applyNumberFormat="1" applyFont="1" applyFill="1" applyProtection="1"/>
    <xf numFmtId="164" fontId="1" fillId="2" borderId="0" xfId="0" applyNumberFormat="1" applyFont="1" applyFill="1" applyAlignment="1" applyProtection="1">
      <alignment horizontal="center"/>
    </xf>
    <xf numFmtId="164" fontId="6" fillId="5" borderId="8" xfId="0" applyNumberFormat="1" applyFont="1" applyFill="1" applyBorder="1" applyProtection="1"/>
    <xf numFmtId="172" fontId="1" fillId="6" borderId="7" xfId="0" applyNumberFormat="1" applyFont="1" applyFill="1" applyBorder="1" applyAlignment="1" applyProtection="1">
      <alignment horizontal="center"/>
      <protection locked="0"/>
    </xf>
    <xf numFmtId="172" fontId="1" fillId="0" borderId="0" xfId="0" applyNumberFormat="1" applyFont="1" applyBorder="1" applyProtection="1">
      <protection locked="0"/>
    </xf>
    <xf numFmtId="173" fontId="1" fillId="4" borderId="7" xfId="0" applyNumberFormat="1" applyFont="1" applyFill="1" applyBorder="1" applyAlignment="1" applyProtection="1">
      <alignment horizontal="center"/>
      <protection locked="0"/>
    </xf>
    <xf numFmtId="49" fontId="1" fillId="6" borderId="7" xfId="0" quotePrefix="1" applyNumberFormat="1" applyFont="1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7" xfId="0" applyFill="1" applyBorder="1" applyAlignment="1" applyProtection="1">
      <alignment horizontal="center" vertical="center"/>
    </xf>
    <xf numFmtId="49" fontId="1" fillId="6" borderId="4" xfId="0" applyNumberFormat="1" applyFont="1" applyFill="1" applyBorder="1" applyAlignment="1" applyProtection="1">
      <alignment horizontal="center" wrapText="1"/>
      <protection locked="0"/>
    </xf>
    <xf numFmtId="0" fontId="7" fillId="5" borderId="4" xfId="0" applyFont="1" applyFill="1" applyBorder="1" applyAlignment="1" applyProtection="1">
      <alignment horizontal="center" vertical="center" wrapText="1"/>
    </xf>
    <xf numFmtId="0" fontId="7" fillId="5" borderId="6" xfId="0" applyFont="1" applyFill="1" applyBorder="1" applyAlignment="1" applyProtection="1">
      <alignment horizontal="center"/>
    </xf>
    <xf numFmtId="0" fontId="7" fillId="9" borderId="7" xfId="0" applyFont="1" applyFill="1" applyBorder="1" applyAlignment="1" applyProtection="1">
      <alignment horizontal="center"/>
    </xf>
    <xf numFmtId="0" fontId="0" fillId="5" borderId="7" xfId="0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right"/>
    </xf>
    <xf numFmtId="0" fontId="1" fillId="2" borderId="2" xfId="0" applyFont="1" applyFill="1" applyBorder="1" applyAlignment="1" applyProtection="1">
      <alignment horizontal="right"/>
    </xf>
    <xf numFmtId="0" fontId="1" fillId="2" borderId="3" xfId="0" applyFont="1" applyFill="1" applyBorder="1" applyAlignment="1" applyProtection="1">
      <alignment horizontal="right"/>
    </xf>
    <xf numFmtId="0" fontId="6" fillId="5" borderId="10" xfId="0" applyFont="1" applyFill="1" applyBorder="1" applyAlignment="1" applyProtection="1">
      <alignment horizontal="center" vertical="center" wrapText="1"/>
    </xf>
    <xf numFmtId="0" fontId="6" fillId="5" borderId="7" xfId="0" applyFont="1" applyFill="1" applyBorder="1" applyAlignment="1" applyProtection="1">
      <alignment horizontal="center" vertical="center" wrapText="1"/>
    </xf>
    <xf numFmtId="0" fontId="6" fillId="5" borderId="1" xfId="0" applyFont="1" applyFill="1" applyBorder="1" applyAlignment="1" applyProtection="1">
      <alignment horizontal="center"/>
    </xf>
    <xf numFmtId="0" fontId="6" fillId="5" borderId="2" xfId="0" applyFont="1" applyFill="1" applyBorder="1" applyAlignment="1" applyProtection="1">
      <alignment horizontal="center"/>
    </xf>
    <xf numFmtId="0" fontId="6" fillId="5" borderId="3" xfId="0" applyFont="1" applyFill="1" applyBorder="1" applyAlignment="1" applyProtection="1">
      <alignment horizontal="center"/>
    </xf>
    <xf numFmtId="0" fontId="6" fillId="5" borderId="10" xfId="0" applyFont="1" applyFill="1" applyBorder="1" applyAlignment="1" applyProtection="1">
      <alignment horizontal="center" vertical="center"/>
    </xf>
    <xf numFmtId="0" fontId="0" fillId="5" borderId="7" xfId="0" applyFill="1" applyBorder="1" applyAlignment="1" applyProtection="1">
      <alignment horizontal="center" vertical="center"/>
    </xf>
    <xf numFmtId="14" fontId="2" fillId="6" borderId="1" xfId="0" applyNumberFormat="1" applyFont="1" applyFill="1" applyBorder="1" applyAlignment="1" applyProtection="1">
      <alignment horizontal="left"/>
      <protection locked="0"/>
    </xf>
    <xf numFmtId="14" fontId="2" fillId="6" borderId="2" xfId="0" applyNumberFormat="1" applyFont="1" applyFill="1" applyBorder="1" applyAlignment="1" applyProtection="1">
      <alignment horizontal="left"/>
      <protection locked="0"/>
    </xf>
    <xf numFmtId="14" fontId="2" fillId="6" borderId="3" xfId="0" applyNumberFormat="1" applyFont="1" applyFill="1" applyBorder="1" applyAlignment="1" applyProtection="1">
      <alignment horizontal="left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3" xfId="0" applyFont="1" applyFill="1" applyBorder="1" applyAlignment="1" applyProtection="1">
      <alignment horizontal="center"/>
    </xf>
    <xf numFmtId="0" fontId="7" fillId="5" borderId="10" xfId="0" applyFont="1" applyFill="1" applyBorder="1" applyAlignment="1" applyProtection="1">
      <alignment horizontal="center" vertical="center" wrapText="1"/>
    </xf>
    <xf numFmtId="0" fontId="7" fillId="5" borderId="7" xfId="0" applyFont="1" applyFill="1" applyBorder="1" applyAlignment="1" applyProtection="1">
      <alignment horizontal="center" vertical="center" wrapText="1"/>
    </xf>
    <xf numFmtId="0" fontId="2" fillId="6" borderId="1" xfId="0" applyFont="1" applyFill="1" applyBorder="1" applyAlignment="1" applyProtection="1">
      <alignment horizontal="left"/>
    </xf>
    <xf numFmtId="0" fontId="2" fillId="6" borderId="2" xfId="0" applyFont="1" applyFill="1" applyBorder="1" applyAlignment="1" applyProtection="1">
      <alignment horizontal="left"/>
    </xf>
    <xf numFmtId="0" fontId="2" fillId="6" borderId="3" xfId="0" applyFont="1" applyFill="1" applyBorder="1" applyAlignment="1" applyProtection="1">
      <alignment horizontal="left"/>
    </xf>
    <xf numFmtId="0" fontId="17" fillId="2" borderId="0" xfId="0" applyFont="1" applyFill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/>
    </xf>
    <xf numFmtId="0" fontId="5" fillId="3" borderId="3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center"/>
    </xf>
    <xf numFmtId="0" fontId="2" fillId="6" borderId="1" xfId="0" applyNumberFormat="1" applyFont="1" applyFill="1" applyBorder="1" applyAlignment="1" applyProtection="1">
      <alignment horizontal="left"/>
      <protection locked="0"/>
    </xf>
    <xf numFmtId="0" fontId="2" fillId="6" borderId="2" xfId="0" applyNumberFormat="1" applyFont="1" applyFill="1" applyBorder="1" applyAlignment="1" applyProtection="1">
      <alignment horizontal="left"/>
      <protection locked="0"/>
    </xf>
    <xf numFmtId="0" fontId="2" fillId="6" borderId="3" xfId="0" applyNumberFormat="1" applyFont="1" applyFill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right"/>
    </xf>
    <xf numFmtId="0" fontId="1" fillId="0" borderId="3" xfId="0" applyFont="1" applyBorder="1" applyAlignment="1" applyProtection="1">
      <alignment horizontal="right"/>
    </xf>
    <xf numFmtId="0" fontId="18" fillId="0" borderId="0" xfId="0" applyFont="1" applyAlignment="1">
      <alignment horizontal="center" wrapText="1"/>
    </xf>
  </cellXfs>
  <cellStyles count="73">
    <cellStyle name="___CPK__" xfId="45" xr:uid="{00000000-0005-0000-0000-000000000000}"/>
    <cellStyle name="Calc Percent (0)" xfId="46" xr:uid="{00000000-0005-0000-0000-000001000000}"/>
    <cellStyle name="Enter Currency (0)" xfId="47" xr:uid="{00000000-0005-0000-0000-000002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Header1" xfId="48" xr:uid="{00000000-0005-0000-0000-000003000000}"/>
    <cellStyle name="Header2" xfId="49" xr:uid="{00000000-0005-0000-0000-000004000000}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Link Currency (0)" xfId="50" xr:uid="{00000000-0005-0000-0000-000005000000}"/>
    <cellStyle name="Normal" xfId="0" builtinId="0"/>
    <cellStyle name="Normal 2" xfId="51" xr:uid="{00000000-0005-0000-0000-000006000000}"/>
    <cellStyle name="Normal 2 2" xfId="52" xr:uid="{00000000-0005-0000-0000-000007000000}"/>
    <cellStyle name="Percent 2" xfId="53" xr:uid="{00000000-0005-0000-0000-000008000000}"/>
    <cellStyle name="PrePop Currency (0)" xfId="54" xr:uid="{00000000-0005-0000-0000-000009000000}"/>
    <cellStyle name="Text Indent A" xfId="55" xr:uid="{00000000-0005-0000-0000-00000A000000}"/>
    <cellStyle name="Text Indent B" xfId="56" xr:uid="{00000000-0005-0000-0000-00000B000000}"/>
  </cellStyles>
  <dxfs count="919"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b/>
        <i val="0"/>
        <u val="none"/>
        <color theme="5"/>
      </font>
      <fill>
        <patternFill patternType="none">
          <fgColor indexed="64"/>
          <bgColor auto="1"/>
        </patternFill>
      </fill>
    </dxf>
    <dxf>
      <font>
        <b val="0"/>
        <i val="0"/>
        <color theme="9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b/>
        <i val="0"/>
        <u val="none"/>
        <color theme="5"/>
      </font>
      <fill>
        <patternFill patternType="none">
          <fgColor indexed="64"/>
          <bgColor auto="1"/>
        </patternFill>
      </fill>
    </dxf>
    <dxf>
      <font>
        <b val="0"/>
        <i val="0"/>
        <color theme="9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45720</xdr:rowOff>
        </xdr:from>
        <xdr:to>
          <xdr:col>4</xdr:col>
          <xdr:colOff>304800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45720</xdr:rowOff>
        </xdr:from>
        <xdr:to>
          <xdr:col>4</xdr:col>
          <xdr:colOff>304800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ZHFILE01\A51F_share2\11.V88&#37327;&#27979;&#25253;&#21578;\Enhanced%20Cpk%20Template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pk"/>
      <sheetName val="Drawing"/>
      <sheetName val="Setup"/>
      <sheetName val="Revision"/>
    </sheetNames>
    <sheetDataSet>
      <sheetData sheetId="0"/>
      <sheetData sheetId="1"/>
      <sheetData sheetId="2">
        <row r="2">
          <cell r="H2" t="str">
            <v>HG</v>
          </cell>
          <cell r="J2" t="str">
            <v>Tolerance</v>
          </cell>
        </row>
        <row r="3">
          <cell r="H3" t="str">
            <v>MIC</v>
          </cell>
          <cell r="J3" t="str">
            <v>GD&amp;T</v>
          </cell>
        </row>
        <row r="4">
          <cell r="H4" t="str">
            <v>CMM</v>
          </cell>
          <cell r="J4" t="str">
            <v>MIN</v>
          </cell>
        </row>
        <row r="5">
          <cell r="H5" t="str">
            <v>OMM</v>
          </cell>
          <cell r="J5" t="str">
            <v>MAX</v>
          </cell>
        </row>
        <row r="6">
          <cell r="H6" t="str">
            <v>TG</v>
          </cell>
        </row>
        <row r="7">
          <cell r="H7" t="str">
            <v>HT</v>
          </cell>
        </row>
        <row r="8">
          <cell r="H8" t="str">
            <v>PG</v>
          </cell>
        </row>
        <row r="9">
          <cell r="H9" t="str">
            <v>FT</v>
          </cell>
        </row>
        <row r="10">
          <cell r="H10" t="str">
            <v>DC</v>
          </cell>
        </row>
        <row r="11">
          <cell r="H11" t="str">
            <v>P</v>
          </cell>
        </row>
        <row r="12">
          <cell r="H12" t="str">
            <v>OC</v>
          </cell>
        </row>
        <row r="13">
          <cell r="H13" t="str">
            <v>Other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692"/>
  <sheetViews>
    <sheetView topLeftCell="A4" zoomScaleNormal="100" workbookViewId="0">
      <selection activeCell="B14" sqref="B14:I16"/>
    </sheetView>
  </sheetViews>
  <sheetFormatPr defaultColWidth="12.59765625" defaultRowHeight="12.75" customHeight="1"/>
  <cols>
    <col min="1" max="1" width="0.8984375" style="10" customWidth="1"/>
    <col min="2" max="2" width="11.19921875" style="77" customWidth="1"/>
    <col min="3" max="3" width="9" style="70" customWidth="1"/>
    <col min="4" max="8" width="9" style="10" customWidth="1"/>
    <col min="9" max="9" width="23.59765625" style="10" customWidth="1"/>
    <col min="10" max="11" width="9" style="10" hidden="1" customWidth="1"/>
    <col min="12" max="14" width="9" style="10" customWidth="1"/>
    <col min="15" max="15" width="0.8984375" style="10" customWidth="1"/>
    <col min="16" max="23" width="9" style="10" customWidth="1"/>
    <col min="24" max="24" width="42.59765625" style="10" bestFit="1" customWidth="1"/>
    <col min="25" max="25" width="0.8984375" style="10" customWidth="1"/>
    <col min="26" max="16384" width="12.59765625" style="10"/>
  </cols>
  <sheetData>
    <row r="1" spans="1:30" s="2" customFormat="1" ht="21.9" customHeight="1">
      <c r="A1" s="111" t="s">
        <v>16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</row>
    <row r="2" spans="1:30" s="4" customFormat="1" ht="14.1" customHeight="1">
      <c r="A2" s="1"/>
      <c r="B2" s="72" t="s">
        <v>52</v>
      </c>
      <c r="C2" s="65"/>
      <c r="D2" s="33"/>
      <c r="E2" s="3"/>
      <c r="F2" s="3"/>
      <c r="G2" s="3"/>
      <c r="J2" s="3"/>
      <c r="K2" s="3"/>
      <c r="L2" s="1"/>
      <c r="M2" s="1"/>
      <c r="N2" s="1"/>
      <c r="O2" s="1"/>
      <c r="P2" s="3"/>
      <c r="Q2" s="11"/>
      <c r="R2" s="11"/>
      <c r="S2" s="11"/>
      <c r="T2" s="11"/>
      <c r="U2" s="11"/>
      <c r="V2" s="107" t="s">
        <v>20</v>
      </c>
      <c r="W2" s="107"/>
      <c r="X2" s="3"/>
      <c r="Y2" s="1"/>
    </row>
    <row r="3" spans="1:30" s="4" customFormat="1" ht="9" customHeight="1">
      <c r="A3" s="1"/>
      <c r="B3" s="73"/>
      <c r="C3" s="66"/>
      <c r="D3" s="3"/>
      <c r="E3" s="1"/>
      <c r="F3" s="1"/>
      <c r="G3" s="3"/>
      <c r="H3" s="3"/>
      <c r="I3" s="3"/>
      <c r="J3" s="3"/>
      <c r="K3" s="3"/>
      <c r="L3" s="1"/>
      <c r="M3" s="1"/>
      <c r="N3" s="1"/>
      <c r="O3" s="1"/>
      <c r="P3" s="3"/>
      <c r="Q3" s="3"/>
      <c r="R3" s="3"/>
      <c r="S3" s="3"/>
      <c r="T3" s="3"/>
      <c r="U3" s="1"/>
      <c r="V3" s="1"/>
      <c r="W3" s="3"/>
      <c r="X3" s="3"/>
      <c r="Y3" s="1"/>
    </row>
    <row r="4" spans="1:30" s="4" customFormat="1" ht="18.75" customHeight="1">
      <c r="A4" s="11"/>
      <c r="B4" s="87" t="s">
        <v>0</v>
      </c>
      <c r="C4" s="88"/>
      <c r="D4" s="89"/>
      <c r="E4" s="97" t="s">
        <v>403</v>
      </c>
      <c r="F4" s="98"/>
      <c r="G4" s="98"/>
      <c r="H4" s="98"/>
      <c r="I4" s="99"/>
      <c r="J4" s="3"/>
      <c r="K4" s="3"/>
      <c r="L4" s="115" t="s">
        <v>1</v>
      </c>
      <c r="M4" s="116"/>
      <c r="N4" s="97" t="s">
        <v>56</v>
      </c>
      <c r="O4" s="98"/>
      <c r="P4" s="98"/>
      <c r="Q4" s="98"/>
      <c r="R4" s="99"/>
      <c r="S4" s="87" t="s">
        <v>23</v>
      </c>
      <c r="T4" s="88"/>
      <c r="U4" s="89"/>
      <c r="V4" s="97" t="s">
        <v>859</v>
      </c>
      <c r="W4" s="98"/>
      <c r="X4" s="98"/>
      <c r="Y4" s="99"/>
      <c r="Z4" s="11"/>
      <c r="AA4" s="11"/>
      <c r="AB4" s="11"/>
      <c r="AC4" s="11"/>
      <c r="AD4" s="11"/>
    </row>
    <row r="5" spans="1:30" s="4" customFormat="1" ht="18.75" customHeight="1">
      <c r="A5" s="11"/>
      <c r="B5" s="87" t="s">
        <v>2</v>
      </c>
      <c r="C5" s="88"/>
      <c r="D5" s="89"/>
      <c r="E5" s="97" t="s">
        <v>306</v>
      </c>
      <c r="F5" s="98"/>
      <c r="G5" s="98"/>
      <c r="H5" s="98"/>
      <c r="I5" s="99"/>
      <c r="J5" s="3"/>
      <c r="K5" s="3"/>
      <c r="L5" s="115" t="s">
        <v>21</v>
      </c>
      <c r="M5" s="116"/>
      <c r="N5" s="97"/>
      <c r="O5" s="98"/>
      <c r="P5" s="98"/>
      <c r="Q5" s="98"/>
      <c r="R5" s="99"/>
      <c r="S5" s="87" t="s">
        <v>53</v>
      </c>
      <c r="T5" s="88"/>
      <c r="U5" s="89"/>
      <c r="V5" s="104" t="s">
        <v>57</v>
      </c>
      <c r="W5" s="105"/>
      <c r="X5" s="105"/>
      <c r="Y5" s="106"/>
      <c r="Z5" s="11"/>
      <c r="AA5" s="11"/>
      <c r="AB5" s="11"/>
      <c r="AC5" s="11"/>
      <c r="AD5" s="11"/>
    </row>
    <row r="6" spans="1:30" s="4" customFormat="1" ht="18.75" customHeight="1">
      <c r="A6" s="11"/>
      <c r="B6" s="87" t="s">
        <v>3</v>
      </c>
      <c r="C6" s="88"/>
      <c r="D6" s="89"/>
      <c r="E6" s="112">
        <v>14</v>
      </c>
      <c r="F6" s="113"/>
      <c r="G6" s="113"/>
      <c r="H6" s="113"/>
      <c r="I6" s="114"/>
      <c r="J6" s="3"/>
      <c r="K6" s="3"/>
      <c r="L6" s="115" t="s">
        <v>22</v>
      </c>
      <c r="M6" s="116"/>
      <c r="N6" s="97"/>
      <c r="O6" s="98"/>
      <c r="P6" s="98"/>
      <c r="Q6" s="98"/>
      <c r="R6" s="99"/>
      <c r="S6" s="87" t="s">
        <v>54</v>
      </c>
      <c r="T6" s="88"/>
      <c r="U6" s="89"/>
      <c r="V6" s="104" t="s">
        <v>858</v>
      </c>
      <c r="W6" s="105"/>
      <c r="X6" s="105"/>
      <c r="Y6" s="106"/>
      <c r="Z6" s="11"/>
      <c r="AA6" s="11"/>
      <c r="AB6" s="11"/>
      <c r="AC6" s="11"/>
      <c r="AD6" s="11"/>
    </row>
    <row r="7" spans="1:30" s="4" customFormat="1" ht="9" customHeight="1">
      <c r="A7" s="40"/>
      <c r="B7" s="74"/>
      <c r="C7" s="67"/>
      <c r="D7" s="40"/>
      <c r="E7" s="41"/>
      <c r="F7" s="41"/>
      <c r="G7" s="40"/>
      <c r="H7" s="41"/>
      <c r="I7" s="40"/>
      <c r="J7" s="41"/>
      <c r="K7" s="40"/>
      <c r="L7" s="41"/>
      <c r="M7" s="40"/>
      <c r="N7" s="41"/>
      <c r="O7" s="40"/>
      <c r="P7" s="41"/>
      <c r="Q7" s="40"/>
      <c r="R7" s="41"/>
      <c r="S7" s="40"/>
      <c r="T7" s="41"/>
      <c r="U7" s="40"/>
      <c r="V7" s="41"/>
      <c r="W7" s="40"/>
      <c r="X7" s="41"/>
      <c r="Y7" s="1"/>
    </row>
    <row r="8" spans="1:30" s="5" customFormat="1" ht="15" customHeight="1">
      <c r="A8" s="108" t="s">
        <v>4</v>
      </c>
      <c r="B8" s="109"/>
      <c r="C8" s="109"/>
      <c r="D8" s="109"/>
      <c r="E8" s="109"/>
      <c r="F8" s="109"/>
      <c r="G8" s="109"/>
      <c r="H8" s="109"/>
      <c r="I8" s="109"/>
      <c r="J8" s="109"/>
      <c r="K8" s="110"/>
      <c r="L8" s="108" t="s">
        <v>5</v>
      </c>
      <c r="M8" s="109"/>
      <c r="N8" s="109"/>
      <c r="O8" s="109"/>
      <c r="P8" s="109"/>
      <c r="Q8" s="109"/>
      <c r="R8" s="110"/>
      <c r="S8" s="108" t="s">
        <v>6</v>
      </c>
      <c r="T8" s="109"/>
      <c r="U8" s="109"/>
      <c r="V8" s="109"/>
      <c r="W8" s="110"/>
      <c r="X8" s="100" t="s">
        <v>7</v>
      </c>
      <c r="Y8" s="101"/>
    </row>
    <row r="9" spans="1:30" s="4" customFormat="1" ht="15" customHeight="1">
      <c r="A9" s="34"/>
      <c r="B9" s="75"/>
      <c r="C9" s="71"/>
      <c r="D9" s="13"/>
      <c r="E9" s="14"/>
      <c r="F9" s="14"/>
      <c r="G9" s="13"/>
      <c r="H9" s="13"/>
      <c r="I9" s="90" t="s">
        <v>8</v>
      </c>
      <c r="J9" s="102" t="s">
        <v>17</v>
      </c>
      <c r="K9" s="102" t="s">
        <v>18</v>
      </c>
      <c r="L9" s="92" t="s">
        <v>9</v>
      </c>
      <c r="M9" s="93"/>
      <c r="N9" s="94"/>
      <c r="O9" s="34"/>
      <c r="P9" s="92" t="s">
        <v>10</v>
      </c>
      <c r="Q9" s="93"/>
      <c r="R9" s="94"/>
      <c r="S9" s="95" t="s">
        <v>11</v>
      </c>
      <c r="T9" s="15" t="s">
        <v>12</v>
      </c>
      <c r="U9" s="16"/>
      <c r="V9" s="17" t="s">
        <v>13</v>
      </c>
      <c r="W9" s="16"/>
      <c r="X9" s="18"/>
      <c r="Y9" s="34"/>
    </row>
    <row r="10" spans="1:30" s="4" customFormat="1" ht="35.1" customHeight="1">
      <c r="A10" s="35"/>
      <c r="B10" s="20" t="s">
        <v>58</v>
      </c>
      <c r="C10" s="68" t="s">
        <v>55</v>
      </c>
      <c r="D10" s="19" t="s">
        <v>24</v>
      </c>
      <c r="E10" s="42" t="s">
        <v>30</v>
      </c>
      <c r="F10" s="20" t="s">
        <v>25</v>
      </c>
      <c r="G10" s="39" t="s">
        <v>14</v>
      </c>
      <c r="H10" s="39" t="s">
        <v>15</v>
      </c>
      <c r="I10" s="91"/>
      <c r="J10" s="103"/>
      <c r="K10" s="103"/>
      <c r="L10" s="21">
        <v>1</v>
      </c>
      <c r="M10" s="21">
        <v>2</v>
      </c>
      <c r="N10" s="21">
        <v>3</v>
      </c>
      <c r="O10" s="35"/>
      <c r="P10" s="22">
        <v>1</v>
      </c>
      <c r="Q10" s="22">
        <v>2</v>
      </c>
      <c r="R10" s="22">
        <v>3</v>
      </c>
      <c r="S10" s="96"/>
      <c r="T10" s="19" t="s">
        <v>26</v>
      </c>
      <c r="U10" s="23" t="s">
        <v>27</v>
      </c>
      <c r="V10" s="19" t="s">
        <v>28</v>
      </c>
      <c r="W10" s="23" t="s">
        <v>29</v>
      </c>
      <c r="X10" s="38" t="s">
        <v>19</v>
      </c>
      <c r="Y10" s="35"/>
    </row>
    <row r="11" spans="1:30" s="4" customFormat="1" ht="35.1" customHeight="1">
      <c r="A11" s="35"/>
      <c r="B11" s="76">
        <v>4.5</v>
      </c>
      <c r="C11" s="69" t="s">
        <v>692</v>
      </c>
      <c r="D11" s="31" t="s">
        <v>707</v>
      </c>
      <c r="E11" s="29" t="s">
        <v>34</v>
      </c>
      <c r="F11" s="28">
        <v>6.8</v>
      </c>
      <c r="G11" s="29">
        <v>1E-3</v>
      </c>
      <c r="H11" s="29">
        <v>1E-3</v>
      </c>
      <c r="I11" s="82" t="s">
        <v>39</v>
      </c>
      <c r="J11" s="83"/>
      <c r="K11" s="83"/>
      <c r="L11" s="85"/>
      <c r="M11" s="85"/>
      <c r="N11" s="85"/>
      <c r="O11" s="35"/>
      <c r="P11" s="84" t="str">
        <f t="shared" ref="P11" si="0">IF(ISERR(L11/L11)=TRUE," ",L11-$F11)</f>
        <v xml:space="preserve"> </v>
      </c>
      <c r="Q11" s="22" t="str">
        <f t="shared" ref="Q11" si="1">IF(ISERR(M11/M11)=TRUE," ",M11-$F11)</f>
        <v xml:space="preserve"> </v>
      </c>
      <c r="R11" s="22" t="str">
        <f t="shared" ref="R11" si="2">IF(ISERR(N11/N11)=TRUE," ",N11-$F11)</f>
        <v xml:space="preserve"> </v>
      </c>
      <c r="S11" s="80" t="str">
        <f t="shared" ref="S11" si="3">IF(ISERR(L11/L11)=TRUE," ",AVERAGE(L11:N11))</f>
        <v xml:space="preserve"> </v>
      </c>
      <c r="T11" s="38" t="str">
        <f t="shared" ref="T11" si="4">IF(ISERR(G11/G11)=TRUE," ",IF(ISERR(L11/L11)=TRUE," ",IF(ISNUMBER($L11)=FALSE," ",IF(MAX($L11:$N11)&lt;$F11,0,(MAX($L11:$N11)-$F11)/$G11))))</f>
        <v xml:space="preserve"> </v>
      </c>
      <c r="U11" s="23" t="str">
        <f t="shared" ref="U11" si="5">IF(ISERR(H11/F11)=TRUE," ",IF(ISERR(H11/H11)=TRUE," ",IF(ISERR(L11/L11)=TRUE," ",IF(ISNUMBER(L11)=FALSE," ",IF(MIN(L11:N11)&gt;$F11,0,($F11-MIN(L11:N11))/-H11)))))</f>
        <v xml:space="preserve"> </v>
      </c>
      <c r="V11" s="38" t="str">
        <f t="shared" ref="V11:V18" si="6">IF(ISNUMBER($T11)=TRUE,IF($T11&gt;0.651,IF($T11&gt;1.001,"Reject","Alert")," ")," ")</f>
        <v xml:space="preserve"> </v>
      </c>
      <c r="W11" s="23" t="str">
        <f t="shared" ref="W11" si="7">IF(L11="","",IF(ISERR(H11/H11)=TRUE," ",IF(ISERR(H11/F11)=TRUE,IF((H11-MIN(L11:N11))&gt;0.001,"Reject",""),IF(ISNUMBER($U11)=TRUE,IF($U11&gt;0.651,IF($U11&gt;1.001,"Reject","Alert")," ")," "))))</f>
        <v/>
      </c>
      <c r="X11" s="38"/>
      <c r="Y11" s="35"/>
    </row>
    <row r="12" spans="1:30" s="4" customFormat="1" ht="35.1" customHeight="1">
      <c r="A12" s="35"/>
      <c r="B12" s="76">
        <v>5.5</v>
      </c>
      <c r="C12" s="69" t="s">
        <v>693</v>
      </c>
      <c r="D12" s="31" t="s">
        <v>707</v>
      </c>
      <c r="E12" s="29" t="s">
        <v>34</v>
      </c>
      <c r="F12" s="28">
        <v>7.8</v>
      </c>
      <c r="G12" s="29">
        <v>2E-3</v>
      </c>
      <c r="H12" s="29">
        <v>1.0009999999999999</v>
      </c>
      <c r="I12" s="82" t="s">
        <v>39</v>
      </c>
      <c r="J12" s="83"/>
      <c r="K12" s="83"/>
      <c r="L12" s="85"/>
      <c r="M12" s="85"/>
      <c r="N12" s="85"/>
      <c r="O12" s="35"/>
      <c r="P12" s="84" t="str">
        <f t="shared" ref="P12:P18" si="8">IF(ISERR(L12/L12)=TRUE," ",L12-$F12)</f>
        <v xml:space="preserve"> </v>
      </c>
      <c r="Q12" s="22" t="str">
        <f t="shared" ref="Q12:Q18" si="9">IF(ISERR(M12/M12)=TRUE," ",M12-$F12)</f>
        <v xml:space="preserve"> </v>
      </c>
      <c r="R12" s="22" t="str">
        <f t="shared" ref="R12:R18" si="10">IF(ISERR(N12/N12)=TRUE," ",N12-$F12)</f>
        <v xml:space="preserve"> </v>
      </c>
      <c r="S12" s="81" t="str">
        <f t="shared" ref="S12:S18" si="11">IF(ISERR(L12/L12)=TRUE," ",AVERAGE(L12:N12))</f>
        <v xml:space="preserve"> </v>
      </c>
      <c r="T12" s="38" t="str">
        <f t="shared" ref="T12:T18" si="12">IF(ISERR(G12/G12)=TRUE," ",IF(ISERR(L12/L12)=TRUE," ",IF(ISNUMBER($L12)=FALSE," ",IF(MAX($L12:$N12)&lt;$F12,0,(MAX($L12:$N12)-$F12)/$G12))))</f>
        <v xml:space="preserve"> </v>
      </c>
      <c r="U12" s="23" t="str">
        <f t="shared" ref="U12:U18" si="13">IF(ISERR(H12/F12)=TRUE," ",IF(ISERR(H12/H12)=TRUE," ",IF(ISERR(L12/L12)=TRUE," ",IF(ISNUMBER(L12)=FALSE," ",IF(MIN(L12:N12)&gt;$F12,0,($F12-MIN(L12:N12))/-H12)))))</f>
        <v xml:space="preserve"> </v>
      </c>
      <c r="V12" s="38" t="str">
        <f t="shared" si="6"/>
        <v xml:space="preserve"> </v>
      </c>
      <c r="W12" s="23" t="str">
        <f t="shared" ref="W12:W18" si="14">IF(L12="","",IF(ISERR(H12/H12)=TRUE," ",IF(ISERR(H12/F12)=TRUE,IF((H12-MIN(L12:N12))&gt;0.001,"Reject",""),IF(ISNUMBER($U12)=TRUE,IF($U12&gt;0.651,IF($U12&gt;1.001,"Reject","Alert")," ")," "))))</f>
        <v/>
      </c>
      <c r="X12" s="38"/>
      <c r="Y12" s="35"/>
    </row>
    <row r="13" spans="1:30" s="4" customFormat="1" ht="35.1" customHeight="1">
      <c r="A13" s="35"/>
      <c r="B13" s="76">
        <v>6.5</v>
      </c>
      <c r="C13" s="69" t="s">
        <v>694</v>
      </c>
      <c r="D13" s="31" t="s">
        <v>707</v>
      </c>
      <c r="E13" s="29" t="s">
        <v>34</v>
      </c>
      <c r="F13" s="28">
        <v>8.8000000000000007</v>
      </c>
      <c r="G13" s="29">
        <v>5.0000000000000001E-3</v>
      </c>
      <c r="H13" s="29">
        <v>5.0000000000000001E-3</v>
      </c>
      <c r="I13" s="82" t="s">
        <v>39</v>
      </c>
      <c r="J13" s="83"/>
      <c r="K13" s="83"/>
      <c r="L13" s="85"/>
      <c r="M13" s="85"/>
      <c r="N13" s="85"/>
      <c r="O13" s="35"/>
      <c r="P13" s="84" t="str">
        <f t="shared" si="8"/>
        <v xml:space="preserve"> </v>
      </c>
      <c r="Q13" s="22" t="str">
        <f t="shared" si="9"/>
        <v xml:space="preserve"> </v>
      </c>
      <c r="R13" s="22" t="str">
        <f t="shared" si="10"/>
        <v xml:space="preserve"> </v>
      </c>
      <c r="S13" s="81" t="str">
        <f t="shared" si="11"/>
        <v xml:space="preserve"> </v>
      </c>
      <c r="T13" s="38" t="str">
        <f t="shared" si="12"/>
        <v xml:space="preserve"> </v>
      </c>
      <c r="U13" s="23" t="str">
        <f t="shared" si="13"/>
        <v xml:space="preserve"> </v>
      </c>
      <c r="V13" s="38" t="str">
        <f t="shared" si="6"/>
        <v xml:space="preserve"> </v>
      </c>
      <c r="W13" s="23" t="str">
        <f t="shared" si="14"/>
        <v/>
      </c>
      <c r="X13" s="38"/>
      <c r="Y13" s="35"/>
    </row>
    <row r="14" spans="1:30" s="4" customFormat="1" ht="35.1" customHeight="1">
      <c r="A14" s="35"/>
      <c r="B14" s="76">
        <v>100</v>
      </c>
      <c r="C14" s="69" t="s">
        <v>952</v>
      </c>
      <c r="D14" s="31" t="s">
        <v>707</v>
      </c>
      <c r="E14" s="29" t="s">
        <v>34</v>
      </c>
      <c r="F14" s="28">
        <v>12</v>
      </c>
      <c r="G14" s="29">
        <v>5.0000000000000001E-3</v>
      </c>
      <c r="H14" s="29">
        <v>5.0000000000000001E-3</v>
      </c>
      <c r="I14" s="82" t="s">
        <v>950</v>
      </c>
      <c r="J14" s="83"/>
      <c r="K14" s="83"/>
      <c r="L14" s="85"/>
      <c r="M14" s="85"/>
      <c r="N14" s="85"/>
      <c r="O14" s="35"/>
      <c r="P14" s="84"/>
      <c r="Q14" s="22"/>
      <c r="R14" s="22"/>
      <c r="S14" s="86"/>
      <c r="T14" s="38"/>
      <c r="U14" s="23"/>
      <c r="V14" s="38"/>
      <c r="W14" s="23"/>
      <c r="X14" s="38"/>
      <c r="Y14" s="35"/>
    </row>
    <row r="15" spans="1:30" s="4" customFormat="1" ht="35.1" customHeight="1">
      <c r="A15" s="35"/>
      <c r="B15" s="76">
        <v>43</v>
      </c>
      <c r="C15" s="69" t="s">
        <v>952</v>
      </c>
      <c r="D15" s="31" t="s">
        <v>707</v>
      </c>
      <c r="E15" s="29" t="s">
        <v>34</v>
      </c>
      <c r="F15" s="28">
        <v>13.5</v>
      </c>
      <c r="G15" s="29">
        <v>5.0000000000000001E-3</v>
      </c>
      <c r="H15" s="29">
        <v>5.0000000000000001E-3</v>
      </c>
      <c r="I15" s="82" t="s">
        <v>950</v>
      </c>
      <c r="J15" s="83"/>
      <c r="K15" s="83"/>
      <c r="L15" s="85"/>
      <c r="M15" s="85"/>
      <c r="N15" s="85"/>
      <c r="O15" s="35"/>
      <c r="P15" s="84"/>
      <c r="Q15" s="22"/>
      <c r="R15" s="22"/>
      <c r="S15" s="86"/>
      <c r="T15" s="38"/>
      <c r="U15" s="23"/>
      <c r="V15" s="38"/>
      <c r="W15" s="23"/>
      <c r="X15" s="38"/>
      <c r="Y15" s="35"/>
    </row>
    <row r="16" spans="1:30" s="4" customFormat="1" ht="35.1" customHeight="1">
      <c r="A16" s="35"/>
      <c r="B16" s="76">
        <v>65</v>
      </c>
      <c r="C16" s="69" t="s">
        <v>952</v>
      </c>
      <c r="D16" s="31" t="s">
        <v>707</v>
      </c>
      <c r="E16" s="29" t="s">
        <v>34</v>
      </c>
      <c r="F16" s="28">
        <v>88</v>
      </c>
      <c r="G16" s="29">
        <v>5.0000000000000001E-3</v>
      </c>
      <c r="H16" s="29">
        <v>5.0000000000000001E-3</v>
      </c>
      <c r="I16" s="82" t="s">
        <v>950</v>
      </c>
      <c r="J16" s="83"/>
      <c r="K16" s="83"/>
      <c r="L16" s="85"/>
      <c r="M16" s="85"/>
      <c r="N16" s="85"/>
      <c r="O16" s="35"/>
      <c r="P16" s="84"/>
      <c r="Q16" s="22"/>
      <c r="R16" s="22"/>
      <c r="S16" s="86"/>
      <c r="T16" s="38"/>
      <c r="U16" s="23"/>
      <c r="V16" s="38"/>
      <c r="W16" s="23"/>
      <c r="X16" s="38"/>
      <c r="Y16" s="35"/>
    </row>
    <row r="17" spans="1:25" s="4" customFormat="1" ht="35.1" customHeight="1">
      <c r="A17" s="35"/>
      <c r="B17" s="76">
        <v>11.2</v>
      </c>
      <c r="C17" s="69" t="s">
        <v>695</v>
      </c>
      <c r="D17" s="31" t="s">
        <v>948</v>
      </c>
      <c r="E17" s="29" t="s">
        <v>34</v>
      </c>
      <c r="F17" s="28">
        <v>11.9</v>
      </c>
      <c r="G17" s="29">
        <v>5.0000000000000001E-3</v>
      </c>
      <c r="H17" s="29">
        <v>5.0000000000000001E-3</v>
      </c>
      <c r="I17" s="82" t="s">
        <v>951</v>
      </c>
      <c r="J17" s="83"/>
      <c r="K17" s="83"/>
      <c r="L17" s="85"/>
      <c r="M17" s="85"/>
      <c r="N17" s="85"/>
      <c r="O17" s="35"/>
      <c r="P17" s="84" t="str">
        <f t="shared" si="8"/>
        <v xml:space="preserve"> </v>
      </c>
      <c r="Q17" s="22" t="str">
        <f t="shared" si="9"/>
        <v xml:space="preserve"> </v>
      </c>
      <c r="R17" s="22" t="str">
        <f t="shared" si="10"/>
        <v xml:space="preserve"> </v>
      </c>
      <c r="S17" s="81" t="str">
        <f t="shared" si="11"/>
        <v xml:space="preserve"> </v>
      </c>
      <c r="T17" s="38" t="str">
        <f t="shared" si="12"/>
        <v xml:space="preserve"> </v>
      </c>
      <c r="U17" s="23" t="str">
        <f t="shared" si="13"/>
        <v xml:space="preserve"> </v>
      </c>
      <c r="V17" s="38" t="str">
        <f t="shared" si="6"/>
        <v xml:space="preserve"> </v>
      </c>
      <c r="W17" s="23" t="str">
        <f t="shared" si="14"/>
        <v/>
      </c>
      <c r="X17" s="38"/>
      <c r="Y17" s="35"/>
    </row>
    <row r="18" spans="1:25" s="4" customFormat="1" ht="35.1" customHeight="1">
      <c r="A18" s="35"/>
      <c r="B18" s="76">
        <v>12.3</v>
      </c>
      <c r="C18" s="69" t="s">
        <v>696</v>
      </c>
      <c r="D18" s="31" t="s">
        <v>949</v>
      </c>
      <c r="E18" s="29" t="s">
        <v>34</v>
      </c>
      <c r="F18" s="28">
        <v>45</v>
      </c>
      <c r="G18" s="29">
        <v>5.0000000000000001E-3</v>
      </c>
      <c r="H18" s="29">
        <v>5.0000000000000001E-3</v>
      </c>
      <c r="I18" s="82" t="s">
        <v>951</v>
      </c>
      <c r="J18" s="83"/>
      <c r="K18" s="83"/>
      <c r="L18" s="85"/>
      <c r="M18" s="85"/>
      <c r="N18" s="85"/>
      <c r="O18" s="35"/>
      <c r="P18" s="84" t="str">
        <f t="shared" si="8"/>
        <v xml:space="preserve"> </v>
      </c>
      <c r="Q18" s="22" t="str">
        <f t="shared" si="9"/>
        <v xml:space="preserve"> </v>
      </c>
      <c r="R18" s="22" t="str">
        <f t="shared" si="10"/>
        <v xml:space="preserve"> </v>
      </c>
      <c r="S18" s="81" t="str">
        <f t="shared" si="11"/>
        <v xml:space="preserve"> </v>
      </c>
      <c r="T18" s="38" t="str">
        <f t="shared" si="12"/>
        <v xml:space="preserve"> </v>
      </c>
      <c r="U18" s="23" t="str">
        <f t="shared" si="13"/>
        <v xml:space="preserve"> </v>
      </c>
      <c r="V18" s="38" t="str">
        <f t="shared" si="6"/>
        <v xml:space="preserve"> </v>
      </c>
      <c r="W18" s="23" t="str">
        <f t="shared" si="14"/>
        <v/>
      </c>
      <c r="X18" s="38"/>
      <c r="Y18" s="35"/>
    </row>
    <row r="19" spans="1:25" s="4" customFormat="1" ht="18" customHeight="1">
      <c r="A19" s="36"/>
      <c r="B19" s="69">
        <v>13.01</v>
      </c>
      <c r="C19" s="69"/>
      <c r="D19" s="31" t="s">
        <v>308</v>
      </c>
      <c r="E19" s="29" t="s">
        <v>34</v>
      </c>
      <c r="F19" s="28">
        <v>15.23</v>
      </c>
      <c r="G19" s="29">
        <v>0.1</v>
      </c>
      <c r="H19" s="29">
        <v>-0.1</v>
      </c>
      <c r="I19" s="30" t="s">
        <v>39</v>
      </c>
      <c r="J19" s="12">
        <f t="shared" ref="J19:J37" si="15">IF(AND(F19="",G19=""),"",IF(F19="",G19,F19+G19))</f>
        <v>15.33</v>
      </c>
      <c r="K19" s="12">
        <f t="shared" ref="K19:K37" si="16">IF(AND(F19="",H19=""),"",IF(F19="",H19,F19+H19))</f>
        <v>15.13</v>
      </c>
      <c r="L19" s="78"/>
      <c r="M19" s="78"/>
      <c r="N19" s="78"/>
      <c r="O19" s="36"/>
      <c r="P19" s="24" t="str">
        <f t="shared" ref="P19:P54" si="17">IF(ISERR(L19/L19)=TRUE," ",L19-$F19)</f>
        <v xml:space="preserve"> </v>
      </c>
      <c r="Q19" s="25" t="str">
        <f t="shared" ref="Q19:Q54" si="18">IF(ISERR(M19/M19)=TRUE," ",M19-$F19)</f>
        <v xml:space="preserve"> </v>
      </c>
      <c r="R19" s="25" t="str">
        <f t="shared" ref="R19:R54" si="19">IF(ISERR(N19/N19)=TRUE," ",N19-$F19)</f>
        <v xml:space="preserve"> </v>
      </c>
      <c r="S19" s="26" t="str">
        <f t="shared" ref="S19:S54" si="20">IF(ISERR(L19/L19)=TRUE," ",AVERAGE(L19:N19))</f>
        <v xml:space="preserve"> </v>
      </c>
      <c r="T19" s="7" t="str">
        <f t="shared" ref="T19:T54" si="21">IF(ISERR(G19/G19)=TRUE," ",IF(ISERR(L19/L19)=TRUE," ",IF(ISNUMBER($L19)=FALSE," ",IF(MAX($L19:$N19)&lt;$F19,0,(MAX($L19:$N19)-$F19)/$G19))))</f>
        <v xml:space="preserve"> </v>
      </c>
      <c r="U19" s="8" t="str">
        <f t="shared" ref="U19:U54" si="22">IF(ISERR(H19/F19)=TRUE," ",IF(ISERR(H19/H19)=TRUE," ",IF(ISERR(L19/L19)=TRUE," ",IF(ISNUMBER(L19)=FALSE," ",IF(MIN(L19:N19)&gt;$F19,0,($F19-MIN(L19:N19))/-H19)))))</f>
        <v xml:space="preserve"> </v>
      </c>
      <c r="V19" s="9" t="str">
        <f t="shared" ref="V19:V52" si="23">IF(ISNUMBER($T19)=TRUE,IF($T19&gt;0.651,IF($T19&gt;1.001,"Reject","Alert")," ")," ")</f>
        <v xml:space="preserve"> </v>
      </c>
      <c r="W19" s="9" t="str">
        <f t="shared" ref="W19:W54" si="24">IF(L19="","",IF(ISERR(H19/H19)=TRUE," ",IF(ISERR(H19/F19)=TRUE,IF((H19-MIN(L19:N19))&gt;0.001,"Reject",""),IF(ISNUMBER($U19)=TRUE,IF($U19&gt;0.651,IF($U19&gt;1.001,"Reject","Alert")," ")," "))))</f>
        <v/>
      </c>
      <c r="X19" s="32"/>
      <c r="Y19" s="36"/>
    </row>
    <row r="20" spans="1:25" s="4" customFormat="1" ht="18" customHeight="1">
      <c r="A20" s="36"/>
      <c r="B20" s="69">
        <v>13.02</v>
      </c>
      <c r="C20" s="69"/>
      <c r="D20" s="31" t="s">
        <v>308</v>
      </c>
      <c r="E20" s="29" t="s">
        <v>34</v>
      </c>
      <c r="F20" s="28">
        <v>15.23</v>
      </c>
      <c r="G20" s="29">
        <v>0.1</v>
      </c>
      <c r="H20" s="29">
        <v>-0.1</v>
      </c>
      <c r="I20" s="30" t="s">
        <v>39</v>
      </c>
      <c r="J20" s="12">
        <f t="shared" si="15"/>
        <v>15.33</v>
      </c>
      <c r="K20" s="12">
        <f t="shared" si="16"/>
        <v>15.13</v>
      </c>
      <c r="L20" s="78"/>
      <c r="M20" s="78"/>
      <c r="N20" s="78"/>
      <c r="O20" s="36"/>
      <c r="P20" s="24" t="str">
        <f t="shared" si="17"/>
        <v xml:space="preserve"> </v>
      </c>
      <c r="Q20" s="25" t="str">
        <f t="shared" si="18"/>
        <v xml:space="preserve"> </v>
      </c>
      <c r="R20" s="25" t="str">
        <f t="shared" si="19"/>
        <v xml:space="preserve"> </v>
      </c>
      <c r="S20" s="26" t="str">
        <f t="shared" si="20"/>
        <v xml:space="preserve"> </v>
      </c>
      <c r="T20" s="7" t="str">
        <f t="shared" si="21"/>
        <v xml:space="preserve"> </v>
      </c>
      <c r="U20" s="8" t="str">
        <f t="shared" si="22"/>
        <v xml:space="preserve"> </v>
      </c>
      <c r="V20" s="9" t="str">
        <f t="shared" si="23"/>
        <v xml:space="preserve"> </v>
      </c>
      <c r="W20" s="9" t="str">
        <f t="shared" si="24"/>
        <v/>
      </c>
      <c r="X20" s="32"/>
      <c r="Y20" s="36"/>
    </row>
    <row r="21" spans="1:25" s="4" customFormat="1" ht="18" customHeight="1">
      <c r="A21" s="36"/>
      <c r="B21" s="69">
        <v>14.01</v>
      </c>
      <c r="C21" s="69"/>
      <c r="D21" s="31" t="s">
        <v>308</v>
      </c>
      <c r="E21" s="29" t="s">
        <v>34</v>
      </c>
      <c r="F21" s="28">
        <v>29.23</v>
      </c>
      <c r="G21" s="29">
        <v>0.1</v>
      </c>
      <c r="H21" s="29">
        <v>-0.1</v>
      </c>
      <c r="I21" s="30" t="s">
        <v>39</v>
      </c>
      <c r="J21" s="12">
        <f t="shared" si="15"/>
        <v>29.330000000000002</v>
      </c>
      <c r="K21" s="12">
        <f t="shared" si="16"/>
        <v>29.13</v>
      </c>
      <c r="L21" s="78"/>
      <c r="M21" s="78"/>
      <c r="N21" s="78"/>
      <c r="O21" s="36"/>
      <c r="P21" s="24" t="str">
        <f t="shared" si="17"/>
        <v xml:space="preserve"> </v>
      </c>
      <c r="Q21" s="25" t="str">
        <f t="shared" si="18"/>
        <v xml:space="preserve"> </v>
      </c>
      <c r="R21" s="25" t="str">
        <f t="shared" si="19"/>
        <v xml:space="preserve"> </v>
      </c>
      <c r="S21" s="26" t="str">
        <f t="shared" si="20"/>
        <v xml:space="preserve"> </v>
      </c>
      <c r="T21" s="7" t="str">
        <f t="shared" si="21"/>
        <v xml:space="preserve"> </v>
      </c>
      <c r="U21" s="8" t="str">
        <f t="shared" si="22"/>
        <v xml:space="preserve"> </v>
      </c>
      <c r="V21" s="9" t="str">
        <f t="shared" si="23"/>
        <v xml:space="preserve"> </v>
      </c>
      <c r="W21" s="9" t="str">
        <f t="shared" si="24"/>
        <v/>
      </c>
      <c r="X21" s="32"/>
      <c r="Y21" s="36"/>
    </row>
    <row r="22" spans="1:25" s="4" customFormat="1" ht="18" customHeight="1">
      <c r="A22" s="36"/>
      <c r="B22" s="69">
        <v>14.02</v>
      </c>
      <c r="C22" s="69"/>
      <c r="D22" s="31" t="s">
        <v>308</v>
      </c>
      <c r="E22" s="29" t="s">
        <v>34</v>
      </c>
      <c r="F22" s="28">
        <v>29.23</v>
      </c>
      <c r="G22" s="29">
        <v>0.1</v>
      </c>
      <c r="H22" s="29">
        <v>-0.1</v>
      </c>
      <c r="I22" s="30" t="s">
        <v>39</v>
      </c>
      <c r="J22" s="12">
        <f t="shared" si="15"/>
        <v>29.330000000000002</v>
      </c>
      <c r="K22" s="12">
        <f t="shared" si="16"/>
        <v>29.13</v>
      </c>
      <c r="L22" s="78"/>
      <c r="M22" s="78"/>
      <c r="N22" s="78"/>
      <c r="O22" s="36"/>
      <c r="P22" s="24" t="str">
        <f t="shared" si="17"/>
        <v xml:space="preserve"> </v>
      </c>
      <c r="Q22" s="25" t="str">
        <f t="shared" si="18"/>
        <v xml:space="preserve"> </v>
      </c>
      <c r="R22" s="25" t="str">
        <f t="shared" si="19"/>
        <v xml:space="preserve"> </v>
      </c>
      <c r="S22" s="26" t="str">
        <f t="shared" si="20"/>
        <v xml:space="preserve"> </v>
      </c>
      <c r="T22" s="7" t="str">
        <f t="shared" si="21"/>
        <v xml:space="preserve"> </v>
      </c>
      <c r="U22" s="8" t="str">
        <f t="shared" si="22"/>
        <v xml:space="preserve"> </v>
      </c>
      <c r="V22" s="9" t="str">
        <f t="shared" si="23"/>
        <v xml:space="preserve"> </v>
      </c>
      <c r="W22" s="9" t="str">
        <f t="shared" si="24"/>
        <v/>
      </c>
      <c r="X22" s="32"/>
      <c r="Y22" s="36"/>
    </row>
    <row r="23" spans="1:25" s="4" customFormat="1" ht="18" customHeight="1">
      <c r="A23" s="36"/>
      <c r="B23" s="69">
        <v>15.01</v>
      </c>
      <c r="C23" s="69"/>
      <c r="D23" s="31" t="s">
        <v>308</v>
      </c>
      <c r="E23" s="29" t="s">
        <v>34</v>
      </c>
      <c r="F23" s="28">
        <v>4.8</v>
      </c>
      <c r="G23" s="29">
        <v>0.1</v>
      </c>
      <c r="H23" s="29">
        <v>-0.1</v>
      </c>
      <c r="I23" s="30" t="s">
        <v>39</v>
      </c>
      <c r="J23" s="12">
        <f t="shared" si="15"/>
        <v>4.8999999999999995</v>
      </c>
      <c r="K23" s="12">
        <f t="shared" si="16"/>
        <v>4.7</v>
      </c>
      <c r="L23" s="78"/>
      <c r="M23" s="78"/>
      <c r="N23" s="78"/>
      <c r="O23" s="36"/>
      <c r="P23" s="24" t="str">
        <f t="shared" si="17"/>
        <v xml:space="preserve"> </v>
      </c>
      <c r="Q23" s="25" t="str">
        <f t="shared" si="18"/>
        <v xml:space="preserve"> </v>
      </c>
      <c r="R23" s="25" t="str">
        <f t="shared" si="19"/>
        <v xml:space="preserve"> </v>
      </c>
      <c r="S23" s="26" t="str">
        <f t="shared" si="20"/>
        <v xml:space="preserve"> </v>
      </c>
      <c r="T23" s="7" t="str">
        <f t="shared" si="21"/>
        <v xml:space="preserve"> </v>
      </c>
      <c r="U23" s="8" t="str">
        <f t="shared" si="22"/>
        <v xml:space="preserve"> </v>
      </c>
      <c r="V23" s="9" t="str">
        <f t="shared" si="23"/>
        <v xml:space="preserve"> </v>
      </c>
      <c r="W23" s="9" t="str">
        <f t="shared" si="24"/>
        <v/>
      </c>
      <c r="X23" s="32"/>
      <c r="Y23" s="36"/>
    </row>
    <row r="24" spans="1:25" s="4" customFormat="1" ht="18" customHeight="1">
      <c r="A24" s="36"/>
      <c r="B24" s="69">
        <v>15.02</v>
      </c>
      <c r="C24" s="69"/>
      <c r="D24" s="31" t="s">
        <v>308</v>
      </c>
      <c r="E24" s="29" t="s">
        <v>34</v>
      </c>
      <c r="F24" s="28">
        <v>4.8</v>
      </c>
      <c r="G24" s="29">
        <v>0.1</v>
      </c>
      <c r="H24" s="29">
        <v>-0.1</v>
      </c>
      <c r="I24" s="30" t="s">
        <v>39</v>
      </c>
      <c r="J24" s="12">
        <f t="shared" si="15"/>
        <v>4.8999999999999995</v>
      </c>
      <c r="K24" s="12">
        <f t="shared" si="16"/>
        <v>4.7</v>
      </c>
      <c r="L24" s="78"/>
      <c r="M24" s="78"/>
      <c r="N24" s="78"/>
      <c r="O24" s="36"/>
      <c r="P24" s="24" t="str">
        <f t="shared" si="17"/>
        <v xml:space="preserve"> </v>
      </c>
      <c r="Q24" s="25" t="str">
        <f t="shared" si="18"/>
        <v xml:space="preserve"> </v>
      </c>
      <c r="R24" s="25" t="str">
        <f t="shared" si="19"/>
        <v xml:space="preserve"> </v>
      </c>
      <c r="S24" s="26" t="str">
        <f t="shared" si="20"/>
        <v xml:space="preserve"> </v>
      </c>
      <c r="T24" s="7" t="str">
        <f t="shared" si="21"/>
        <v xml:space="preserve"> </v>
      </c>
      <c r="U24" s="8" t="str">
        <f t="shared" si="22"/>
        <v xml:space="preserve"> </v>
      </c>
      <c r="V24" s="9" t="str">
        <f t="shared" si="23"/>
        <v xml:space="preserve"> </v>
      </c>
      <c r="W24" s="9" t="str">
        <f t="shared" si="24"/>
        <v/>
      </c>
      <c r="X24" s="32"/>
      <c r="Y24" s="36"/>
    </row>
    <row r="25" spans="1:25" s="4" customFormat="1" ht="18" customHeight="1">
      <c r="A25" s="36"/>
      <c r="B25" s="69">
        <v>19.010000000000002</v>
      </c>
      <c r="C25" s="69"/>
      <c r="D25" s="31" t="s">
        <v>309</v>
      </c>
      <c r="E25" s="29" t="s">
        <v>34</v>
      </c>
      <c r="F25" s="28">
        <v>4.54</v>
      </c>
      <c r="G25" s="29">
        <v>0.1</v>
      </c>
      <c r="H25" s="29">
        <v>-0.1</v>
      </c>
      <c r="I25" s="30" t="s">
        <v>33</v>
      </c>
      <c r="J25" s="12">
        <f t="shared" si="15"/>
        <v>4.6399999999999997</v>
      </c>
      <c r="K25" s="12">
        <f t="shared" si="16"/>
        <v>4.4400000000000004</v>
      </c>
      <c r="L25" s="78"/>
      <c r="M25" s="78"/>
      <c r="N25" s="78"/>
      <c r="O25" s="36"/>
      <c r="P25" s="24" t="str">
        <f t="shared" si="17"/>
        <v xml:space="preserve"> </v>
      </c>
      <c r="Q25" s="25" t="str">
        <f t="shared" si="18"/>
        <v xml:space="preserve"> </v>
      </c>
      <c r="R25" s="25" t="str">
        <f t="shared" si="19"/>
        <v xml:space="preserve"> </v>
      </c>
      <c r="S25" s="26" t="str">
        <f t="shared" si="20"/>
        <v xml:space="preserve"> </v>
      </c>
      <c r="T25" s="7" t="str">
        <f t="shared" si="21"/>
        <v xml:space="preserve"> </v>
      </c>
      <c r="U25" s="8" t="str">
        <f t="shared" si="22"/>
        <v xml:space="preserve"> </v>
      </c>
      <c r="V25" s="9" t="str">
        <f t="shared" si="23"/>
        <v xml:space="preserve"> </v>
      </c>
      <c r="W25" s="9" t="str">
        <f t="shared" si="24"/>
        <v/>
      </c>
      <c r="X25" s="32"/>
      <c r="Y25" s="36"/>
    </row>
    <row r="26" spans="1:25" s="4" customFormat="1" ht="18" customHeight="1">
      <c r="A26" s="36"/>
      <c r="B26" s="69">
        <v>19.02</v>
      </c>
      <c r="C26" s="69"/>
      <c r="D26" s="31" t="s">
        <v>309</v>
      </c>
      <c r="E26" s="29" t="s">
        <v>34</v>
      </c>
      <c r="F26" s="28">
        <v>4.54</v>
      </c>
      <c r="G26" s="29">
        <v>0.1</v>
      </c>
      <c r="H26" s="29">
        <v>-0.1</v>
      </c>
      <c r="I26" s="30" t="s">
        <v>33</v>
      </c>
      <c r="J26" s="12">
        <f t="shared" ref="J26" si="25">IF(AND(F26="",G26=""),"",IF(F26="",G26,F26+G26))</f>
        <v>4.6399999999999997</v>
      </c>
      <c r="K26" s="12">
        <f t="shared" ref="K26" si="26">IF(AND(F26="",H26=""),"",IF(F26="",H26,F26+H26))</f>
        <v>4.4400000000000004</v>
      </c>
      <c r="L26" s="78"/>
      <c r="M26" s="78"/>
      <c r="N26" s="78"/>
      <c r="O26" s="36"/>
      <c r="P26" s="24" t="str">
        <f t="shared" si="17"/>
        <v xml:space="preserve"> </v>
      </c>
      <c r="Q26" s="25" t="str">
        <f t="shared" si="18"/>
        <v xml:space="preserve"> </v>
      </c>
      <c r="R26" s="25" t="str">
        <f t="shared" si="19"/>
        <v xml:space="preserve"> </v>
      </c>
      <c r="S26" s="26" t="str">
        <f t="shared" si="20"/>
        <v xml:space="preserve"> </v>
      </c>
      <c r="T26" s="7" t="str">
        <f t="shared" si="21"/>
        <v xml:space="preserve"> </v>
      </c>
      <c r="U26" s="8" t="str">
        <f t="shared" si="22"/>
        <v xml:space="preserve"> </v>
      </c>
      <c r="V26" s="9" t="str">
        <f t="shared" si="23"/>
        <v xml:space="preserve"> </v>
      </c>
      <c r="W26" s="9" t="str">
        <f t="shared" si="24"/>
        <v/>
      </c>
      <c r="X26" s="32"/>
      <c r="Y26" s="36"/>
    </row>
    <row r="27" spans="1:25" s="4" customFormat="1" ht="18" customHeight="1">
      <c r="A27" s="36"/>
      <c r="B27" s="79">
        <v>20.010000000000002</v>
      </c>
      <c r="C27" s="69"/>
      <c r="D27" s="31" t="s">
        <v>310</v>
      </c>
      <c r="E27" s="29" t="s">
        <v>34</v>
      </c>
      <c r="F27" s="28">
        <v>7.28</v>
      </c>
      <c r="G27" s="29">
        <v>0.1</v>
      </c>
      <c r="H27" s="29">
        <v>-0.1</v>
      </c>
      <c r="I27" s="30" t="s">
        <v>33</v>
      </c>
      <c r="J27" s="12">
        <f t="shared" si="15"/>
        <v>7.38</v>
      </c>
      <c r="K27" s="12">
        <f t="shared" si="16"/>
        <v>7.1800000000000006</v>
      </c>
      <c r="L27" s="78"/>
      <c r="M27" s="78"/>
      <c r="N27" s="78"/>
      <c r="O27" s="36"/>
      <c r="P27" s="24" t="str">
        <f t="shared" si="17"/>
        <v xml:space="preserve"> </v>
      </c>
      <c r="Q27" s="25" t="str">
        <f t="shared" si="18"/>
        <v xml:space="preserve"> </v>
      </c>
      <c r="R27" s="25" t="str">
        <f t="shared" si="19"/>
        <v xml:space="preserve"> </v>
      </c>
      <c r="S27" s="26" t="str">
        <f t="shared" si="20"/>
        <v xml:space="preserve"> </v>
      </c>
      <c r="T27" s="7" t="str">
        <f t="shared" si="21"/>
        <v xml:space="preserve"> </v>
      </c>
      <c r="U27" s="8" t="str">
        <f t="shared" si="22"/>
        <v xml:space="preserve"> </v>
      </c>
      <c r="V27" s="9" t="str">
        <f t="shared" si="23"/>
        <v xml:space="preserve"> </v>
      </c>
      <c r="W27" s="9" t="str">
        <f t="shared" si="24"/>
        <v/>
      </c>
      <c r="X27" s="32"/>
      <c r="Y27" s="36"/>
    </row>
    <row r="28" spans="1:25" s="4" customFormat="1" ht="18" customHeight="1">
      <c r="A28" s="36"/>
      <c r="B28" s="79">
        <v>20.02</v>
      </c>
      <c r="C28" s="69"/>
      <c r="D28" s="31" t="s">
        <v>310</v>
      </c>
      <c r="E28" s="29" t="s">
        <v>34</v>
      </c>
      <c r="F28" s="28">
        <v>7.28</v>
      </c>
      <c r="G28" s="29">
        <v>0.1</v>
      </c>
      <c r="H28" s="29">
        <v>-0.1</v>
      </c>
      <c r="I28" s="30" t="s">
        <v>33</v>
      </c>
      <c r="J28" s="12">
        <f t="shared" si="15"/>
        <v>7.38</v>
      </c>
      <c r="K28" s="12">
        <f t="shared" si="16"/>
        <v>7.1800000000000006</v>
      </c>
      <c r="L28" s="78"/>
      <c r="M28" s="78"/>
      <c r="N28" s="78"/>
      <c r="O28" s="36"/>
      <c r="P28" s="24" t="str">
        <f t="shared" si="17"/>
        <v xml:space="preserve"> </v>
      </c>
      <c r="Q28" s="25" t="str">
        <f t="shared" si="18"/>
        <v xml:space="preserve"> </v>
      </c>
      <c r="R28" s="25" t="str">
        <f t="shared" si="19"/>
        <v xml:space="preserve"> </v>
      </c>
      <c r="S28" s="26" t="str">
        <f t="shared" si="20"/>
        <v xml:space="preserve"> </v>
      </c>
      <c r="T28" s="7" t="str">
        <f t="shared" si="21"/>
        <v xml:space="preserve"> </v>
      </c>
      <c r="U28" s="8" t="str">
        <f t="shared" si="22"/>
        <v xml:space="preserve"> </v>
      </c>
      <c r="V28" s="9" t="str">
        <f t="shared" si="23"/>
        <v xml:space="preserve"> </v>
      </c>
      <c r="W28" s="9" t="str">
        <f t="shared" si="24"/>
        <v/>
      </c>
      <c r="X28" s="32"/>
      <c r="Y28" s="36"/>
    </row>
    <row r="29" spans="1:25" s="4" customFormat="1" ht="18" customHeight="1">
      <c r="A29" s="36"/>
      <c r="B29" s="79">
        <v>21.01</v>
      </c>
      <c r="C29" s="69"/>
      <c r="D29" s="31" t="s">
        <v>311</v>
      </c>
      <c r="E29" s="29" t="s">
        <v>34</v>
      </c>
      <c r="F29" s="28">
        <v>12.8</v>
      </c>
      <c r="G29" s="29">
        <v>0.1</v>
      </c>
      <c r="H29" s="29">
        <v>-0.1</v>
      </c>
      <c r="I29" s="30" t="s">
        <v>33</v>
      </c>
      <c r="J29" s="12">
        <f t="shared" si="15"/>
        <v>12.9</v>
      </c>
      <c r="K29" s="12">
        <f t="shared" si="16"/>
        <v>12.700000000000001</v>
      </c>
      <c r="L29" s="78"/>
      <c r="M29" s="78"/>
      <c r="N29" s="78"/>
      <c r="O29" s="36"/>
      <c r="P29" s="24" t="str">
        <f t="shared" si="17"/>
        <v xml:space="preserve"> </v>
      </c>
      <c r="Q29" s="25" t="str">
        <f t="shared" si="18"/>
        <v xml:space="preserve"> </v>
      </c>
      <c r="R29" s="25" t="str">
        <f t="shared" si="19"/>
        <v xml:space="preserve"> </v>
      </c>
      <c r="S29" s="26" t="str">
        <f t="shared" si="20"/>
        <v xml:space="preserve"> </v>
      </c>
      <c r="T29" s="7" t="str">
        <f t="shared" si="21"/>
        <v xml:space="preserve"> </v>
      </c>
      <c r="U29" s="8" t="str">
        <f t="shared" si="22"/>
        <v xml:space="preserve"> </v>
      </c>
      <c r="V29" s="9" t="str">
        <f t="shared" si="23"/>
        <v xml:space="preserve"> </v>
      </c>
      <c r="W29" s="9" t="str">
        <f t="shared" si="24"/>
        <v/>
      </c>
      <c r="X29" s="47"/>
      <c r="Y29" s="36"/>
    </row>
    <row r="30" spans="1:25" s="4" customFormat="1" ht="18" customHeight="1">
      <c r="A30" s="36"/>
      <c r="B30" s="79">
        <v>21.02</v>
      </c>
      <c r="C30" s="69"/>
      <c r="D30" s="31" t="s">
        <v>309</v>
      </c>
      <c r="E30" s="29" t="s">
        <v>34</v>
      </c>
      <c r="F30" s="28">
        <v>12.8</v>
      </c>
      <c r="G30" s="29">
        <v>0.1</v>
      </c>
      <c r="H30" s="29">
        <v>-0.1</v>
      </c>
      <c r="I30" s="30" t="s">
        <v>33</v>
      </c>
      <c r="J30" s="12">
        <f t="shared" si="15"/>
        <v>12.9</v>
      </c>
      <c r="K30" s="12">
        <f t="shared" si="16"/>
        <v>12.700000000000001</v>
      </c>
      <c r="L30" s="78"/>
      <c r="M30" s="78"/>
      <c r="N30" s="78"/>
      <c r="O30" s="36"/>
      <c r="P30" s="24" t="str">
        <f t="shared" si="17"/>
        <v xml:space="preserve"> </v>
      </c>
      <c r="Q30" s="25" t="str">
        <f t="shared" si="18"/>
        <v xml:space="preserve"> </v>
      </c>
      <c r="R30" s="25" t="str">
        <f t="shared" si="19"/>
        <v xml:space="preserve"> </v>
      </c>
      <c r="S30" s="26" t="str">
        <f t="shared" si="20"/>
        <v xml:space="preserve"> </v>
      </c>
      <c r="T30" s="7" t="str">
        <f t="shared" si="21"/>
        <v xml:space="preserve"> </v>
      </c>
      <c r="U30" s="8" t="str">
        <f t="shared" si="22"/>
        <v xml:space="preserve"> </v>
      </c>
      <c r="V30" s="9" t="str">
        <f t="shared" si="23"/>
        <v xml:space="preserve"> </v>
      </c>
      <c r="W30" s="9" t="str">
        <f t="shared" si="24"/>
        <v/>
      </c>
      <c r="X30" s="47"/>
      <c r="Y30" s="36"/>
    </row>
    <row r="31" spans="1:25" s="4" customFormat="1" ht="18" customHeight="1">
      <c r="A31" s="36"/>
      <c r="B31" s="79">
        <v>21.03</v>
      </c>
      <c r="C31" s="69"/>
      <c r="D31" s="31" t="s">
        <v>309</v>
      </c>
      <c r="E31" s="29" t="s">
        <v>34</v>
      </c>
      <c r="F31" s="28">
        <v>12.8</v>
      </c>
      <c r="G31" s="29">
        <v>0.1</v>
      </c>
      <c r="H31" s="29">
        <v>-0.1</v>
      </c>
      <c r="I31" s="30" t="s">
        <v>33</v>
      </c>
      <c r="J31" s="12">
        <f t="shared" si="15"/>
        <v>12.9</v>
      </c>
      <c r="K31" s="12">
        <f t="shared" si="16"/>
        <v>12.700000000000001</v>
      </c>
      <c r="L31" s="78"/>
      <c r="M31" s="78"/>
      <c r="N31" s="78"/>
      <c r="O31" s="36"/>
      <c r="P31" s="24" t="str">
        <f t="shared" si="17"/>
        <v xml:space="preserve"> </v>
      </c>
      <c r="Q31" s="25" t="str">
        <f t="shared" si="18"/>
        <v xml:space="preserve"> </v>
      </c>
      <c r="R31" s="25" t="str">
        <f t="shared" si="19"/>
        <v xml:space="preserve"> </v>
      </c>
      <c r="S31" s="26" t="str">
        <f t="shared" si="20"/>
        <v xml:space="preserve"> </v>
      </c>
      <c r="T31" s="7" t="str">
        <f t="shared" si="21"/>
        <v xml:space="preserve"> </v>
      </c>
      <c r="U31" s="8" t="str">
        <f t="shared" si="22"/>
        <v xml:space="preserve"> </v>
      </c>
      <c r="V31" s="9" t="str">
        <f t="shared" si="23"/>
        <v xml:space="preserve"> </v>
      </c>
      <c r="W31" s="9" t="str">
        <f t="shared" si="24"/>
        <v/>
      </c>
      <c r="X31" s="47"/>
      <c r="Y31" s="36"/>
    </row>
    <row r="32" spans="1:25" s="4" customFormat="1" ht="18" customHeight="1">
      <c r="A32" s="36"/>
      <c r="B32" s="79">
        <v>21.04</v>
      </c>
      <c r="C32" s="69"/>
      <c r="D32" s="31" t="s">
        <v>309</v>
      </c>
      <c r="E32" s="29" t="s">
        <v>34</v>
      </c>
      <c r="F32" s="28">
        <v>12.8</v>
      </c>
      <c r="G32" s="29">
        <v>0.1</v>
      </c>
      <c r="H32" s="29">
        <v>-0.1</v>
      </c>
      <c r="I32" s="30" t="s">
        <v>33</v>
      </c>
      <c r="J32" s="12">
        <f t="shared" si="15"/>
        <v>12.9</v>
      </c>
      <c r="K32" s="12">
        <f t="shared" si="16"/>
        <v>12.700000000000001</v>
      </c>
      <c r="L32" s="78"/>
      <c r="M32" s="78"/>
      <c r="N32" s="78"/>
      <c r="O32" s="36"/>
      <c r="P32" s="24" t="str">
        <f t="shared" si="17"/>
        <v xml:space="preserve"> </v>
      </c>
      <c r="Q32" s="25" t="str">
        <f t="shared" si="18"/>
        <v xml:space="preserve"> </v>
      </c>
      <c r="R32" s="25" t="str">
        <f t="shared" si="19"/>
        <v xml:space="preserve"> </v>
      </c>
      <c r="S32" s="26" t="str">
        <f t="shared" si="20"/>
        <v xml:space="preserve"> </v>
      </c>
      <c r="T32" s="7" t="str">
        <f t="shared" si="21"/>
        <v xml:space="preserve"> </v>
      </c>
      <c r="U32" s="8" t="str">
        <f t="shared" si="22"/>
        <v xml:space="preserve"> </v>
      </c>
      <c r="V32" s="9" t="str">
        <f t="shared" si="23"/>
        <v xml:space="preserve"> </v>
      </c>
      <c r="W32" s="9" t="str">
        <f t="shared" si="24"/>
        <v/>
      </c>
      <c r="X32" s="47"/>
      <c r="Y32" s="36"/>
    </row>
    <row r="33" spans="1:25" s="4" customFormat="1" ht="18" customHeight="1">
      <c r="A33" s="36"/>
      <c r="B33" s="69">
        <v>22</v>
      </c>
      <c r="C33" s="69" t="s">
        <v>336</v>
      </c>
      <c r="D33" s="31" t="s">
        <v>312</v>
      </c>
      <c r="E33" s="29" t="s">
        <v>34</v>
      </c>
      <c r="F33" s="28">
        <v>12.85</v>
      </c>
      <c r="G33" s="29">
        <v>0.1</v>
      </c>
      <c r="H33" s="29">
        <v>-0.1</v>
      </c>
      <c r="I33" s="30" t="s">
        <v>39</v>
      </c>
      <c r="J33" s="12">
        <f t="shared" si="15"/>
        <v>12.95</v>
      </c>
      <c r="K33" s="12">
        <f t="shared" si="16"/>
        <v>12.75</v>
      </c>
      <c r="L33" s="78"/>
      <c r="M33" s="78"/>
      <c r="N33" s="78"/>
      <c r="O33" s="36"/>
      <c r="P33" s="24" t="str">
        <f t="shared" si="17"/>
        <v xml:space="preserve"> </v>
      </c>
      <c r="Q33" s="25" t="str">
        <f t="shared" si="18"/>
        <v xml:space="preserve"> </v>
      </c>
      <c r="R33" s="25" t="str">
        <f t="shared" si="19"/>
        <v xml:space="preserve"> </v>
      </c>
      <c r="S33" s="26" t="str">
        <f t="shared" si="20"/>
        <v xml:space="preserve"> </v>
      </c>
      <c r="T33" s="7" t="str">
        <f t="shared" si="21"/>
        <v xml:space="preserve"> </v>
      </c>
      <c r="U33" s="8" t="str">
        <f t="shared" si="22"/>
        <v xml:space="preserve"> </v>
      </c>
      <c r="V33" s="9" t="str">
        <f t="shared" si="23"/>
        <v xml:space="preserve"> </v>
      </c>
      <c r="W33" s="9" t="str">
        <f t="shared" si="24"/>
        <v/>
      </c>
      <c r="X33" s="32"/>
      <c r="Y33" s="36"/>
    </row>
    <row r="34" spans="1:25" s="4" customFormat="1" ht="18" customHeight="1">
      <c r="A34" s="36"/>
      <c r="B34" s="69">
        <v>23</v>
      </c>
      <c r="C34" s="69" t="s">
        <v>337</v>
      </c>
      <c r="D34" s="31" t="s">
        <v>313</v>
      </c>
      <c r="E34" s="29" t="s">
        <v>34</v>
      </c>
      <c r="F34" s="28">
        <v>3.12</v>
      </c>
      <c r="G34" s="29">
        <v>0.1</v>
      </c>
      <c r="H34" s="29">
        <v>-0.1</v>
      </c>
      <c r="I34" s="30" t="s">
        <v>39</v>
      </c>
      <c r="J34" s="12">
        <f t="shared" si="15"/>
        <v>3.22</v>
      </c>
      <c r="K34" s="12">
        <f t="shared" si="16"/>
        <v>3.02</v>
      </c>
      <c r="L34" s="78"/>
      <c r="M34" s="78"/>
      <c r="N34" s="78"/>
      <c r="O34" s="36"/>
      <c r="P34" s="24" t="str">
        <f t="shared" si="17"/>
        <v xml:space="preserve"> </v>
      </c>
      <c r="Q34" s="25" t="str">
        <f t="shared" si="18"/>
        <v xml:space="preserve"> </v>
      </c>
      <c r="R34" s="25" t="str">
        <f t="shared" si="19"/>
        <v xml:space="preserve"> </v>
      </c>
      <c r="S34" s="26" t="str">
        <f t="shared" si="20"/>
        <v xml:space="preserve"> </v>
      </c>
      <c r="T34" s="7" t="str">
        <f t="shared" si="21"/>
        <v xml:space="preserve"> </v>
      </c>
      <c r="U34" s="8" t="str">
        <f t="shared" si="22"/>
        <v xml:space="preserve"> </v>
      </c>
      <c r="V34" s="9" t="str">
        <f t="shared" si="23"/>
        <v xml:space="preserve"> </v>
      </c>
      <c r="W34" s="9" t="str">
        <f t="shared" si="24"/>
        <v/>
      </c>
      <c r="X34" s="32"/>
      <c r="Y34" s="36"/>
    </row>
    <row r="35" spans="1:25" s="4" customFormat="1" ht="18" customHeight="1">
      <c r="A35" s="36"/>
      <c r="B35" s="69">
        <v>24</v>
      </c>
      <c r="C35" s="69" t="s">
        <v>338</v>
      </c>
      <c r="D35" s="31" t="s">
        <v>309</v>
      </c>
      <c r="E35" s="29" t="s">
        <v>34</v>
      </c>
      <c r="F35" s="28">
        <v>3.11</v>
      </c>
      <c r="G35" s="29">
        <v>0.1</v>
      </c>
      <c r="H35" s="29">
        <v>-0.1</v>
      </c>
      <c r="I35" s="30" t="s">
        <v>39</v>
      </c>
      <c r="J35" s="12">
        <f t="shared" si="15"/>
        <v>3.21</v>
      </c>
      <c r="K35" s="12">
        <f t="shared" si="16"/>
        <v>3.01</v>
      </c>
      <c r="L35" s="78"/>
      <c r="M35" s="78"/>
      <c r="N35" s="78"/>
      <c r="O35" s="36"/>
      <c r="P35" s="24" t="str">
        <f t="shared" si="17"/>
        <v xml:space="preserve"> </v>
      </c>
      <c r="Q35" s="25" t="str">
        <f t="shared" si="18"/>
        <v xml:space="preserve"> </v>
      </c>
      <c r="R35" s="25" t="str">
        <f t="shared" si="19"/>
        <v xml:space="preserve"> </v>
      </c>
      <c r="S35" s="26" t="str">
        <f t="shared" si="20"/>
        <v xml:space="preserve"> </v>
      </c>
      <c r="T35" s="7" t="str">
        <f t="shared" si="21"/>
        <v xml:space="preserve"> </v>
      </c>
      <c r="U35" s="8" t="str">
        <f t="shared" si="22"/>
        <v xml:space="preserve"> </v>
      </c>
      <c r="V35" s="9" t="str">
        <f t="shared" si="23"/>
        <v xml:space="preserve"> </v>
      </c>
      <c r="W35" s="9" t="str">
        <f t="shared" si="24"/>
        <v/>
      </c>
      <c r="X35" s="32"/>
      <c r="Y35" s="36"/>
    </row>
    <row r="36" spans="1:25" s="4" customFormat="1" ht="18" customHeight="1">
      <c r="A36" s="36"/>
      <c r="B36" s="69">
        <v>25</v>
      </c>
      <c r="C36" s="69" t="s">
        <v>339</v>
      </c>
      <c r="D36" s="31" t="s">
        <v>314</v>
      </c>
      <c r="E36" s="29" t="s">
        <v>34</v>
      </c>
      <c r="F36" s="28">
        <v>10.08</v>
      </c>
      <c r="G36" s="29">
        <v>0.1</v>
      </c>
      <c r="H36" s="29">
        <v>-0.1</v>
      </c>
      <c r="I36" s="30" t="s">
        <v>39</v>
      </c>
      <c r="J36" s="12">
        <f t="shared" si="15"/>
        <v>10.18</v>
      </c>
      <c r="K36" s="12">
        <f t="shared" si="16"/>
        <v>9.98</v>
      </c>
      <c r="L36" s="78"/>
      <c r="M36" s="78"/>
      <c r="N36" s="78"/>
      <c r="O36" s="36"/>
      <c r="P36" s="24" t="str">
        <f t="shared" si="17"/>
        <v xml:space="preserve"> </v>
      </c>
      <c r="Q36" s="25" t="str">
        <f t="shared" si="18"/>
        <v xml:space="preserve"> </v>
      </c>
      <c r="R36" s="25" t="str">
        <f t="shared" si="19"/>
        <v xml:space="preserve"> </v>
      </c>
      <c r="S36" s="26" t="str">
        <f t="shared" si="20"/>
        <v xml:space="preserve"> </v>
      </c>
      <c r="T36" s="7" t="str">
        <f t="shared" si="21"/>
        <v xml:space="preserve"> </v>
      </c>
      <c r="U36" s="8" t="str">
        <f t="shared" si="22"/>
        <v xml:space="preserve"> </v>
      </c>
      <c r="V36" s="9" t="str">
        <f t="shared" si="23"/>
        <v xml:space="preserve"> </v>
      </c>
      <c r="W36" s="9" t="str">
        <f t="shared" si="24"/>
        <v/>
      </c>
      <c r="X36" s="32"/>
      <c r="Y36" s="36"/>
    </row>
    <row r="37" spans="1:25" s="4" customFormat="1" ht="18" customHeight="1">
      <c r="A37" s="36"/>
      <c r="B37" s="69" t="s">
        <v>864</v>
      </c>
      <c r="C37" s="69" t="s">
        <v>340</v>
      </c>
      <c r="D37" s="31" t="s">
        <v>315</v>
      </c>
      <c r="E37" s="29" t="s">
        <v>34</v>
      </c>
      <c r="F37" s="28">
        <v>21.41</v>
      </c>
      <c r="G37" s="29">
        <v>0.1</v>
      </c>
      <c r="H37" s="29">
        <v>-0.1</v>
      </c>
      <c r="I37" s="30" t="s">
        <v>37</v>
      </c>
      <c r="J37" s="12">
        <f t="shared" si="15"/>
        <v>21.51</v>
      </c>
      <c r="K37" s="12">
        <f t="shared" si="16"/>
        <v>21.31</v>
      </c>
      <c r="L37" s="78"/>
      <c r="M37" s="78"/>
      <c r="N37" s="78"/>
      <c r="O37" s="36"/>
      <c r="P37" s="24" t="str">
        <f t="shared" si="17"/>
        <v xml:space="preserve"> </v>
      </c>
      <c r="Q37" s="25" t="str">
        <f t="shared" si="18"/>
        <v xml:space="preserve"> </v>
      </c>
      <c r="R37" s="25" t="str">
        <f t="shared" si="19"/>
        <v xml:space="preserve"> </v>
      </c>
      <c r="S37" s="26" t="str">
        <f t="shared" si="20"/>
        <v xml:space="preserve"> </v>
      </c>
      <c r="T37" s="7" t="str">
        <f t="shared" si="21"/>
        <v xml:space="preserve"> </v>
      </c>
      <c r="U37" s="8" t="str">
        <f t="shared" si="22"/>
        <v xml:space="preserve"> </v>
      </c>
      <c r="V37" s="9" t="str">
        <f t="shared" si="23"/>
        <v xml:space="preserve"> </v>
      </c>
      <c r="W37" s="9" t="str">
        <f t="shared" si="24"/>
        <v/>
      </c>
      <c r="X37" s="32"/>
      <c r="Y37" s="36"/>
    </row>
    <row r="38" spans="1:25" s="4" customFormat="1" ht="18" customHeight="1">
      <c r="A38" s="36"/>
      <c r="B38" s="79">
        <v>27.01</v>
      </c>
      <c r="C38" s="69"/>
      <c r="D38" s="31" t="s">
        <v>316</v>
      </c>
      <c r="E38" s="29" t="s">
        <v>36</v>
      </c>
      <c r="F38" s="28"/>
      <c r="G38" s="29">
        <v>0.1</v>
      </c>
      <c r="H38" s="29"/>
      <c r="I38" s="30" t="s">
        <v>39</v>
      </c>
      <c r="J38" s="12">
        <f t="shared" ref="J38:J101" si="27">IF(AND(F38="",G38=""),"",IF(F38="",G38,F38+G38))</f>
        <v>0.1</v>
      </c>
      <c r="K38" s="12" t="str">
        <f t="shared" ref="K38:K101" si="28">IF(AND(F38="",H38=""),"",IF(F38="",H38,F38+H38))</f>
        <v/>
      </c>
      <c r="L38" s="78"/>
      <c r="M38" s="78"/>
      <c r="N38" s="78"/>
      <c r="O38" s="36"/>
      <c r="P38" s="24" t="str">
        <f t="shared" si="17"/>
        <v xml:space="preserve"> </v>
      </c>
      <c r="Q38" s="25" t="str">
        <f t="shared" si="18"/>
        <v xml:space="preserve"> </v>
      </c>
      <c r="R38" s="25" t="str">
        <f t="shared" si="19"/>
        <v xml:space="preserve"> </v>
      </c>
      <c r="S38" s="26" t="str">
        <f t="shared" si="20"/>
        <v xml:space="preserve"> </v>
      </c>
      <c r="T38" s="7" t="str">
        <f t="shared" si="21"/>
        <v xml:space="preserve"> </v>
      </c>
      <c r="U38" s="8" t="str">
        <f t="shared" si="22"/>
        <v xml:space="preserve"> </v>
      </c>
      <c r="V38" s="9" t="str">
        <f t="shared" si="23"/>
        <v xml:space="preserve"> </v>
      </c>
      <c r="W38" s="9" t="str">
        <f t="shared" si="24"/>
        <v/>
      </c>
      <c r="X38" s="32"/>
      <c r="Y38" s="36"/>
    </row>
    <row r="39" spans="1:25" s="4" customFormat="1" ht="18" customHeight="1">
      <c r="A39" s="36"/>
      <c r="B39" s="79">
        <v>27.02</v>
      </c>
      <c r="C39" s="69"/>
      <c r="D39" s="31" t="s">
        <v>316</v>
      </c>
      <c r="E39" s="29" t="s">
        <v>36</v>
      </c>
      <c r="F39" s="28"/>
      <c r="G39" s="29">
        <v>0.1</v>
      </c>
      <c r="H39" s="29"/>
      <c r="I39" s="30" t="s">
        <v>39</v>
      </c>
      <c r="J39" s="12">
        <f t="shared" si="27"/>
        <v>0.1</v>
      </c>
      <c r="K39" s="12" t="str">
        <f t="shared" si="28"/>
        <v/>
      </c>
      <c r="L39" s="78"/>
      <c r="M39" s="78"/>
      <c r="N39" s="78"/>
      <c r="O39" s="36"/>
      <c r="P39" s="24" t="str">
        <f t="shared" si="17"/>
        <v xml:space="preserve"> </v>
      </c>
      <c r="Q39" s="25" t="str">
        <f t="shared" si="18"/>
        <v xml:space="preserve"> </v>
      </c>
      <c r="R39" s="25" t="str">
        <f t="shared" si="19"/>
        <v xml:space="preserve"> </v>
      </c>
      <c r="S39" s="26" t="str">
        <f t="shared" si="20"/>
        <v xml:space="preserve"> </v>
      </c>
      <c r="T39" s="7" t="str">
        <f t="shared" si="21"/>
        <v xml:space="preserve"> </v>
      </c>
      <c r="U39" s="8" t="str">
        <f t="shared" si="22"/>
        <v xml:space="preserve"> </v>
      </c>
      <c r="V39" s="9" t="str">
        <f t="shared" si="23"/>
        <v xml:space="preserve"> </v>
      </c>
      <c r="W39" s="9" t="str">
        <f t="shared" si="24"/>
        <v/>
      </c>
      <c r="X39" s="32"/>
      <c r="Y39" s="36"/>
    </row>
    <row r="40" spans="1:25" s="4" customFormat="1" ht="18" customHeight="1">
      <c r="A40" s="36"/>
      <c r="B40" s="79">
        <v>28.01</v>
      </c>
      <c r="C40" s="69"/>
      <c r="D40" s="31" t="s">
        <v>316</v>
      </c>
      <c r="E40" s="29" t="s">
        <v>36</v>
      </c>
      <c r="F40" s="28"/>
      <c r="G40" s="29">
        <v>0.1</v>
      </c>
      <c r="H40" s="29"/>
      <c r="I40" s="30" t="s">
        <v>39</v>
      </c>
      <c r="J40" s="12">
        <f t="shared" si="27"/>
        <v>0.1</v>
      </c>
      <c r="K40" s="12" t="str">
        <f t="shared" si="28"/>
        <v/>
      </c>
      <c r="L40" s="78"/>
      <c r="M40" s="78"/>
      <c r="N40" s="78"/>
      <c r="O40" s="36"/>
      <c r="P40" s="24" t="str">
        <f t="shared" si="17"/>
        <v xml:space="preserve"> </v>
      </c>
      <c r="Q40" s="25" t="str">
        <f t="shared" si="18"/>
        <v xml:space="preserve"> </v>
      </c>
      <c r="R40" s="25" t="str">
        <f t="shared" si="19"/>
        <v xml:space="preserve"> </v>
      </c>
      <c r="S40" s="26" t="str">
        <f t="shared" si="20"/>
        <v xml:space="preserve"> </v>
      </c>
      <c r="T40" s="7" t="str">
        <f t="shared" si="21"/>
        <v xml:space="preserve"> </v>
      </c>
      <c r="U40" s="8" t="str">
        <f t="shared" si="22"/>
        <v xml:space="preserve"> </v>
      </c>
      <c r="V40" s="9" t="str">
        <f t="shared" si="23"/>
        <v xml:space="preserve"> </v>
      </c>
      <c r="W40" s="9" t="str">
        <f t="shared" si="24"/>
        <v/>
      </c>
      <c r="X40" s="32"/>
      <c r="Y40" s="36"/>
    </row>
    <row r="41" spans="1:25" s="4" customFormat="1" ht="18" customHeight="1">
      <c r="A41" s="36"/>
      <c r="B41" s="79">
        <v>28.02</v>
      </c>
      <c r="C41" s="69"/>
      <c r="D41" s="31" t="s">
        <v>316</v>
      </c>
      <c r="E41" s="29" t="s">
        <v>36</v>
      </c>
      <c r="F41" s="28"/>
      <c r="G41" s="29">
        <v>0.1</v>
      </c>
      <c r="H41" s="29"/>
      <c r="I41" s="30" t="s">
        <v>39</v>
      </c>
      <c r="J41" s="12">
        <f t="shared" si="27"/>
        <v>0.1</v>
      </c>
      <c r="K41" s="12" t="str">
        <f t="shared" si="28"/>
        <v/>
      </c>
      <c r="L41" s="78"/>
      <c r="M41" s="78"/>
      <c r="N41" s="78"/>
      <c r="O41" s="36"/>
      <c r="P41" s="24" t="str">
        <f t="shared" si="17"/>
        <v xml:space="preserve"> </v>
      </c>
      <c r="Q41" s="25" t="str">
        <f t="shared" si="18"/>
        <v xml:space="preserve"> </v>
      </c>
      <c r="R41" s="25" t="str">
        <f t="shared" si="19"/>
        <v xml:space="preserve"> </v>
      </c>
      <c r="S41" s="26" t="str">
        <f t="shared" si="20"/>
        <v xml:space="preserve"> </v>
      </c>
      <c r="T41" s="7" t="str">
        <f t="shared" si="21"/>
        <v xml:space="preserve"> </v>
      </c>
      <c r="U41" s="8" t="str">
        <f t="shared" si="22"/>
        <v xml:space="preserve"> </v>
      </c>
      <c r="V41" s="9" t="str">
        <f t="shared" si="23"/>
        <v xml:space="preserve"> </v>
      </c>
      <c r="W41" s="9" t="str">
        <f t="shared" si="24"/>
        <v/>
      </c>
      <c r="X41" s="32"/>
      <c r="Y41" s="36"/>
    </row>
    <row r="42" spans="1:25" s="4" customFormat="1" ht="18" customHeight="1">
      <c r="A42" s="36"/>
      <c r="B42" s="79">
        <v>29.01</v>
      </c>
      <c r="C42" s="69"/>
      <c r="D42" s="31" t="s">
        <v>316</v>
      </c>
      <c r="E42" s="29" t="s">
        <v>36</v>
      </c>
      <c r="F42" s="28"/>
      <c r="G42" s="29">
        <v>0.1</v>
      </c>
      <c r="H42" s="29"/>
      <c r="I42" s="30" t="s">
        <v>39</v>
      </c>
      <c r="J42" s="12">
        <f t="shared" si="27"/>
        <v>0.1</v>
      </c>
      <c r="K42" s="12" t="str">
        <f t="shared" si="28"/>
        <v/>
      </c>
      <c r="L42" s="78"/>
      <c r="M42" s="78"/>
      <c r="N42" s="78"/>
      <c r="O42" s="36"/>
      <c r="P42" s="24" t="str">
        <f t="shared" si="17"/>
        <v xml:space="preserve"> </v>
      </c>
      <c r="Q42" s="25" t="str">
        <f t="shared" si="18"/>
        <v xml:space="preserve"> </v>
      </c>
      <c r="R42" s="25" t="str">
        <f t="shared" si="19"/>
        <v xml:space="preserve"> </v>
      </c>
      <c r="S42" s="26" t="str">
        <f t="shared" si="20"/>
        <v xml:space="preserve"> </v>
      </c>
      <c r="T42" s="7" t="str">
        <f t="shared" si="21"/>
        <v xml:space="preserve"> </v>
      </c>
      <c r="U42" s="8" t="str">
        <f t="shared" si="22"/>
        <v xml:space="preserve"> </v>
      </c>
      <c r="V42" s="9" t="str">
        <f t="shared" si="23"/>
        <v xml:space="preserve"> </v>
      </c>
      <c r="W42" s="9" t="str">
        <f t="shared" si="24"/>
        <v/>
      </c>
      <c r="X42" s="32"/>
      <c r="Y42" s="36"/>
    </row>
    <row r="43" spans="1:25" s="4" customFormat="1" ht="18" customHeight="1">
      <c r="A43" s="36"/>
      <c r="B43" s="79">
        <v>29.02</v>
      </c>
      <c r="C43" s="69"/>
      <c r="D43" s="31" t="s">
        <v>316</v>
      </c>
      <c r="E43" s="29" t="s">
        <v>36</v>
      </c>
      <c r="F43" s="28"/>
      <c r="G43" s="29">
        <v>0.1</v>
      </c>
      <c r="H43" s="29"/>
      <c r="I43" s="30" t="s">
        <v>39</v>
      </c>
      <c r="J43" s="12">
        <f t="shared" si="27"/>
        <v>0.1</v>
      </c>
      <c r="K43" s="12" t="str">
        <f t="shared" si="28"/>
        <v/>
      </c>
      <c r="L43" s="78"/>
      <c r="M43" s="78"/>
      <c r="N43" s="78"/>
      <c r="O43" s="36"/>
      <c r="P43" s="24" t="str">
        <f t="shared" si="17"/>
        <v xml:space="preserve"> </v>
      </c>
      <c r="Q43" s="25" t="str">
        <f t="shared" si="18"/>
        <v xml:space="preserve"> </v>
      </c>
      <c r="R43" s="25" t="str">
        <f t="shared" si="19"/>
        <v xml:space="preserve"> </v>
      </c>
      <c r="S43" s="26" t="str">
        <f t="shared" si="20"/>
        <v xml:space="preserve"> </v>
      </c>
      <c r="T43" s="7" t="str">
        <f t="shared" si="21"/>
        <v xml:space="preserve"> </v>
      </c>
      <c r="U43" s="8" t="str">
        <f t="shared" si="22"/>
        <v xml:space="preserve"> </v>
      </c>
      <c r="V43" s="9" t="str">
        <f t="shared" si="23"/>
        <v xml:space="preserve"> </v>
      </c>
      <c r="W43" s="9" t="str">
        <f t="shared" si="24"/>
        <v/>
      </c>
      <c r="X43" s="32"/>
      <c r="Y43" s="36"/>
    </row>
    <row r="44" spans="1:25" s="4" customFormat="1" ht="18" customHeight="1">
      <c r="A44" s="36"/>
      <c r="B44" s="79">
        <v>30.01</v>
      </c>
      <c r="C44" s="69"/>
      <c r="D44" s="31" t="s">
        <v>317</v>
      </c>
      <c r="E44" s="29" t="s">
        <v>34</v>
      </c>
      <c r="F44" s="28">
        <v>33.85</v>
      </c>
      <c r="G44" s="29">
        <v>0.1</v>
      </c>
      <c r="H44" s="29">
        <v>-0.1</v>
      </c>
      <c r="I44" s="30" t="s">
        <v>39</v>
      </c>
      <c r="J44" s="12">
        <f t="shared" si="27"/>
        <v>33.950000000000003</v>
      </c>
      <c r="K44" s="12">
        <f t="shared" si="28"/>
        <v>33.75</v>
      </c>
      <c r="L44" s="78"/>
      <c r="M44" s="78"/>
      <c r="N44" s="78"/>
      <c r="O44" s="36"/>
      <c r="P44" s="24" t="str">
        <f t="shared" si="17"/>
        <v xml:space="preserve"> </v>
      </c>
      <c r="Q44" s="25" t="str">
        <f t="shared" si="18"/>
        <v xml:space="preserve"> </v>
      </c>
      <c r="R44" s="25" t="str">
        <f t="shared" si="19"/>
        <v xml:space="preserve"> </v>
      </c>
      <c r="S44" s="26" t="str">
        <f t="shared" si="20"/>
        <v xml:space="preserve"> </v>
      </c>
      <c r="T44" s="7" t="str">
        <f t="shared" si="21"/>
        <v xml:space="preserve"> </v>
      </c>
      <c r="U44" s="8" t="str">
        <f t="shared" si="22"/>
        <v xml:space="preserve"> </v>
      </c>
      <c r="V44" s="9" t="str">
        <f t="shared" si="23"/>
        <v xml:space="preserve"> </v>
      </c>
      <c r="W44" s="9" t="str">
        <f t="shared" si="24"/>
        <v/>
      </c>
      <c r="X44" s="32"/>
      <c r="Y44" s="36"/>
    </row>
    <row r="45" spans="1:25" s="4" customFormat="1" ht="18" customHeight="1">
      <c r="A45" s="36"/>
      <c r="B45" s="79">
        <v>30.02</v>
      </c>
      <c r="C45" s="69"/>
      <c r="D45" s="31" t="s">
        <v>317</v>
      </c>
      <c r="E45" s="29" t="s">
        <v>34</v>
      </c>
      <c r="F45" s="28">
        <v>33.85</v>
      </c>
      <c r="G45" s="29">
        <v>0.1</v>
      </c>
      <c r="H45" s="29">
        <v>-0.1</v>
      </c>
      <c r="I45" s="30" t="s">
        <v>39</v>
      </c>
      <c r="J45" s="12">
        <f t="shared" si="27"/>
        <v>33.950000000000003</v>
      </c>
      <c r="K45" s="12">
        <f t="shared" si="28"/>
        <v>33.75</v>
      </c>
      <c r="L45" s="78"/>
      <c r="M45" s="78"/>
      <c r="N45" s="78"/>
      <c r="O45" s="36"/>
      <c r="P45" s="24" t="str">
        <f t="shared" si="17"/>
        <v xml:space="preserve"> </v>
      </c>
      <c r="Q45" s="25" t="str">
        <f t="shared" si="18"/>
        <v xml:space="preserve"> </v>
      </c>
      <c r="R45" s="25" t="str">
        <f t="shared" si="19"/>
        <v xml:space="preserve"> </v>
      </c>
      <c r="S45" s="26" t="str">
        <f t="shared" si="20"/>
        <v xml:space="preserve"> </v>
      </c>
      <c r="T45" s="7" t="str">
        <f t="shared" si="21"/>
        <v xml:space="preserve"> </v>
      </c>
      <c r="U45" s="8" t="str">
        <f t="shared" si="22"/>
        <v xml:space="preserve"> </v>
      </c>
      <c r="V45" s="9" t="str">
        <f t="shared" si="23"/>
        <v xml:space="preserve"> </v>
      </c>
      <c r="W45" s="9" t="str">
        <f t="shared" si="24"/>
        <v/>
      </c>
      <c r="X45" s="32"/>
      <c r="Y45" s="36"/>
    </row>
    <row r="46" spans="1:25" s="4" customFormat="1" ht="18" customHeight="1">
      <c r="A46" s="36"/>
      <c r="B46" s="79">
        <v>31.01</v>
      </c>
      <c r="C46" s="69"/>
      <c r="D46" s="31" t="s">
        <v>318</v>
      </c>
      <c r="E46" s="29" t="s">
        <v>34</v>
      </c>
      <c r="F46" s="28">
        <v>4.25</v>
      </c>
      <c r="G46" s="29">
        <v>0.1</v>
      </c>
      <c r="H46" s="29">
        <v>-0.1</v>
      </c>
      <c r="I46" s="30" t="s">
        <v>39</v>
      </c>
      <c r="J46" s="12">
        <f t="shared" si="27"/>
        <v>4.3499999999999996</v>
      </c>
      <c r="K46" s="12">
        <f t="shared" si="28"/>
        <v>4.1500000000000004</v>
      </c>
      <c r="L46" s="78"/>
      <c r="M46" s="78"/>
      <c r="N46" s="78"/>
      <c r="O46" s="36"/>
      <c r="P46" s="24" t="str">
        <f t="shared" si="17"/>
        <v xml:space="preserve"> </v>
      </c>
      <c r="Q46" s="25" t="str">
        <f t="shared" si="18"/>
        <v xml:space="preserve"> </v>
      </c>
      <c r="R46" s="25" t="str">
        <f t="shared" si="19"/>
        <v xml:space="preserve"> </v>
      </c>
      <c r="S46" s="26" t="str">
        <f t="shared" si="20"/>
        <v xml:space="preserve"> </v>
      </c>
      <c r="T46" s="7" t="str">
        <f t="shared" si="21"/>
        <v xml:space="preserve"> </v>
      </c>
      <c r="U46" s="8" t="str">
        <f t="shared" si="22"/>
        <v xml:space="preserve"> </v>
      </c>
      <c r="V46" s="9" t="str">
        <f t="shared" si="23"/>
        <v xml:space="preserve"> </v>
      </c>
      <c r="W46" s="9" t="str">
        <f t="shared" si="24"/>
        <v/>
      </c>
      <c r="X46" s="32" t="s">
        <v>857</v>
      </c>
      <c r="Y46" s="36"/>
    </row>
    <row r="47" spans="1:25" s="4" customFormat="1" ht="18" customHeight="1">
      <c r="A47" s="36"/>
      <c r="B47" s="79">
        <v>31.02</v>
      </c>
      <c r="C47" s="69"/>
      <c r="D47" s="31" t="s">
        <v>318</v>
      </c>
      <c r="E47" s="29" t="s">
        <v>34</v>
      </c>
      <c r="F47" s="28">
        <v>4.25</v>
      </c>
      <c r="G47" s="29">
        <v>0.1</v>
      </c>
      <c r="H47" s="29">
        <v>-0.1</v>
      </c>
      <c r="I47" s="30" t="s">
        <v>39</v>
      </c>
      <c r="J47" s="12">
        <f t="shared" si="27"/>
        <v>4.3499999999999996</v>
      </c>
      <c r="K47" s="12">
        <f t="shared" si="28"/>
        <v>4.1500000000000004</v>
      </c>
      <c r="L47" s="78"/>
      <c r="M47" s="78"/>
      <c r="N47" s="78"/>
      <c r="O47" s="36"/>
      <c r="P47" s="24" t="str">
        <f t="shared" si="17"/>
        <v xml:space="preserve"> </v>
      </c>
      <c r="Q47" s="25" t="str">
        <f t="shared" si="18"/>
        <v xml:space="preserve"> </v>
      </c>
      <c r="R47" s="25" t="str">
        <f t="shared" si="19"/>
        <v xml:space="preserve"> </v>
      </c>
      <c r="S47" s="26" t="str">
        <f t="shared" si="20"/>
        <v xml:space="preserve"> </v>
      </c>
      <c r="T47" s="7" t="str">
        <f t="shared" si="21"/>
        <v xml:space="preserve"> </v>
      </c>
      <c r="U47" s="8" t="str">
        <f t="shared" si="22"/>
        <v xml:space="preserve"> </v>
      </c>
      <c r="V47" s="9" t="str">
        <f t="shared" si="23"/>
        <v xml:space="preserve"> </v>
      </c>
      <c r="W47" s="9" t="str">
        <f t="shared" si="24"/>
        <v/>
      </c>
      <c r="X47" s="32" t="s">
        <v>857</v>
      </c>
      <c r="Y47" s="36"/>
    </row>
    <row r="48" spans="1:25" s="4" customFormat="1" ht="18" customHeight="1">
      <c r="A48" s="36"/>
      <c r="B48" s="79">
        <v>31.03</v>
      </c>
      <c r="C48" s="69"/>
      <c r="D48" s="31" t="s">
        <v>318</v>
      </c>
      <c r="E48" s="29" t="s">
        <v>34</v>
      </c>
      <c r="F48" s="28">
        <v>4.25</v>
      </c>
      <c r="G48" s="29">
        <v>0.1</v>
      </c>
      <c r="H48" s="29">
        <v>-0.1</v>
      </c>
      <c r="I48" s="30" t="s">
        <v>39</v>
      </c>
      <c r="J48" s="12">
        <f t="shared" si="27"/>
        <v>4.3499999999999996</v>
      </c>
      <c r="K48" s="12">
        <f t="shared" si="28"/>
        <v>4.1500000000000004</v>
      </c>
      <c r="L48" s="78"/>
      <c r="M48" s="78"/>
      <c r="N48" s="78"/>
      <c r="O48" s="36"/>
      <c r="P48" s="24" t="str">
        <f t="shared" si="17"/>
        <v xml:space="preserve"> </v>
      </c>
      <c r="Q48" s="25" t="str">
        <f t="shared" si="18"/>
        <v xml:space="preserve"> </v>
      </c>
      <c r="R48" s="25" t="str">
        <f t="shared" si="19"/>
        <v xml:space="preserve"> </v>
      </c>
      <c r="S48" s="26" t="str">
        <f t="shared" si="20"/>
        <v xml:space="preserve"> </v>
      </c>
      <c r="T48" s="7" t="str">
        <f t="shared" si="21"/>
        <v xml:space="preserve"> </v>
      </c>
      <c r="U48" s="8" t="str">
        <f t="shared" si="22"/>
        <v xml:space="preserve"> </v>
      </c>
      <c r="V48" s="9" t="str">
        <f t="shared" si="23"/>
        <v xml:space="preserve"> </v>
      </c>
      <c r="W48" s="9" t="str">
        <f t="shared" si="24"/>
        <v/>
      </c>
      <c r="X48" s="32" t="s">
        <v>857</v>
      </c>
      <c r="Y48" s="36"/>
    </row>
    <row r="49" spans="1:25" s="4" customFormat="1" ht="18" customHeight="1">
      <c r="A49" s="36"/>
      <c r="B49" s="79">
        <v>31.04</v>
      </c>
      <c r="C49" s="69"/>
      <c r="D49" s="31" t="s">
        <v>318</v>
      </c>
      <c r="E49" s="29" t="s">
        <v>34</v>
      </c>
      <c r="F49" s="28">
        <v>4.25</v>
      </c>
      <c r="G49" s="29">
        <v>0.1</v>
      </c>
      <c r="H49" s="29">
        <v>-0.1</v>
      </c>
      <c r="I49" s="30" t="s">
        <v>39</v>
      </c>
      <c r="J49" s="12">
        <f t="shared" si="27"/>
        <v>4.3499999999999996</v>
      </c>
      <c r="K49" s="12">
        <f t="shared" si="28"/>
        <v>4.1500000000000004</v>
      </c>
      <c r="L49" s="78"/>
      <c r="M49" s="78"/>
      <c r="N49" s="78"/>
      <c r="O49" s="36"/>
      <c r="P49" s="24" t="str">
        <f t="shared" si="17"/>
        <v xml:space="preserve"> </v>
      </c>
      <c r="Q49" s="25" t="str">
        <f t="shared" si="18"/>
        <v xml:space="preserve"> </v>
      </c>
      <c r="R49" s="25" t="str">
        <f t="shared" si="19"/>
        <v xml:space="preserve"> </v>
      </c>
      <c r="S49" s="26" t="str">
        <f t="shared" si="20"/>
        <v xml:space="preserve"> </v>
      </c>
      <c r="T49" s="7" t="str">
        <f t="shared" si="21"/>
        <v xml:space="preserve"> </v>
      </c>
      <c r="U49" s="8" t="str">
        <f t="shared" si="22"/>
        <v xml:space="preserve"> </v>
      </c>
      <c r="V49" s="9" t="str">
        <f t="shared" si="23"/>
        <v xml:space="preserve"> </v>
      </c>
      <c r="W49" s="9" t="str">
        <f t="shared" si="24"/>
        <v/>
      </c>
      <c r="X49" s="32" t="s">
        <v>857</v>
      </c>
      <c r="Y49" s="36"/>
    </row>
    <row r="50" spans="1:25" s="4" customFormat="1" ht="18" customHeight="1">
      <c r="A50" s="36"/>
      <c r="B50" s="79">
        <v>32.01</v>
      </c>
      <c r="C50" s="69"/>
      <c r="D50" s="31" t="s">
        <v>317</v>
      </c>
      <c r="E50" s="29" t="s">
        <v>34</v>
      </c>
      <c r="F50" s="28">
        <v>14.61</v>
      </c>
      <c r="G50" s="29">
        <v>0.1</v>
      </c>
      <c r="H50" s="29">
        <v>-0.1</v>
      </c>
      <c r="I50" s="30" t="s">
        <v>39</v>
      </c>
      <c r="J50" s="12">
        <f t="shared" si="27"/>
        <v>14.709999999999999</v>
      </c>
      <c r="K50" s="12">
        <f t="shared" si="28"/>
        <v>14.51</v>
      </c>
      <c r="L50" s="78"/>
      <c r="M50" s="78"/>
      <c r="N50" s="78"/>
      <c r="O50" s="36"/>
      <c r="P50" s="24" t="str">
        <f t="shared" si="17"/>
        <v xml:space="preserve"> </v>
      </c>
      <c r="Q50" s="25" t="str">
        <f t="shared" si="18"/>
        <v xml:space="preserve"> </v>
      </c>
      <c r="R50" s="25" t="str">
        <f t="shared" si="19"/>
        <v xml:space="preserve"> </v>
      </c>
      <c r="S50" s="26" t="str">
        <f t="shared" si="20"/>
        <v xml:space="preserve"> </v>
      </c>
      <c r="T50" s="7" t="str">
        <f t="shared" si="21"/>
        <v xml:space="preserve"> </v>
      </c>
      <c r="U50" s="8" t="str">
        <f t="shared" si="22"/>
        <v xml:space="preserve"> </v>
      </c>
      <c r="V50" s="9" t="str">
        <f t="shared" si="23"/>
        <v xml:space="preserve"> </v>
      </c>
      <c r="W50" s="9" t="str">
        <f t="shared" si="24"/>
        <v/>
      </c>
      <c r="X50" s="32"/>
      <c r="Y50" s="36"/>
    </row>
    <row r="51" spans="1:25" s="4" customFormat="1" ht="18" customHeight="1">
      <c r="A51" s="36"/>
      <c r="B51" s="79">
        <v>32.020000000000003</v>
      </c>
      <c r="C51" s="69"/>
      <c r="D51" s="31" t="s">
        <v>317</v>
      </c>
      <c r="E51" s="29" t="s">
        <v>34</v>
      </c>
      <c r="F51" s="28">
        <v>14.61</v>
      </c>
      <c r="G51" s="29">
        <v>0.1</v>
      </c>
      <c r="H51" s="29">
        <v>-0.1</v>
      </c>
      <c r="I51" s="30" t="s">
        <v>39</v>
      </c>
      <c r="J51" s="12">
        <f t="shared" si="27"/>
        <v>14.709999999999999</v>
      </c>
      <c r="K51" s="12">
        <f t="shared" si="28"/>
        <v>14.51</v>
      </c>
      <c r="L51" s="78"/>
      <c r="M51" s="78"/>
      <c r="N51" s="78"/>
      <c r="O51" s="36"/>
      <c r="P51" s="24" t="str">
        <f t="shared" si="17"/>
        <v xml:space="preserve"> </v>
      </c>
      <c r="Q51" s="25" t="str">
        <f t="shared" si="18"/>
        <v xml:space="preserve"> </v>
      </c>
      <c r="R51" s="25" t="str">
        <f t="shared" si="19"/>
        <v xml:space="preserve"> </v>
      </c>
      <c r="S51" s="26" t="str">
        <f t="shared" si="20"/>
        <v xml:space="preserve"> </v>
      </c>
      <c r="T51" s="7" t="str">
        <f t="shared" si="21"/>
        <v xml:space="preserve"> </v>
      </c>
      <c r="U51" s="8" t="str">
        <f t="shared" si="22"/>
        <v xml:space="preserve"> </v>
      </c>
      <c r="V51" s="9" t="str">
        <f t="shared" si="23"/>
        <v xml:space="preserve"> </v>
      </c>
      <c r="W51" s="9" t="str">
        <f t="shared" si="24"/>
        <v/>
      </c>
      <c r="X51" s="32"/>
      <c r="Y51" s="36"/>
    </row>
    <row r="52" spans="1:25" s="4" customFormat="1" ht="18" customHeight="1">
      <c r="A52" s="36"/>
      <c r="B52" s="79">
        <v>32.03</v>
      </c>
      <c r="C52" s="69"/>
      <c r="D52" s="31" t="s">
        <v>317</v>
      </c>
      <c r="E52" s="29" t="s">
        <v>34</v>
      </c>
      <c r="F52" s="28">
        <v>14.61</v>
      </c>
      <c r="G52" s="29">
        <v>0.1</v>
      </c>
      <c r="H52" s="29">
        <v>-0.1</v>
      </c>
      <c r="I52" s="30" t="s">
        <v>39</v>
      </c>
      <c r="J52" s="12">
        <f t="shared" si="27"/>
        <v>14.709999999999999</v>
      </c>
      <c r="K52" s="12">
        <f t="shared" si="28"/>
        <v>14.51</v>
      </c>
      <c r="L52" s="78"/>
      <c r="M52" s="78"/>
      <c r="N52" s="78"/>
      <c r="O52" s="36"/>
      <c r="P52" s="24" t="str">
        <f t="shared" si="17"/>
        <v xml:space="preserve"> </v>
      </c>
      <c r="Q52" s="25" t="str">
        <f t="shared" si="18"/>
        <v xml:space="preserve"> </v>
      </c>
      <c r="R52" s="25" t="str">
        <f t="shared" si="19"/>
        <v xml:space="preserve"> </v>
      </c>
      <c r="S52" s="26" t="str">
        <f t="shared" si="20"/>
        <v xml:space="preserve"> </v>
      </c>
      <c r="T52" s="7" t="str">
        <f t="shared" si="21"/>
        <v xml:space="preserve"> </v>
      </c>
      <c r="U52" s="8" t="str">
        <f t="shared" si="22"/>
        <v xml:space="preserve"> </v>
      </c>
      <c r="V52" s="9" t="str">
        <f t="shared" si="23"/>
        <v xml:space="preserve"> </v>
      </c>
      <c r="W52" s="9" t="str">
        <f t="shared" si="24"/>
        <v/>
      </c>
      <c r="X52" s="32"/>
      <c r="Y52" s="36"/>
    </row>
    <row r="53" spans="1:25" s="4" customFormat="1" ht="18" customHeight="1">
      <c r="A53" s="36"/>
      <c r="B53" s="79">
        <v>32.04</v>
      </c>
      <c r="C53" s="69"/>
      <c r="D53" s="31" t="s">
        <v>317</v>
      </c>
      <c r="E53" s="29" t="s">
        <v>34</v>
      </c>
      <c r="F53" s="28">
        <v>14.61</v>
      </c>
      <c r="G53" s="29">
        <v>0.1</v>
      </c>
      <c r="H53" s="29">
        <v>-0.1</v>
      </c>
      <c r="I53" s="30" t="s">
        <v>39</v>
      </c>
      <c r="J53" s="12">
        <f t="shared" si="27"/>
        <v>14.709999999999999</v>
      </c>
      <c r="K53" s="12">
        <f t="shared" si="28"/>
        <v>14.51</v>
      </c>
      <c r="L53" s="78"/>
      <c r="M53" s="78"/>
      <c r="N53" s="78"/>
      <c r="O53" s="36"/>
      <c r="P53" s="24" t="str">
        <f t="shared" si="17"/>
        <v xml:space="preserve"> </v>
      </c>
      <c r="Q53" s="25" t="str">
        <f t="shared" si="18"/>
        <v xml:space="preserve"> </v>
      </c>
      <c r="R53" s="25" t="str">
        <f t="shared" si="19"/>
        <v xml:space="preserve"> </v>
      </c>
      <c r="S53" s="26" t="str">
        <f t="shared" si="20"/>
        <v xml:space="preserve"> </v>
      </c>
      <c r="T53" s="7" t="str">
        <f t="shared" si="21"/>
        <v xml:space="preserve"> </v>
      </c>
      <c r="U53" s="8" t="str">
        <f t="shared" si="22"/>
        <v xml:space="preserve"> </v>
      </c>
      <c r="V53" s="9" t="str">
        <f t="shared" ref="V53:V93" si="29">IF(ISNUMBER($T53)=TRUE,IF($T53&gt;0.651,IF($T53&gt;1.001,"Reject","Alert")," ")," ")</f>
        <v xml:space="preserve"> </v>
      </c>
      <c r="W53" s="9" t="str">
        <f t="shared" si="24"/>
        <v/>
      </c>
      <c r="X53" s="32"/>
      <c r="Y53" s="36"/>
    </row>
    <row r="54" spans="1:25" s="4" customFormat="1" ht="18" customHeight="1">
      <c r="A54" s="36"/>
      <c r="B54" s="69">
        <v>33</v>
      </c>
      <c r="C54" s="69"/>
      <c r="D54" s="31" t="s">
        <v>319</v>
      </c>
      <c r="E54" s="29" t="s">
        <v>34</v>
      </c>
      <c r="F54" s="28">
        <v>27.68</v>
      </c>
      <c r="G54" s="29">
        <v>0.1</v>
      </c>
      <c r="H54" s="29">
        <v>-0.1</v>
      </c>
      <c r="I54" s="30" t="s">
        <v>39</v>
      </c>
      <c r="J54" s="12">
        <f t="shared" si="27"/>
        <v>27.78</v>
      </c>
      <c r="K54" s="12">
        <f t="shared" si="28"/>
        <v>27.58</v>
      </c>
      <c r="L54" s="78"/>
      <c r="M54" s="78"/>
      <c r="N54" s="78"/>
      <c r="O54" s="36"/>
      <c r="P54" s="24" t="str">
        <f t="shared" si="17"/>
        <v xml:space="preserve"> </v>
      </c>
      <c r="Q54" s="25" t="str">
        <f t="shared" si="18"/>
        <v xml:space="preserve"> </v>
      </c>
      <c r="R54" s="25" t="str">
        <f t="shared" si="19"/>
        <v xml:space="preserve"> </v>
      </c>
      <c r="S54" s="26" t="str">
        <f t="shared" si="20"/>
        <v xml:space="preserve"> </v>
      </c>
      <c r="T54" s="7" t="str">
        <f t="shared" si="21"/>
        <v xml:space="preserve"> </v>
      </c>
      <c r="U54" s="8" t="str">
        <f t="shared" si="22"/>
        <v xml:space="preserve"> </v>
      </c>
      <c r="V54" s="9" t="str">
        <f t="shared" si="29"/>
        <v xml:space="preserve"> </v>
      </c>
      <c r="W54" s="9" t="str">
        <f t="shared" si="24"/>
        <v/>
      </c>
      <c r="X54" s="32"/>
      <c r="Y54" s="36"/>
    </row>
    <row r="55" spans="1:25" s="4" customFormat="1" ht="18" customHeight="1">
      <c r="A55" s="36"/>
      <c r="B55" s="69">
        <v>34</v>
      </c>
      <c r="C55" s="69"/>
      <c r="D55" s="31" t="s">
        <v>320</v>
      </c>
      <c r="E55" s="29" t="s">
        <v>34</v>
      </c>
      <c r="F55" s="28">
        <v>26.93</v>
      </c>
      <c r="G55" s="29">
        <v>0.1</v>
      </c>
      <c r="H55" s="29">
        <v>-0.1</v>
      </c>
      <c r="I55" s="30" t="s">
        <v>39</v>
      </c>
      <c r="J55" s="12">
        <f t="shared" si="27"/>
        <v>27.03</v>
      </c>
      <c r="K55" s="12">
        <f t="shared" si="28"/>
        <v>26.83</v>
      </c>
      <c r="L55" s="78"/>
      <c r="M55" s="78"/>
      <c r="N55" s="78"/>
      <c r="O55" s="36"/>
      <c r="P55" s="24" t="str">
        <f t="shared" ref="P55:P95" si="30">IF(ISERR(L55/L55)=TRUE," ",L55-$F55)</f>
        <v xml:space="preserve"> </v>
      </c>
      <c r="Q55" s="25" t="str">
        <f t="shared" ref="Q55:Q95" si="31">IF(ISERR(M55/M55)=TRUE," ",M55-$F55)</f>
        <v xml:space="preserve"> </v>
      </c>
      <c r="R55" s="25" t="str">
        <f t="shared" ref="R55:R95" si="32">IF(ISERR(N55/N55)=TRUE," ",N55-$F55)</f>
        <v xml:space="preserve"> </v>
      </c>
      <c r="S55" s="26" t="str">
        <f t="shared" ref="S55:S95" si="33">IF(ISERR(L55/L55)=TRUE," ",AVERAGE(L55:N55))</f>
        <v xml:space="preserve"> </v>
      </c>
      <c r="T55" s="7" t="str">
        <f t="shared" ref="T55:T95" si="34">IF(ISERR(G55/G55)=TRUE," ",IF(ISERR(L55/L55)=TRUE," ",IF(ISNUMBER($L55)=FALSE," ",IF(MAX($L55:$N55)&lt;$F55,0,(MAX($L55:$N55)-$F55)/$G55))))</f>
        <v xml:space="preserve"> </v>
      </c>
      <c r="U55" s="8" t="str">
        <f t="shared" ref="U55:U95" si="35">IF(ISERR(H55/F55)=TRUE," ",IF(ISERR(H55/H55)=TRUE," ",IF(ISERR(L55/L55)=TRUE," ",IF(ISNUMBER(L55)=FALSE," ",IF(MIN(L55:N55)&gt;$F55,0,($F55-MIN(L55:N55))/-H55)))))</f>
        <v xml:space="preserve"> </v>
      </c>
      <c r="V55" s="9" t="str">
        <f t="shared" si="29"/>
        <v xml:space="preserve"> </v>
      </c>
      <c r="W55" s="9" t="str">
        <f t="shared" ref="W55:W95" si="36">IF(L55="","",IF(ISERR(H55/H55)=TRUE," ",IF(ISERR(H55/F55)=TRUE,IF((H55-MIN(L55:N55))&gt;0.001,"Reject",""),IF(ISNUMBER($U55)=TRUE,IF($U55&gt;0.651,IF($U55&gt;1.001,"Reject","Alert")," ")," "))))</f>
        <v/>
      </c>
      <c r="X55" s="32"/>
      <c r="Y55" s="36"/>
    </row>
    <row r="56" spans="1:25" s="4" customFormat="1" ht="18" customHeight="1">
      <c r="A56" s="36"/>
      <c r="B56" s="69">
        <v>35</v>
      </c>
      <c r="C56" s="69"/>
      <c r="D56" s="31" t="s">
        <v>320</v>
      </c>
      <c r="E56" s="29" t="s">
        <v>34</v>
      </c>
      <c r="F56" s="28">
        <v>28.83</v>
      </c>
      <c r="G56" s="29">
        <v>0.1</v>
      </c>
      <c r="H56" s="29">
        <v>-0.1</v>
      </c>
      <c r="I56" s="30" t="s">
        <v>39</v>
      </c>
      <c r="J56" s="12">
        <f t="shared" si="27"/>
        <v>28.93</v>
      </c>
      <c r="K56" s="12">
        <f t="shared" si="28"/>
        <v>28.729999999999997</v>
      </c>
      <c r="L56" s="78"/>
      <c r="M56" s="78"/>
      <c r="N56" s="78"/>
      <c r="O56" s="36"/>
      <c r="P56" s="24" t="str">
        <f t="shared" si="30"/>
        <v xml:space="preserve"> </v>
      </c>
      <c r="Q56" s="25" t="str">
        <f t="shared" si="31"/>
        <v xml:space="preserve"> </v>
      </c>
      <c r="R56" s="25" t="str">
        <f t="shared" si="32"/>
        <v xml:space="preserve"> </v>
      </c>
      <c r="S56" s="26" t="str">
        <f t="shared" si="33"/>
        <v xml:space="preserve"> </v>
      </c>
      <c r="T56" s="7" t="str">
        <f t="shared" si="34"/>
        <v xml:space="preserve"> </v>
      </c>
      <c r="U56" s="8" t="str">
        <f t="shared" si="35"/>
        <v xml:space="preserve"> </v>
      </c>
      <c r="V56" s="9" t="str">
        <f t="shared" si="29"/>
        <v xml:space="preserve"> </v>
      </c>
      <c r="W56" s="9" t="str">
        <f t="shared" si="36"/>
        <v/>
      </c>
      <c r="X56" s="32"/>
      <c r="Y56" s="36"/>
    </row>
    <row r="57" spans="1:25" s="4" customFormat="1" ht="18" customHeight="1">
      <c r="A57" s="36"/>
      <c r="B57" s="69">
        <v>36</v>
      </c>
      <c r="C57" s="69"/>
      <c r="D57" s="31" t="s">
        <v>321</v>
      </c>
      <c r="E57" s="29" t="s">
        <v>34</v>
      </c>
      <c r="F57" s="28">
        <v>5.65</v>
      </c>
      <c r="G57" s="29">
        <v>0.1</v>
      </c>
      <c r="H57" s="29">
        <v>-0.1</v>
      </c>
      <c r="I57" s="30" t="s">
        <v>39</v>
      </c>
      <c r="J57" s="12">
        <f t="shared" si="27"/>
        <v>5.75</v>
      </c>
      <c r="K57" s="12">
        <f t="shared" si="28"/>
        <v>5.5500000000000007</v>
      </c>
      <c r="L57" s="78"/>
      <c r="M57" s="78"/>
      <c r="N57" s="78"/>
      <c r="O57" s="36"/>
      <c r="P57" s="24" t="str">
        <f t="shared" si="30"/>
        <v xml:space="preserve"> </v>
      </c>
      <c r="Q57" s="25" t="str">
        <f t="shared" si="31"/>
        <v xml:space="preserve"> </v>
      </c>
      <c r="R57" s="25" t="str">
        <f t="shared" si="32"/>
        <v xml:space="preserve"> </v>
      </c>
      <c r="S57" s="26" t="str">
        <f t="shared" si="33"/>
        <v xml:space="preserve"> </v>
      </c>
      <c r="T57" s="7" t="str">
        <f t="shared" si="34"/>
        <v xml:space="preserve"> </v>
      </c>
      <c r="U57" s="8" t="str">
        <f t="shared" si="35"/>
        <v xml:space="preserve"> </v>
      </c>
      <c r="V57" s="9" t="str">
        <f t="shared" si="29"/>
        <v xml:space="preserve"> </v>
      </c>
      <c r="W57" s="9" t="str">
        <f t="shared" si="36"/>
        <v/>
      </c>
      <c r="X57" s="32"/>
      <c r="Y57" s="36"/>
    </row>
    <row r="58" spans="1:25" s="4" customFormat="1" ht="18" customHeight="1">
      <c r="A58" s="36"/>
      <c r="B58" s="69">
        <v>37</v>
      </c>
      <c r="C58" s="69"/>
      <c r="D58" s="31" t="s">
        <v>321</v>
      </c>
      <c r="E58" s="29" t="s">
        <v>34</v>
      </c>
      <c r="F58" s="28">
        <v>4</v>
      </c>
      <c r="G58" s="29">
        <v>0.1</v>
      </c>
      <c r="H58" s="29">
        <v>-0.1</v>
      </c>
      <c r="I58" s="30" t="s">
        <v>39</v>
      </c>
      <c r="J58" s="12">
        <f t="shared" si="27"/>
        <v>4.0999999999999996</v>
      </c>
      <c r="K58" s="12">
        <f t="shared" si="28"/>
        <v>3.9</v>
      </c>
      <c r="L58" s="78"/>
      <c r="M58" s="78"/>
      <c r="N58" s="78"/>
      <c r="O58" s="36"/>
      <c r="P58" s="24" t="str">
        <f t="shared" si="30"/>
        <v xml:space="preserve"> </v>
      </c>
      <c r="Q58" s="25" t="str">
        <f t="shared" si="31"/>
        <v xml:space="preserve"> </v>
      </c>
      <c r="R58" s="25" t="str">
        <f t="shared" si="32"/>
        <v xml:space="preserve"> </v>
      </c>
      <c r="S58" s="26" t="str">
        <f t="shared" si="33"/>
        <v xml:space="preserve"> </v>
      </c>
      <c r="T58" s="7" t="str">
        <f t="shared" si="34"/>
        <v xml:space="preserve"> </v>
      </c>
      <c r="U58" s="8" t="str">
        <f t="shared" si="35"/>
        <v xml:space="preserve"> </v>
      </c>
      <c r="V58" s="9" t="str">
        <f t="shared" si="29"/>
        <v xml:space="preserve"> </v>
      </c>
      <c r="W58" s="9" t="str">
        <f t="shared" si="36"/>
        <v/>
      </c>
      <c r="X58" s="32"/>
      <c r="Y58" s="36"/>
    </row>
    <row r="59" spans="1:25" s="4" customFormat="1" ht="18" customHeight="1">
      <c r="A59" s="36"/>
      <c r="B59" s="69">
        <v>38</v>
      </c>
      <c r="C59" s="69"/>
      <c r="D59" s="31" t="s">
        <v>321</v>
      </c>
      <c r="E59" s="29" t="s">
        <v>34</v>
      </c>
      <c r="F59" s="28">
        <v>1.4</v>
      </c>
      <c r="G59" s="29">
        <v>0.1</v>
      </c>
      <c r="H59" s="29">
        <v>-0.1</v>
      </c>
      <c r="I59" s="30" t="s">
        <v>39</v>
      </c>
      <c r="J59" s="12">
        <f t="shared" si="27"/>
        <v>1.5</v>
      </c>
      <c r="K59" s="12">
        <f t="shared" si="28"/>
        <v>1.2999999999999998</v>
      </c>
      <c r="L59" s="78"/>
      <c r="M59" s="78"/>
      <c r="N59" s="78"/>
      <c r="O59" s="36"/>
      <c r="P59" s="24" t="str">
        <f t="shared" si="30"/>
        <v xml:space="preserve"> </v>
      </c>
      <c r="Q59" s="25" t="str">
        <f t="shared" si="31"/>
        <v xml:space="preserve"> </v>
      </c>
      <c r="R59" s="25" t="str">
        <f t="shared" si="32"/>
        <v xml:space="preserve"> </v>
      </c>
      <c r="S59" s="26" t="str">
        <f t="shared" si="33"/>
        <v xml:space="preserve"> </v>
      </c>
      <c r="T59" s="7" t="str">
        <f t="shared" si="34"/>
        <v xml:space="preserve"> </v>
      </c>
      <c r="U59" s="8" t="str">
        <f t="shared" si="35"/>
        <v xml:space="preserve"> </v>
      </c>
      <c r="V59" s="9" t="str">
        <f t="shared" si="29"/>
        <v xml:space="preserve"> </v>
      </c>
      <c r="W59" s="9" t="str">
        <f t="shared" si="36"/>
        <v/>
      </c>
      <c r="X59" s="32"/>
      <c r="Y59" s="36"/>
    </row>
    <row r="60" spans="1:25" s="4" customFormat="1" ht="18" customHeight="1">
      <c r="A60" s="36"/>
      <c r="B60" s="79">
        <v>39.01</v>
      </c>
      <c r="C60" s="69"/>
      <c r="D60" s="31" t="s">
        <v>322</v>
      </c>
      <c r="E60" s="29" t="s">
        <v>34</v>
      </c>
      <c r="F60" s="28">
        <v>0.9</v>
      </c>
      <c r="G60" s="29">
        <v>0.1</v>
      </c>
      <c r="H60" s="29">
        <v>-0.1</v>
      </c>
      <c r="I60" s="30" t="s">
        <v>39</v>
      </c>
      <c r="J60" s="12">
        <f t="shared" si="27"/>
        <v>1</v>
      </c>
      <c r="K60" s="12">
        <f t="shared" si="28"/>
        <v>0.8</v>
      </c>
      <c r="L60" s="78"/>
      <c r="M60" s="78"/>
      <c r="N60" s="78"/>
      <c r="O60" s="36"/>
      <c r="P60" s="24" t="str">
        <f t="shared" si="30"/>
        <v xml:space="preserve"> </v>
      </c>
      <c r="Q60" s="25" t="str">
        <f t="shared" si="31"/>
        <v xml:space="preserve"> </v>
      </c>
      <c r="R60" s="25" t="str">
        <f t="shared" si="32"/>
        <v xml:space="preserve"> </v>
      </c>
      <c r="S60" s="26" t="str">
        <f t="shared" si="33"/>
        <v xml:space="preserve"> </v>
      </c>
      <c r="T60" s="7" t="str">
        <f t="shared" si="34"/>
        <v xml:space="preserve"> </v>
      </c>
      <c r="U60" s="8" t="str">
        <f t="shared" si="35"/>
        <v xml:space="preserve"> </v>
      </c>
      <c r="V60" s="9" t="str">
        <f t="shared" si="29"/>
        <v xml:space="preserve"> </v>
      </c>
      <c r="W60" s="9" t="str">
        <f t="shared" si="36"/>
        <v/>
      </c>
      <c r="X60" s="32"/>
      <c r="Y60" s="36"/>
    </row>
    <row r="61" spans="1:25" s="4" customFormat="1" ht="18" customHeight="1">
      <c r="A61" s="36"/>
      <c r="B61" s="79">
        <v>39.020000000000003</v>
      </c>
      <c r="C61" s="69"/>
      <c r="D61" s="31" t="s">
        <v>322</v>
      </c>
      <c r="E61" s="29" t="s">
        <v>34</v>
      </c>
      <c r="F61" s="28">
        <v>0.9</v>
      </c>
      <c r="G61" s="29">
        <v>0.1</v>
      </c>
      <c r="H61" s="29">
        <v>-0.1</v>
      </c>
      <c r="I61" s="30" t="s">
        <v>39</v>
      </c>
      <c r="J61" s="12">
        <f t="shared" si="27"/>
        <v>1</v>
      </c>
      <c r="K61" s="12">
        <f t="shared" si="28"/>
        <v>0.8</v>
      </c>
      <c r="L61" s="78"/>
      <c r="M61" s="78"/>
      <c r="N61" s="78"/>
      <c r="O61" s="36"/>
      <c r="P61" s="24" t="str">
        <f t="shared" si="30"/>
        <v xml:space="preserve"> </v>
      </c>
      <c r="Q61" s="25" t="str">
        <f t="shared" si="31"/>
        <v xml:space="preserve"> </v>
      </c>
      <c r="R61" s="25" t="str">
        <f t="shared" si="32"/>
        <v xml:space="preserve"> </v>
      </c>
      <c r="S61" s="26" t="str">
        <f t="shared" si="33"/>
        <v xml:space="preserve"> </v>
      </c>
      <c r="T61" s="7" t="str">
        <f t="shared" si="34"/>
        <v xml:space="preserve"> </v>
      </c>
      <c r="U61" s="8" t="str">
        <f t="shared" si="35"/>
        <v xml:space="preserve"> </v>
      </c>
      <c r="V61" s="9" t="str">
        <f t="shared" si="29"/>
        <v xml:space="preserve"> </v>
      </c>
      <c r="W61" s="9" t="str">
        <f t="shared" si="36"/>
        <v/>
      </c>
      <c r="X61" s="32"/>
      <c r="Y61" s="36"/>
    </row>
    <row r="62" spans="1:25" s="4" customFormat="1" ht="18" customHeight="1">
      <c r="A62" s="36"/>
      <c r="B62" s="79">
        <v>39.03</v>
      </c>
      <c r="C62" s="69"/>
      <c r="D62" s="31" t="s">
        <v>322</v>
      </c>
      <c r="E62" s="29" t="s">
        <v>34</v>
      </c>
      <c r="F62" s="28">
        <v>0.9</v>
      </c>
      <c r="G62" s="29">
        <v>0.1</v>
      </c>
      <c r="H62" s="29">
        <v>-0.1</v>
      </c>
      <c r="I62" s="30" t="s">
        <v>39</v>
      </c>
      <c r="J62" s="12">
        <f t="shared" si="27"/>
        <v>1</v>
      </c>
      <c r="K62" s="12">
        <f t="shared" si="28"/>
        <v>0.8</v>
      </c>
      <c r="L62" s="78"/>
      <c r="M62" s="78"/>
      <c r="N62" s="78"/>
      <c r="O62" s="36"/>
      <c r="P62" s="24" t="str">
        <f t="shared" si="30"/>
        <v xml:space="preserve"> </v>
      </c>
      <c r="Q62" s="25" t="str">
        <f t="shared" si="31"/>
        <v xml:space="preserve"> </v>
      </c>
      <c r="R62" s="25" t="str">
        <f t="shared" si="32"/>
        <v xml:space="preserve"> </v>
      </c>
      <c r="S62" s="26" t="str">
        <f t="shared" si="33"/>
        <v xml:space="preserve"> </v>
      </c>
      <c r="T62" s="7" t="str">
        <f t="shared" si="34"/>
        <v xml:space="preserve"> </v>
      </c>
      <c r="U62" s="8" t="str">
        <f t="shared" si="35"/>
        <v xml:space="preserve"> </v>
      </c>
      <c r="V62" s="9" t="str">
        <f t="shared" si="29"/>
        <v xml:space="preserve"> </v>
      </c>
      <c r="W62" s="9" t="str">
        <f t="shared" si="36"/>
        <v/>
      </c>
      <c r="X62" s="32"/>
      <c r="Y62" s="36"/>
    </row>
    <row r="63" spans="1:25" s="4" customFormat="1" ht="18" customHeight="1">
      <c r="A63" s="36"/>
      <c r="B63" s="79">
        <v>40.01</v>
      </c>
      <c r="C63" s="69"/>
      <c r="D63" s="31" t="s">
        <v>323</v>
      </c>
      <c r="E63" s="29" t="s">
        <v>34</v>
      </c>
      <c r="F63" s="28">
        <v>2.8</v>
      </c>
      <c r="G63" s="29">
        <v>0.1</v>
      </c>
      <c r="H63" s="29">
        <v>-0.1</v>
      </c>
      <c r="I63" s="30" t="s">
        <v>39</v>
      </c>
      <c r="J63" s="12">
        <f t="shared" si="27"/>
        <v>2.9</v>
      </c>
      <c r="K63" s="12">
        <f t="shared" si="28"/>
        <v>2.6999999999999997</v>
      </c>
      <c r="L63" s="78"/>
      <c r="M63" s="78"/>
      <c r="N63" s="78"/>
      <c r="O63" s="36"/>
      <c r="P63" s="24" t="str">
        <f t="shared" si="30"/>
        <v xml:space="preserve"> </v>
      </c>
      <c r="Q63" s="25" t="str">
        <f t="shared" si="31"/>
        <v xml:space="preserve"> </v>
      </c>
      <c r="R63" s="25" t="str">
        <f t="shared" si="32"/>
        <v xml:space="preserve"> </v>
      </c>
      <c r="S63" s="26" t="str">
        <f t="shared" si="33"/>
        <v xml:space="preserve"> </v>
      </c>
      <c r="T63" s="7" t="str">
        <f t="shared" si="34"/>
        <v xml:space="preserve"> </v>
      </c>
      <c r="U63" s="8" t="str">
        <f t="shared" si="35"/>
        <v xml:space="preserve"> </v>
      </c>
      <c r="V63" s="9" t="str">
        <f t="shared" si="29"/>
        <v xml:space="preserve"> </v>
      </c>
      <c r="W63" s="9" t="str">
        <f t="shared" si="36"/>
        <v/>
      </c>
      <c r="X63" s="32"/>
      <c r="Y63" s="36"/>
    </row>
    <row r="64" spans="1:25" s="4" customFormat="1" ht="18" customHeight="1">
      <c r="A64" s="36"/>
      <c r="B64" s="79">
        <v>40.020000000000003</v>
      </c>
      <c r="C64" s="69"/>
      <c r="D64" s="31" t="s">
        <v>323</v>
      </c>
      <c r="E64" s="29" t="s">
        <v>34</v>
      </c>
      <c r="F64" s="28">
        <v>2.8</v>
      </c>
      <c r="G64" s="29">
        <v>0.1</v>
      </c>
      <c r="H64" s="29">
        <v>-0.1</v>
      </c>
      <c r="I64" s="30" t="s">
        <v>39</v>
      </c>
      <c r="J64" s="12">
        <f t="shared" si="27"/>
        <v>2.9</v>
      </c>
      <c r="K64" s="12">
        <f t="shared" si="28"/>
        <v>2.6999999999999997</v>
      </c>
      <c r="L64" s="78"/>
      <c r="M64" s="78"/>
      <c r="N64" s="78"/>
      <c r="O64" s="36"/>
      <c r="P64" s="24" t="str">
        <f t="shared" si="30"/>
        <v xml:space="preserve"> </v>
      </c>
      <c r="Q64" s="25" t="str">
        <f t="shared" si="31"/>
        <v xml:space="preserve"> </v>
      </c>
      <c r="R64" s="25" t="str">
        <f t="shared" si="32"/>
        <v xml:space="preserve"> </v>
      </c>
      <c r="S64" s="26" t="str">
        <f t="shared" si="33"/>
        <v xml:space="preserve"> </v>
      </c>
      <c r="T64" s="7" t="str">
        <f t="shared" si="34"/>
        <v xml:space="preserve"> </v>
      </c>
      <c r="U64" s="8" t="str">
        <f t="shared" si="35"/>
        <v xml:space="preserve"> </v>
      </c>
      <c r="V64" s="9" t="str">
        <f t="shared" si="29"/>
        <v xml:space="preserve"> </v>
      </c>
      <c r="W64" s="9" t="str">
        <f t="shared" si="36"/>
        <v/>
      </c>
      <c r="X64" s="32"/>
      <c r="Y64" s="36"/>
    </row>
    <row r="65" spans="1:25" s="4" customFormat="1" ht="18" customHeight="1">
      <c r="A65" s="36"/>
      <c r="B65" s="69">
        <v>41.01</v>
      </c>
      <c r="C65" s="69"/>
      <c r="D65" s="31" t="s">
        <v>323</v>
      </c>
      <c r="E65" s="29" t="s">
        <v>34</v>
      </c>
      <c r="F65" s="28">
        <v>2.2999999999999998</v>
      </c>
      <c r="G65" s="29">
        <v>0.1</v>
      </c>
      <c r="H65" s="29">
        <v>-0.1</v>
      </c>
      <c r="I65" s="30" t="s">
        <v>39</v>
      </c>
      <c r="J65" s="12">
        <f t="shared" si="27"/>
        <v>2.4</v>
      </c>
      <c r="K65" s="12">
        <f t="shared" si="28"/>
        <v>2.1999999999999997</v>
      </c>
      <c r="L65" s="78"/>
      <c r="M65" s="78"/>
      <c r="N65" s="78"/>
      <c r="O65" s="36"/>
      <c r="P65" s="24" t="str">
        <f t="shared" si="30"/>
        <v xml:space="preserve"> </v>
      </c>
      <c r="Q65" s="25" t="str">
        <f t="shared" si="31"/>
        <v xml:space="preserve"> </v>
      </c>
      <c r="R65" s="25" t="str">
        <f t="shared" si="32"/>
        <v xml:space="preserve"> </v>
      </c>
      <c r="S65" s="26" t="str">
        <f t="shared" si="33"/>
        <v xml:space="preserve"> </v>
      </c>
      <c r="T65" s="7" t="str">
        <f t="shared" si="34"/>
        <v xml:space="preserve"> </v>
      </c>
      <c r="U65" s="8" t="str">
        <f t="shared" si="35"/>
        <v xml:space="preserve"> </v>
      </c>
      <c r="V65" s="9" t="str">
        <f t="shared" si="29"/>
        <v xml:space="preserve"> </v>
      </c>
      <c r="W65" s="9" t="str">
        <f t="shared" si="36"/>
        <v/>
      </c>
      <c r="X65" s="32"/>
      <c r="Y65" s="36"/>
    </row>
    <row r="66" spans="1:25" s="4" customFormat="1" ht="18" customHeight="1">
      <c r="A66" s="36"/>
      <c r="B66" s="69">
        <v>41.02</v>
      </c>
      <c r="C66" s="69"/>
      <c r="D66" s="31" t="s">
        <v>323</v>
      </c>
      <c r="E66" s="29" t="s">
        <v>34</v>
      </c>
      <c r="F66" s="28">
        <v>2.2999999999999998</v>
      </c>
      <c r="G66" s="29">
        <v>0.1</v>
      </c>
      <c r="H66" s="29">
        <v>-0.1</v>
      </c>
      <c r="I66" s="30" t="s">
        <v>39</v>
      </c>
      <c r="J66" s="12">
        <f t="shared" si="27"/>
        <v>2.4</v>
      </c>
      <c r="K66" s="12">
        <f t="shared" si="28"/>
        <v>2.1999999999999997</v>
      </c>
      <c r="L66" s="78"/>
      <c r="M66" s="78"/>
      <c r="N66" s="78"/>
      <c r="O66" s="36"/>
      <c r="P66" s="24" t="str">
        <f t="shared" si="30"/>
        <v xml:space="preserve"> </v>
      </c>
      <c r="Q66" s="25" t="str">
        <f t="shared" si="31"/>
        <v xml:space="preserve"> </v>
      </c>
      <c r="R66" s="25" t="str">
        <f t="shared" si="32"/>
        <v xml:space="preserve"> </v>
      </c>
      <c r="S66" s="26" t="str">
        <f t="shared" si="33"/>
        <v xml:space="preserve"> </v>
      </c>
      <c r="T66" s="7" t="str">
        <f t="shared" si="34"/>
        <v xml:space="preserve"> </v>
      </c>
      <c r="U66" s="8" t="str">
        <f t="shared" si="35"/>
        <v xml:space="preserve"> </v>
      </c>
      <c r="V66" s="9" t="str">
        <f t="shared" si="29"/>
        <v xml:space="preserve"> </v>
      </c>
      <c r="W66" s="9" t="str">
        <f t="shared" si="36"/>
        <v/>
      </c>
      <c r="X66" s="32"/>
      <c r="Y66" s="36"/>
    </row>
    <row r="67" spans="1:25" s="4" customFormat="1" ht="18" customHeight="1">
      <c r="A67" s="36"/>
      <c r="B67" s="69">
        <v>42</v>
      </c>
      <c r="C67" s="69"/>
      <c r="D67" s="31" t="s">
        <v>324</v>
      </c>
      <c r="E67" s="29" t="s">
        <v>34</v>
      </c>
      <c r="F67" s="28">
        <v>0.6</v>
      </c>
      <c r="G67" s="29">
        <v>0.1</v>
      </c>
      <c r="H67" s="29">
        <v>-0.1</v>
      </c>
      <c r="I67" s="30" t="s">
        <v>39</v>
      </c>
      <c r="J67" s="12">
        <f t="shared" si="27"/>
        <v>0.7</v>
      </c>
      <c r="K67" s="12">
        <f t="shared" si="28"/>
        <v>0.5</v>
      </c>
      <c r="L67" s="78"/>
      <c r="M67" s="78"/>
      <c r="N67" s="78"/>
      <c r="O67" s="36"/>
      <c r="P67" s="24" t="str">
        <f t="shared" si="30"/>
        <v xml:space="preserve"> </v>
      </c>
      <c r="Q67" s="25" t="str">
        <f t="shared" si="31"/>
        <v xml:space="preserve"> </v>
      </c>
      <c r="R67" s="25" t="str">
        <f t="shared" si="32"/>
        <v xml:space="preserve"> </v>
      </c>
      <c r="S67" s="26" t="str">
        <f t="shared" si="33"/>
        <v xml:space="preserve"> </v>
      </c>
      <c r="T67" s="7" t="str">
        <f t="shared" si="34"/>
        <v xml:space="preserve"> </v>
      </c>
      <c r="U67" s="8" t="str">
        <f t="shared" si="35"/>
        <v xml:space="preserve"> </v>
      </c>
      <c r="V67" s="9" t="str">
        <f t="shared" si="29"/>
        <v xml:space="preserve"> </v>
      </c>
      <c r="W67" s="9" t="str">
        <f t="shared" si="36"/>
        <v/>
      </c>
      <c r="X67" s="32"/>
      <c r="Y67" s="36"/>
    </row>
    <row r="68" spans="1:25" s="4" customFormat="1" ht="18" customHeight="1">
      <c r="A68" s="36"/>
      <c r="B68" s="69">
        <v>43</v>
      </c>
      <c r="C68" s="69"/>
      <c r="D68" s="31" t="s">
        <v>324</v>
      </c>
      <c r="E68" s="29" t="s">
        <v>34</v>
      </c>
      <c r="F68" s="28">
        <v>2.9</v>
      </c>
      <c r="G68" s="29">
        <v>0.1</v>
      </c>
      <c r="H68" s="29">
        <v>-0.1</v>
      </c>
      <c r="I68" s="30" t="s">
        <v>39</v>
      </c>
      <c r="J68" s="12">
        <f t="shared" si="27"/>
        <v>3</v>
      </c>
      <c r="K68" s="12">
        <f t="shared" si="28"/>
        <v>2.8</v>
      </c>
      <c r="L68" s="78"/>
      <c r="M68" s="78"/>
      <c r="N68" s="78"/>
      <c r="O68" s="36"/>
      <c r="P68" s="24" t="str">
        <f t="shared" si="30"/>
        <v xml:space="preserve"> </v>
      </c>
      <c r="Q68" s="25" t="str">
        <f t="shared" si="31"/>
        <v xml:space="preserve"> </v>
      </c>
      <c r="R68" s="25" t="str">
        <f t="shared" si="32"/>
        <v xml:space="preserve"> </v>
      </c>
      <c r="S68" s="26" t="str">
        <f t="shared" si="33"/>
        <v xml:space="preserve"> </v>
      </c>
      <c r="T68" s="7" t="str">
        <f t="shared" si="34"/>
        <v xml:space="preserve"> </v>
      </c>
      <c r="U68" s="8" t="str">
        <f t="shared" si="35"/>
        <v xml:space="preserve"> </v>
      </c>
      <c r="V68" s="9" t="str">
        <f t="shared" si="29"/>
        <v xml:space="preserve"> </v>
      </c>
      <c r="W68" s="9" t="str">
        <f t="shared" si="36"/>
        <v/>
      </c>
      <c r="X68" s="32"/>
      <c r="Y68" s="36"/>
    </row>
    <row r="69" spans="1:25" s="4" customFormat="1" ht="18" customHeight="1">
      <c r="A69" s="36"/>
      <c r="B69" s="69">
        <v>44</v>
      </c>
      <c r="C69" s="69"/>
      <c r="D69" s="31" t="s">
        <v>324</v>
      </c>
      <c r="E69" s="29" t="s">
        <v>34</v>
      </c>
      <c r="F69" s="28">
        <v>4.4000000000000004</v>
      </c>
      <c r="G69" s="29">
        <v>0.1</v>
      </c>
      <c r="H69" s="29">
        <v>-0.1</v>
      </c>
      <c r="I69" s="30" t="s">
        <v>39</v>
      </c>
      <c r="J69" s="12">
        <f t="shared" si="27"/>
        <v>4.5</v>
      </c>
      <c r="K69" s="12">
        <f t="shared" si="28"/>
        <v>4.3000000000000007</v>
      </c>
      <c r="L69" s="78"/>
      <c r="M69" s="78"/>
      <c r="N69" s="78"/>
      <c r="O69" s="36"/>
      <c r="P69" s="24" t="str">
        <f t="shared" si="30"/>
        <v xml:space="preserve"> </v>
      </c>
      <c r="Q69" s="25" t="str">
        <f t="shared" si="31"/>
        <v xml:space="preserve"> </v>
      </c>
      <c r="R69" s="25" t="str">
        <f t="shared" si="32"/>
        <v xml:space="preserve"> </v>
      </c>
      <c r="S69" s="26" t="str">
        <f t="shared" si="33"/>
        <v xml:space="preserve"> </v>
      </c>
      <c r="T69" s="7" t="str">
        <f t="shared" si="34"/>
        <v xml:space="preserve"> </v>
      </c>
      <c r="U69" s="8" t="str">
        <f t="shared" si="35"/>
        <v xml:space="preserve"> </v>
      </c>
      <c r="V69" s="9" t="str">
        <f t="shared" si="29"/>
        <v xml:space="preserve"> </v>
      </c>
      <c r="W69" s="9" t="str">
        <f t="shared" si="36"/>
        <v/>
      </c>
      <c r="X69" s="32"/>
      <c r="Y69" s="36"/>
    </row>
    <row r="70" spans="1:25" s="4" customFormat="1" ht="18" customHeight="1">
      <c r="A70" s="36"/>
      <c r="B70" s="79">
        <v>45.01</v>
      </c>
      <c r="C70" s="69"/>
      <c r="D70" s="31" t="s">
        <v>325</v>
      </c>
      <c r="E70" s="29" t="s">
        <v>34</v>
      </c>
      <c r="F70" s="28">
        <v>0.9</v>
      </c>
      <c r="G70" s="29">
        <v>0.1</v>
      </c>
      <c r="H70" s="29">
        <v>-0.1</v>
      </c>
      <c r="I70" s="30" t="s">
        <v>39</v>
      </c>
      <c r="J70" s="12">
        <f t="shared" si="27"/>
        <v>1</v>
      </c>
      <c r="K70" s="12">
        <f t="shared" si="28"/>
        <v>0.8</v>
      </c>
      <c r="L70" s="78"/>
      <c r="M70" s="78"/>
      <c r="N70" s="78"/>
      <c r="O70" s="36"/>
      <c r="P70" s="24" t="str">
        <f t="shared" si="30"/>
        <v xml:space="preserve"> </v>
      </c>
      <c r="Q70" s="25" t="str">
        <f t="shared" si="31"/>
        <v xml:space="preserve"> </v>
      </c>
      <c r="R70" s="25" t="str">
        <f t="shared" si="32"/>
        <v xml:space="preserve"> </v>
      </c>
      <c r="S70" s="26" t="str">
        <f t="shared" si="33"/>
        <v xml:space="preserve"> </v>
      </c>
      <c r="T70" s="7" t="str">
        <f t="shared" si="34"/>
        <v xml:space="preserve"> </v>
      </c>
      <c r="U70" s="8" t="str">
        <f t="shared" si="35"/>
        <v xml:space="preserve"> </v>
      </c>
      <c r="V70" s="9" t="str">
        <f t="shared" si="29"/>
        <v xml:space="preserve"> </v>
      </c>
      <c r="W70" s="9" t="str">
        <f t="shared" si="36"/>
        <v/>
      </c>
      <c r="X70" s="32"/>
      <c r="Y70" s="36"/>
    </row>
    <row r="71" spans="1:25" s="4" customFormat="1" ht="18" customHeight="1">
      <c r="A71" s="36"/>
      <c r="B71" s="79">
        <v>45.02</v>
      </c>
      <c r="C71" s="69"/>
      <c r="D71" s="31" t="s">
        <v>325</v>
      </c>
      <c r="E71" s="29" t="s">
        <v>34</v>
      </c>
      <c r="F71" s="28">
        <v>0.9</v>
      </c>
      <c r="G71" s="29">
        <v>0.1</v>
      </c>
      <c r="H71" s="29">
        <v>-0.1</v>
      </c>
      <c r="I71" s="30" t="s">
        <v>39</v>
      </c>
      <c r="J71" s="12">
        <f t="shared" si="27"/>
        <v>1</v>
      </c>
      <c r="K71" s="12">
        <f t="shared" si="28"/>
        <v>0.8</v>
      </c>
      <c r="L71" s="78"/>
      <c r="M71" s="78"/>
      <c r="N71" s="78"/>
      <c r="O71" s="36"/>
      <c r="P71" s="24" t="str">
        <f t="shared" si="30"/>
        <v xml:space="preserve"> </v>
      </c>
      <c r="Q71" s="25" t="str">
        <f t="shared" si="31"/>
        <v xml:space="preserve"> </v>
      </c>
      <c r="R71" s="25" t="str">
        <f t="shared" si="32"/>
        <v xml:space="preserve"> </v>
      </c>
      <c r="S71" s="26" t="str">
        <f t="shared" si="33"/>
        <v xml:space="preserve"> </v>
      </c>
      <c r="T71" s="7" t="str">
        <f t="shared" si="34"/>
        <v xml:space="preserve"> </v>
      </c>
      <c r="U71" s="8" t="str">
        <f t="shared" si="35"/>
        <v xml:space="preserve"> </v>
      </c>
      <c r="V71" s="9" t="str">
        <f t="shared" si="29"/>
        <v xml:space="preserve"> </v>
      </c>
      <c r="W71" s="9" t="str">
        <f t="shared" si="36"/>
        <v/>
      </c>
      <c r="X71" s="32"/>
      <c r="Y71" s="36"/>
    </row>
    <row r="72" spans="1:25" s="4" customFormat="1" ht="18" customHeight="1">
      <c r="A72" s="36"/>
      <c r="B72" s="79">
        <v>45.03</v>
      </c>
      <c r="C72" s="69"/>
      <c r="D72" s="31" t="s">
        <v>325</v>
      </c>
      <c r="E72" s="29" t="s">
        <v>34</v>
      </c>
      <c r="F72" s="28">
        <v>0.9</v>
      </c>
      <c r="G72" s="29">
        <v>0.1</v>
      </c>
      <c r="H72" s="29">
        <v>-0.1</v>
      </c>
      <c r="I72" s="30" t="s">
        <v>39</v>
      </c>
      <c r="J72" s="12">
        <f t="shared" si="27"/>
        <v>1</v>
      </c>
      <c r="K72" s="12">
        <f t="shared" si="28"/>
        <v>0.8</v>
      </c>
      <c r="L72" s="78"/>
      <c r="M72" s="78"/>
      <c r="N72" s="78"/>
      <c r="O72" s="36"/>
      <c r="P72" s="24" t="str">
        <f t="shared" si="30"/>
        <v xml:space="preserve"> </v>
      </c>
      <c r="Q72" s="25" t="str">
        <f t="shared" si="31"/>
        <v xml:space="preserve"> </v>
      </c>
      <c r="R72" s="25" t="str">
        <f t="shared" si="32"/>
        <v xml:space="preserve"> </v>
      </c>
      <c r="S72" s="26" t="str">
        <f t="shared" si="33"/>
        <v xml:space="preserve"> </v>
      </c>
      <c r="T72" s="7" t="str">
        <f t="shared" si="34"/>
        <v xml:space="preserve"> </v>
      </c>
      <c r="U72" s="8" t="str">
        <f t="shared" si="35"/>
        <v xml:space="preserve"> </v>
      </c>
      <c r="V72" s="9" t="str">
        <f t="shared" si="29"/>
        <v xml:space="preserve"> </v>
      </c>
      <c r="W72" s="9" t="str">
        <f t="shared" si="36"/>
        <v/>
      </c>
      <c r="X72" s="32"/>
      <c r="Y72" s="36"/>
    </row>
    <row r="73" spans="1:25" s="4" customFormat="1" ht="18" customHeight="1">
      <c r="A73" s="36"/>
      <c r="B73" s="69">
        <v>46</v>
      </c>
      <c r="C73" s="69"/>
      <c r="D73" s="31" t="s">
        <v>325</v>
      </c>
      <c r="E73" s="29" t="s">
        <v>34</v>
      </c>
      <c r="F73" s="28">
        <v>0.95</v>
      </c>
      <c r="G73" s="29">
        <v>0.1</v>
      </c>
      <c r="H73" s="29">
        <v>-0.1</v>
      </c>
      <c r="I73" s="30" t="s">
        <v>39</v>
      </c>
      <c r="J73" s="12">
        <f t="shared" si="27"/>
        <v>1.05</v>
      </c>
      <c r="K73" s="12">
        <f t="shared" si="28"/>
        <v>0.85</v>
      </c>
      <c r="L73" s="78"/>
      <c r="M73" s="78"/>
      <c r="N73" s="78"/>
      <c r="O73" s="36"/>
      <c r="P73" s="24" t="str">
        <f t="shared" si="30"/>
        <v xml:space="preserve"> </v>
      </c>
      <c r="Q73" s="25" t="str">
        <f t="shared" si="31"/>
        <v xml:space="preserve"> </v>
      </c>
      <c r="R73" s="25" t="str">
        <f t="shared" si="32"/>
        <v xml:space="preserve"> </v>
      </c>
      <c r="S73" s="26" t="str">
        <f t="shared" si="33"/>
        <v xml:space="preserve"> </v>
      </c>
      <c r="T73" s="7" t="str">
        <f t="shared" si="34"/>
        <v xml:space="preserve"> </v>
      </c>
      <c r="U73" s="8" t="str">
        <f t="shared" si="35"/>
        <v xml:space="preserve"> </v>
      </c>
      <c r="V73" s="9" t="str">
        <f t="shared" si="29"/>
        <v xml:space="preserve"> </v>
      </c>
      <c r="W73" s="9" t="str">
        <f t="shared" si="36"/>
        <v/>
      </c>
      <c r="X73" s="32"/>
      <c r="Y73" s="36"/>
    </row>
    <row r="74" spans="1:25" s="4" customFormat="1" ht="18" customHeight="1">
      <c r="A74" s="36"/>
      <c r="B74" s="69">
        <v>47</v>
      </c>
      <c r="C74" s="69"/>
      <c r="D74" s="31" t="s">
        <v>326</v>
      </c>
      <c r="E74" s="29" t="s">
        <v>34</v>
      </c>
      <c r="F74" s="28">
        <v>4.8899999999999997</v>
      </c>
      <c r="G74" s="29">
        <v>0.1</v>
      </c>
      <c r="H74" s="29">
        <v>-0.1</v>
      </c>
      <c r="I74" s="30" t="s">
        <v>39</v>
      </c>
      <c r="J74" s="12">
        <f t="shared" si="27"/>
        <v>4.9899999999999993</v>
      </c>
      <c r="K74" s="12">
        <f t="shared" si="28"/>
        <v>4.79</v>
      </c>
      <c r="L74" s="78"/>
      <c r="M74" s="78"/>
      <c r="N74" s="78"/>
      <c r="O74" s="36"/>
      <c r="P74" s="24" t="str">
        <f t="shared" si="30"/>
        <v xml:space="preserve"> </v>
      </c>
      <c r="Q74" s="25" t="str">
        <f t="shared" si="31"/>
        <v xml:space="preserve"> </v>
      </c>
      <c r="R74" s="25" t="str">
        <f t="shared" si="32"/>
        <v xml:space="preserve"> </v>
      </c>
      <c r="S74" s="26" t="str">
        <f t="shared" si="33"/>
        <v xml:space="preserve"> </v>
      </c>
      <c r="T74" s="7" t="str">
        <f t="shared" si="34"/>
        <v xml:space="preserve"> </v>
      </c>
      <c r="U74" s="8" t="str">
        <f t="shared" si="35"/>
        <v xml:space="preserve"> </v>
      </c>
      <c r="V74" s="9" t="str">
        <f t="shared" si="29"/>
        <v xml:space="preserve"> </v>
      </c>
      <c r="W74" s="9" t="str">
        <f t="shared" si="36"/>
        <v/>
      </c>
      <c r="X74" s="32"/>
      <c r="Y74" s="36"/>
    </row>
    <row r="75" spans="1:25" s="4" customFormat="1" ht="18" customHeight="1">
      <c r="A75" s="36"/>
      <c r="B75" s="69">
        <v>48.01</v>
      </c>
      <c r="C75" s="69"/>
      <c r="D75" s="31" t="s">
        <v>327</v>
      </c>
      <c r="E75" s="29" t="s">
        <v>34</v>
      </c>
      <c r="F75" s="28">
        <v>4.6900000000000004</v>
      </c>
      <c r="G75" s="29">
        <v>0.1</v>
      </c>
      <c r="H75" s="29">
        <v>-0.1</v>
      </c>
      <c r="I75" s="30" t="s">
        <v>39</v>
      </c>
      <c r="J75" s="12">
        <f t="shared" si="27"/>
        <v>4.79</v>
      </c>
      <c r="K75" s="12">
        <f t="shared" si="28"/>
        <v>4.5900000000000007</v>
      </c>
      <c r="L75" s="78"/>
      <c r="M75" s="78"/>
      <c r="N75" s="78"/>
      <c r="O75" s="36"/>
      <c r="P75" s="24" t="str">
        <f t="shared" si="30"/>
        <v xml:space="preserve"> </v>
      </c>
      <c r="Q75" s="25" t="str">
        <f t="shared" si="31"/>
        <v xml:space="preserve"> </v>
      </c>
      <c r="R75" s="25" t="str">
        <f t="shared" si="32"/>
        <v xml:space="preserve"> </v>
      </c>
      <c r="S75" s="26" t="str">
        <f t="shared" si="33"/>
        <v xml:space="preserve"> </v>
      </c>
      <c r="T75" s="7" t="str">
        <f t="shared" si="34"/>
        <v xml:space="preserve"> </v>
      </c>
      <c r="U75" s="8" t="str">
        <f t="shared" si="35"/>
        <v xml:space="preserve"> </v>
      </c>
      <c r="V75" s="9" t="str">
        <f t="shared" si="29"/>
        <v xml:space="preserve"> </v>
      </c>
      <c r="W75" s="9" t="str">
        <f t="shared" si="36"/>
        <v/>
      </c>
      <c r="X75" s="32"/>
      <c r="Y75" s="36"/>
    </row>
    <row r="76" spans="1:25" s="4" customFormat="1" ht="18" customHeight="1">
      <c r="A76" s="36"/>
      <c r="B76" s="69">
        <v>48.02</v>
      </c>
      <c r="C76" s="69"/>
      <c r="D76" s="31" t="s">
        <v>327</v>
      </c>
      <c r="E76" s="29" t="s">
        <v>34</v>
      </c>
      <c r="F76" s="28">
        <v>4.6900000000000004</v>
      </c>
      <c r="G76" s="29">
        <v>0.1</v>
      </c>
      <c r="H76" s="29">
        <v>-0.1</v>
      </c>
      <c r="I76" s="30" t="s">
        <v>39</v>
      </c>
      <c r="J76" s="12">
        <f t="shared" si="27"/>
        <v>4.79</v>
      </c>
      <c r="K76" s="12">
        <f t="shared" si="28"/>
        <v>4.5900000000000007</v>
      </c>
      <c r="L76" s="78"/>
      <c r="M76" s="78"/>
      <c r="N76" s="78"/>
      <c r="O76" s="36"/>
      <c r="P76" s="24" t="str">
        <f t="shared" ref="P76" si="37">IF(ISERR(L76/L76)=TRUE," ",L76-$F76)</f>
        <v xml:space="preserve"> </v>
      </c>
      <c r="Q76" s="25" t="str">
        <f t="shared" ref="Q76" si="38">IF(ISERR(M76/M76)=TRUE," ",M76-$F76)</f>
        <v xml:space="preserve"> </v>
      </c>
      <c r="R76" s="25" t="str">
        <f t="shared" ref="R76" si="39">IF(ISERR(N76/N76)=TRUE," ",N76-$F76)</f>
        <v xml:space="preserve"> </v>
      </c>
      <c r="S76" s="26" t="str">
        <f t="shared" ref="S76" si="40">IF(ISERR(L76/L76)=TRUE," ",AVERAGE(L76:N76))</f>
        <v xml:space="preserve"> </v>
      </c>
      <c r="T76" s="7" t="str">
        <f t="shared" ref="T76" si="41">IF(ISERR(G76/G76)=TRUE," ",IF(ISERR(L76/L76)=TRUE," ",IF(ISNUMBER($L76)=FALSE," ",IF(MAX($L76:$N76)&lt;$F76,0,(MAX($L76:$N76)-$F76)/$G76))))</f>
        <v xml:space="preserve"> </v>
      </c>
      <c r="U76" s="8" t="str">
        <f t="shared" ref="U76" si="42">IF(ISERR(H76/F76)=TRUE," ",IF(ISERR(H76/H76)=TRUE," ",IF(ISERR(L76/L76)=TRUE," ",IF(ISNUMBER(L76)=FALSE," ",IF(MIN(L76:N76)&gt;$F76,0,($F76-MIN(L76:N76))/-H76)))))</f>
        <v xml:space="preserve"> </v>
      </c>
      <c r="V76" s="9"/>
      <c r="W76" s="9"/>
      <c r="X76" s="32"/>
      <c r="Y76" s="36"/>
    </row>
    <row r="77" spans="1:25" s="4" customFormat="1" ht="18" customHeight="1">
      <c r="A77" s="36"/>
      <c r="B77" s="69">
        <v>49.01</v>
      </c>
      <c r="C77" s="69"/>
      <c r="D77" s="31" t="s">
        <v>327</v>
      </c>
      <c r="E77" s="29" t="s">
        <v>170</v>
      </c>
      <c r="F77" s="28">
        <v>1.01</v>
      </c>
      <c r="G77" s="29">
        <v>0.03</v>
      </c>
      <c r="H77" s="29">
        <v>-0.03</v>
      </c>
      <c r="I77" s="30" t="s">
        <v>39</v>
      </c>
      <c r="J77" s="12">
        <f t="shared" si="27"/>
        <v>1.04</v>
      </c>
      <c r="K77" s="12">
        <f t="shared" si="28"/>
        <v>0.98</v>
      </c>
      <c r="L77" s="78"/>
      <c r="M77" s="78"/>
      <c r="N77" s="78"/>
      <c r="O77" s="36"/>
      <c r="P77" s="24" t="str">
        <f t="shared" si="30"/>
        <v xml:space="preserve"> </v>
      </c>
      <c r="Q77" s="25" t="str">
        <f t="shared" si="31"/>
        <v xml:space="preserve"> </v>
      </c>
      <c r="R77" s="25" t="str">
        <f t="shared" si="32"/>
        <v xml:space="preserve"> </v>
      </c>
      <c r="S77" s="26" t="str">
        <f t="shared" si="33"/>
        <v xml:space="preserve"> </v>
      </c>
      <c r="T77" s="7" t="str">
        <f t="shared" si="34"/>
        <v xml:space="preserve"> </v>
      </c>
      <c r="U77" s="8" t="str">
        <f t="shared" si="35"/>
        <v xml:space="preserve"> </v>
      </c>
      <c r="V77" s="9" t="str">
        <f t="shared" si="29"/>
        <v xml:space="preserve"> </v>
      </c>
      <c r="W77" s="9" t="str">
        <f t="shared" si="36"/>
        <v/>
      </c>
      <c r="X77" s="32"/>
      <c r="Y77" s="36"/>
    </row>
    <row r="78" spans="1:25" s="4" customFormat="1" ht="18" customHeight="1">
      <c r="A78" s="36"/>
      <c r="B78" s="69">
        <v>49.02</v>
      </c>
      <c r="C78" s="69"/>
      <c r="D78" s="31" t="s">
        <v>327</v>
      </c>
      <c r="E78" s="29" t="s">
        <v>170</v>
      </c>
      <c r="F78" s="28">
        <v>1.03</v>
      </c>
      <c r="G78" s="29">
        <v>0.03</v>
      </c>
      <c r="H78" s="29">
        <v>-0.03</v>
      </c>
      <c r="I78" s="30" t="s">
        <v>39</v>
      </c>
      <c r="J78" s="12">
        <f t="shared" si="27"/>
        <v>1.06</v>
      </c>
      <c r="K78" s="12">
        <f t="shared" si="28"/>
        <v>1</v>
      </c>
      <c r="L78" s="78"/>
      <c r="M78" s="78"/>
      <c r="N78" s="78"/>
      <c r="O78" s="36"/>
      <c r="P78" s="24" t="str">
        <f t="shared" si="30"/>
        <v xml:space="preserve"> </v>
      </c>
      <c r="Q78" s="25" t="str">
        <f t="shared" si="31"/>
        <v xml:space="preserve"> </v>
      </c>
      <c r="R78" s="25" t="str">
        <f t="shared" si="32"/>
        <v xml:space="preserve"> </v>
      </c>
      <c r="S78" s="26" t="str">
        <f t="shared" si="33"/>
        <v xml:space="preserve"> </v>
      </c>
      <c r="T78" s="7" t="str">
        <f t="shared" si="34"/>
        <v xml:space="preserve"> </v>
      </c>
      <c r="U78" s="8" t="str">
        <f t="shared" si="35"/>
        <v xml:space="preserve"> </v>
      </c>
      <c r="V78" s="9" t="str">
        <f t="shared" si="29"/>
        <v xml:space="preserve"> </v>
      </c>
      <c r="W78" s="9" t="str">
        <f t="shared" si="36"/>
        <v/>
      </c>
      <c r="X78" s="32"/>
      <c r="Y78" s="36"/>
    </row>
    <row r="79" spans="1:25" s="4" customFormat="1" ht="18" customHeight="1">
      <c r="A79" s="36"/>
      <c r="B79" s="69">
        <v>50.01</v>
      </c>
      <c r="C79" s="69"/>
      <c r="D79" s="31" t="s">
        <v>328</v>
      </c>
      <c r="E79" s="29" t="s">
        <v>34</v>
      </c>
      <c r="F79" s="28">
        <v>0.96</v>
      </c>
      <c r="G79" s="29">
        <v>0.1</v>
      </c>
      <c r="H79" s="29">
        <v>-0.1</v>
      </c>
      <c r="I79" s="30" t="s">
        <v>39</v>
      </c>
      <c r="J79" s="12">
        <f t="shared" si="27"/>
        <v>1.06</v>
      </c>
      <c r="K79" s="12">
        <f t="shared" si="28"/>
        <v>0.86</v>
      </c>
      <c r="L79" s="78"/>
      <c r="M79" s="78"/>
      <c r="N79" s="78"/>
      <c r="O79" s="36"/>
      <c r="P79" s="24" t="str">
        <f t="shared" si="30"/>
        <v xml:space="preserve"> </v>
      </c>
      <c r="Q79" s="25" t="str">
        <f t="shared" si="31"/>
        <v xml:space="preserve"> </v>
      </c>
      <c r="R79" s="25" t="str">
        <f t="shared" si="32"/>
        <v xml:space="preserve"> </v>
      </c>
      <c r="S79" s="26" t="str">
        <f t="shared" si="33"/>
        <v xml:space="preserve"> </v>
      </c>
      <c r="T79" s="7" t="str">
        <f t="shared" si="34"/>
        <v xml:space="preserve"> </v>
      </c>
      <c r="U79" s="8" t="str">
        <f t="shared" si="35"/>
        <v xml:space="preserve"> </v>
      </c>
      <c r="V79" s="9" t="str">
        <f t="shared" si="29"/>
        <v xml:space="preserve"> </v>
      </c>
      <c r="W79" s="9" t="str">
        <f t="shared" si="36"/>
        <v/>
      </c>
      <c r="X79" s="32"/>
      <c r="Y79" s="36"/>
    </row>
    <row r="80" spans="1:25" s="4" customFormat="1" ht="18" customHeight="1">
      <c r="A80" s="36"/>
      <c r="B80" s="69">
        <v>50.02</v>
      </c>
      <c r="C80" s="69"/>
      <c r="D80" s="31" t="s">
        <v>328</v>
      </c>
      <c r="E80" s="29" t="s">
        <v>34</v>
      </c>
      <c r="F80" s="28">
        <v>0.96</v>
      </c>
      <c r="G80" s="29">
        <v>0.1</v>
      </c>
      <c r="H80" s="29">
        <v>-0.1</v>
      </c>
      <c r="I80" s="30" t="s">
        <v>39</v>
      </c>
      <c r="J80" s="12">
        <f t="shared" si="27"/>
        <v>1.06</v>
      </c>
      <c r="K80" s="12">
        <f t="shared" si="28"/>
        <v>0.86</v>
      </c>
      <c r="L80" s="78"/>
      <c r="M80" s="78"/>
      <c r="N80" s="78"/>
      <c r="O80" s="36"/>
      <c r="P80" s="24" t="str">
        <f t="shared" si="30"/>
        <v xml:space="preserve"> </v>
      </c>
      <c r="Q80" s="25" t="str">
        <f t="shared" si="31"/>
        <v xml:space="preserve"> </v>
      </c>
      <c r="R80" s="25" t="str">
        <f t="shared" si="32"/>
        <v xml:space="preserve"> </v>
      </c>
      <c r="S80" s="26" t="str">
        <f t="shared" si="33"/>
        <v xml:space="preserve"> </v>
      </c>
      <c r="T80" s="7" t="str">
        <f t="shared" si="34"/>
        <v xml:space="preserve"> </v>
      </c>
      <c r="U80" s="8" t="str">
        <f t="shared" si="35"/>
        <v xml:space="preserve"> </v>
      </c>
      <c r="V80" s="9" t="str">
        <f t="shared" si="29"/>
        <v xml:space="preserve"> </v>
      </c>
      <c r="W80" s="9" t="str">
        <f t="shared" si="36"/>
        <v/>
      </c>
      <c r="X80" s="32"/>
      <c r="Y80" s="36"/>
    </row>
    <row r="81" spans="1:25" s="4" customFormat="1" ht="18" customHeight="1">
      <c r="A81" s="36"/>
      <c r="B81" s="69">
        <v>51.01</v>
      </c>
      <c r="C81" s="69" t="s">
        <v>290</v>
      </c>
      <c r="D81" s="31" t="s">
        <v>326</v>
      </c>
      <c r="E81" s="29" t="s">
        <v>34</v>
      </c>
      <c r="F81" s="28">
        <v>2.96</v>
      </c>
      <c r="G81" s="29">
        <v>0.05</v>
      </c>
      <c r="H81" s="29">
        <v>-0.05</v>
      </c>
      <c r="I81" s="30" t="s">
        <v>39</v>
      </c>
      <c r="J81" s="12">
        <f t="shared" si="27"/>
        <v>3.01</v>
      </c>
      <c r="K81" s="12">
        <f t="shared" si="28"/>
        <v>2.91</v>
      </c>
      <c r="L81" s="78"/>
      <c r="M81" s="78"/>
      <c r="N81" s="78"/>
      <c r="O81" s="36"/>
      <c r="P81" s="24" t="str">
        <f t="shared" si="30"/>
        <v xml:space="preserve"> </v>
      </c>
      <c r="Q81" s="25" t="str">
        <f t="shared" si="31"/>
        <v xml:space="preserve"> </v>
      </c>
      <c r="R81" s="25" t="str">
        <f t="shared" si="32"/>
        <v xml:space="preserve"> </v>
      </c>
      <c r="S81" s="26" t="str">
        <f t="shared" si="33"/>
        <v xml:space="preserve"> </v>
      </c>
      <c r="T81" s="7" t="str">
        <f t="shared" si="34"/>
        <v xml:space="preserve"> </v>
      </c>
      <c r="U81" s="8" t="str">
        <f t="shared" si="35"/>
        <v xml:space="preserve"> </v>
      </c>
      <c r="V81" s="9" t="str">
        <f t="shared" si="29"/>
        <v xml:space="preserve"> </v>
      </c>
      <c r="W81" s="9" t="str">
        <f t="shared" si="36"/>
        <v/>
      </c>
      <c r="X81" s="32"/>
      <c r="Y81" s="36"/>
    </row>
    <row r="82" spans="1:25" s="4" customFormat="1" ht="18" customHeight="1">
      <c r="A82" s="36"/>
      <c r="B82" s="69">
        <v>51.02</v>
      </c>
      <c r="C82" s="69" t="s">
        <v>291</v>
      </c>
      <c r="D82" s="31" t="s">
        <v>329</v>
      </c>
      <c r="E82" s="29" t="s">
        <v>34</v>
      </c>
      <c r="F82" s="28">
        <v>2.96</v>
      </c>
      <c r="G82" s="29">
        <v>0.05</v>
      </c>
      <c r="H82" s="29">
        <v>-0.05</v>
      </c>
      <c r="I82" s="30" t="s">
        <v>39</v>
      </c>
      <c r="J82" s="12">
        <f t="shared" si="27"/>
        <v>3.01</v>
      </c>
      <c r="K82" s="12">
        <f t="shared" si="28"/>
        <v>2.91</v>
      </c>
      <c r="L82" s="78"/>
      <c r="M82" s="78"/>
      <c r="N82" s="78"/>
      <c r="O82" s="36"/>
      <c r="P82" s="24" t="str">
        <f t="shared" si="30"/>
        <v xml:space="preserve"> </v>
      </c>
      <c r="Q82" s="25" t="str">
        <f t="shared" si="31"/>
        <v xml:space="preserve"> </v>
      </c>
      <c r="R82" s="25" t="str">
        <f t="shared" si="32"/>
        <v xml:space="preserve"> </v>
      </c>
      <c r="S82" s="26" t="str">
        <f t="shared" si="33"/>
        <v xml:space="preserve"> </v>
      </c>
      <c r="T82" s="7" t="str">
        <f t="shared" si="34"/>
        <v xml:space="preserve"> </v>
      </c>
      <c r="U82" s="8" t="str">
        <f t="shared" si="35"/>
        <v xml:space="preserve"> </v>
      </c>
      <c r="V82" s="9" t="str">
        <f t="shared" si="29"/>
        <v xml:space="preserve"> </v>
      </c>
      <c r="W82" s="9" t="str">
        <f t="shared" si="36"/>
        <v/>
      </c>
      <c r="X82" s="32"/>
      <c r="Y82" s="36"/>
    </row>
    <row r="83" spans="1:25" s="4" customFormat="1" ht="18" customHeight="1">
      <c r="A83" s="36"/>
      <c r="B83" s="69">
        <v>52.01</v>
      </c>
      <c r="C83" s="69"/>
      <c r="D83" s="31" t="s">
        <v>328</v>
      </c>
      <c r="E83" s="29" t="s">
        <v>34</v>
      </c>
      <c r="F83" s="28">
        <v>4.42</v>
      </c>
      <c r="G83" s="29">
        <v>0.1</v>
      </c>
      <c r="H83" s="29">
        <v>-0.1</v>
      </c>
      <c r="I83" s="30" t="s">
        <v>39</v>
      </c>
      <c r="J83" s="12">
        <f t="shared" si="27"/>
        <v>4.5199999999999996</v>
      </c>
      <c r="K83" s="12">
        <f t="shared" si="28"/>
        <v>4.32</v>
      </c>
      <c r="L83" s="78"/>
      <c r="M83" s="78"/>
      <c r="N83" s="78"/>
      <c r="O83" s="36"/>
      <c r="P83" s="24" t="str">
        <f t="shared" si="30"/>
        <v xml:space="preserve"> </v>
      </c>
      <c r="Q83" s="25" t="str">
        <f t="shared" si="31"/>
        <v xml:space="preserve"> </v>
      </c>
      <c r="R83" s="25" t="str">
        <f t="shared" si="32"/>
        <v xml:space="preserve"> </v>
      </c>
      <c r="S83" s="26" t="str">
        <f t="shared" si="33"/>
        <v xml:space="preserve"> </v>
      </c>
      <c r="T83" s="7" t="str">
        <f t="shared" si="34"/>
        <v xml:space="preserve"> </v>
      </c>
      <c r="U83" s="8" t="str">
        <f t="shared" si="35"/>
        <v xml:space="preserve"> </v>
      </c>
      <c r="V83" s="9" t="str">
        <f t="shared" si="29"/>
        <v xml:space="preserve"> </v>
      </c>
      <c r="W83" s="9" t="str">
        <f t="shared" si="36"/>
        <v/>
      </c>
      <c r="X83" s="32"/>
      <c r="Y83" s="36"/>
    </row>
    <row r="84" spans="1:25" s="4" customFormat="1" ht="18" customHeight="1">
      <c r="A84" s="36"/>
      <c r="B84" s="69">
        <v>52.02</v>
      </c>
      <c r="C84" s="69"/>
      <c r="D84" s="31" t="s">
        <v>328</v>
      </c>
      <c r="E84" s="29" t="s">
        <v>34</v>
      </c>
      <c r="F84" s="28">
        <v>4.42</v>
      </c>
      <c r="G84" s="29">
        <v>0.1</v>
      </c>
      <c r="H84" s="29">
        <v>-0.1</v>
      </c>
      <c r="I84" s="30" t="s">
        <v>39</v>
      </c>
      <c r="J84" s="12">
        <f t="shared" si="27"/>
        <v>4.5199999999999996</v>
      </c>
      <c r="K84" s="12">
        <f t="shared" si="28"/>
        <v>4.32</v>
      </c>
      <c r="L84" s="78"/>
      <c r="M84" s="78"/>
      <c r="N84" s="78"/>
      <c r="O84" s="36"/>
      <c r="P84" s="24" t="str">
        <f t="shared" si="30"/>
        <v xml:space="preserve"> </v>
      </c>
      <c r="Q84" s="25" t="str">
        <f t="shared" si="31"/>
        <v xml:space="preserve"> </v>
      </c>
      <c r="R84" s="25" t="str">
        <f t="shared" si="32"/>
        <v xml:space="preserve"> </v>
      </c>
      <c r="S84" s="26" t="str">
        <f t="shared" si="33"/>
        <v xml:space="preserve"> </v>
      </c>
      <c r="T84" s="7" t="str">
        <f t="shared" si="34"/>
        <v xml:space="preserve"> </v>
      </c>
      <c r="U84" s="8" t="str">
        <f t="shared" si="35"/>
        <v xml:space="preserve"> </v>
      </c>
      <c r="V84" s="9" t="str">
        <f t="shared" si="29"/>
        <v xml:space="preserve"> </v>
      </c>
      <c r="W84" s="9" t="str">
        <f t="shared" si="36"/>
        <v/>
      </c>
      <c r="X84" s="32"/>
      <c r="Y84" s="36"/>
    </row>
    <row r="85" spans="1:25" s="4" customFormat="1" ht="18" customHeight="1">
      <c r="A85" s="36"/>
      <c r="B85" s="69">
        <v>53.01</v>
      </c>
      <c r="C85" s="69" t="s">
        <v>292</v>
      </c>
      <c r="D85" s="31" t="s">
        <v>330</v>
      </c>
      <c r="E85" s="29" t="s">
        <v>34</v>
      </c>
      <c r="F85" s="28">
        <v>9.99</v>
      </c>
      <c r="G85" s="29">
        <v>0.05</v>
      </c>
      <c r="H85" s="29">
        <v>-0.05</v>
      </c>
      <c r="I85" s="30" t="s">
        <v>39</v>
      </c>
      <c r="J85" s="12">
        <f t="shared" si="27"/>
        <v>10.040000000000001</v>
      </c>
      <c r="K85" s="12">
        <f t="shared" si="28"/>
        <v>9.94</v>
      </c>
      <c r="L85" s="78"/>
      <c r="M85" s="78"/>
      <c r="N85" s="78"/>
      <c r="O85" s="36"/>
      <c r="P85" s="24" t="str">
        <f t="shared" si="30"/>
        <v xml:space="preserve"> </v>
      </c>
      <c r="Q85" s="25" t="str">
        <f t="shared" si="31"/>
        <v xml:space="preserve"> </v>
      </c>
      <c r="R85" s="25" t="str">
        <f t="shared" si="32"/>
        <v xml:space="preserve"> </v>
      </c>
      <c r="S85" s="26" t="str">
        <f t="shared" si="33"/>
        <v xml:space="preserve"> </v>
      </c>
      <c r="T85" s="7" t="str">
        <f t="shared" si="34"/>
        <v xml:space="preserve"> </v>
      </c>
      <c r="U85" s="8" t="str">
        <f t="shared" si="35"/>
        <v xml:space="preserve"> </v>
      </c>
      <c r="V85" s="9" t="str">
        <f t="shared" si="29"/>
        <v xml:space="preserve"> </v>
      </c>
      <c r="W85" s="9" t="str">
        <f t="shared" si="36"/>
        <v/>
      </c>
      <c r="X85" s="32"/>
      <c r="Y85" s="36"/>
    </row>
    <row r="86" spans="1:25" s="4" customFormat="1" ht="18" customHeight="1">
      <c r="A86" s="36"/>
      <c r="B86" s="69">
        <v>53.02</v>
      </c>
      <c r="C86" s="69" t="s">
        <v>293</v>
      </c>
      <c r="D86" s="31" t="s">
        <v>330</v>
      </c>
      <c r="E86" s="29" t="s">
        <v>34</v>
      </c>
      <c r="F86" s="28">
        <v>9.99</v>
      </c>
      <c r="G86" s="29">
        <v>0.05</v>
      </c>
      <c r="H86" s="29">
        <v>-0.05</v>
      </c>
      <c r="I86" s="30" t="s">
        <v>39</v>
      </c>
      <c r="J86" s="12">
        <f t="shared" si="27"/>
        <v>10.040000000000001</v>
      </c>
      <c r="K86" s="12">
        <f t="shared" si="28"/>
        <v>9.94</v>
      </c>
      <c r="L86" s="78"/>
      <c r="M86" s="78"/>
      <c r="N86" s="78"/>
      <c r="O86" s="36"/>
      <c r="P86" s="24" t="str">
        <f t="shared" si="30"/>
        <v xml:space="preserve"> </v>
      </c>
      <c r="Q86" s="25" t="str">
        <f t="shared" si="31"/>
        <v xml:space="preserve"> </v>
      </c>
      <c r="R86" s="25" t="str">
        <f t="shared" si="32"/>
        <v xml:space="preserve"> </v>
      </c>
      <c r="S86" s="26" t="str">
        <f t="shared" si="33"/>
        <v xml:space="preserve"> </v>
      </c>
      <c r="T86" s="7" t="str">
        <f t="shared" si="34"/>
        <v xml:space="preserve"> </v>
      </c>
      <c r="U86" s="8" t="str">
        <f t="shared" si="35"/>
        <v xml:space="preserve"> </v>
      </c>
      <c r="V86" s="9" t="str">
        <f t="shared" si="29"/>
        <v xml:space="preserve"> </v>
      </c>
      <c r="W86" s="9" t="str">
        <f t="shared" si="36"/>
        <v/>
      </c>
      <c r="X86" s="32"/>
      <c r="Y86" s="36"/>
    </row>
    <row r="87" spans="1:25" s="4" customFormat="1" ht="18" customHeight="1">
      <c r="A87" s="36"/>
      <c r="B87" s="69">
        <v>54.01</v>
      </c>
      <c r="C87" s="69"/>
      <c r="D87" s="31" t="s">
        <v>331</v>
      </c>
      <c r="E87" s="29" t="s">
        <v>34</v>
      </c>
      <c r="F87" s="28">
        <v>1.53</v>
      </c>
      <c r="G87" s="29">
        <v>0.05</v>
      </c>
      <c r="H87" s="29">
        <v>-0.05</v>
      </c>
      <c r="I87" s="30" t="s">
        <v>39</v>
      </c>
      <c r="J87" s="12">
        <f t="shared" si="27"/>
        <v>1.58</v>
      </c>
      <c r="K87" s="12">
        <f t="shared" si="28"/>
        <v>1.48</v>
      </c>
      <c r="L87" s="78"/>
      <c r="M87" s="78"/>
      <c r="N87" s="78"/>
      <c r="O87" s="36"/>
      <c r="P87" s="24" t="str">
        <f t="shared" si="30"/>
        <v xml:space="preserve"> </v>
      </c>
      <c r="Q87" s="25" t="str">
        <f t="shared" si="31"/>
        <v xml:space="preserve"> </v>
      </c>
      <c r="R87" s="25" t="str">
        <f t="shared" si="32"/>
        <v xml:space="preserve"> </v>
      </c>
      <c r="S87" s="26" t="str">
        <f t="shared" si="33"/>
        <v xml:space="preserve"> </v>
      </c>
      <c r="T87" s="7" t="str">
        <f t="shared" si="34"/>
        <v xml:space="preserve"> </v>
      </c>
      <c r="U87" s="8" t="str">
        <f t="shared" si="35"/>
        <v xml:space="preserve"> </v>
      </c>
      <c r="V87" s="9" t="str">
        <f t="shared" si="29"/>
        <v xml:space="preserve"> </v>
      </c>
      <c r="W87" s="9" t="str">
        <f t="shared" si="36"/>
        <v/>
      </c>
      <c r="X87" s="32"/>
      <c r="Y87" s="36"/>
    </row>
    <row r="88" spans="1:25" s="4" customFormat="1" ht="18" customHeight="1">
      <c r="A88" s="36"/>
      <c r="B88" s="69">
        <v>54.02</v>
      </c>
      <c r="C88" s="69"/>
      <c r="D88" s="31" t="s">
        <v>331</v>
      </c>
      <c r="E88" s="29" t="s">
        <v>34</v>
      </c>
      <c r="F88" s="28">
        <v>1.53</v>
      </c>
      <c r="G88" s="29">
        <v>0.05</v>
      </c>
      <c r="H88" s="29">
        <v>-0.05</v>
      </c>
      <c r="I88" s="30" t="s">
        <v>39</v>
      </c>
      <c r="J88" s="12">
        <f t="shared" si="27"/>
        <v>1.58</v>
      </c>
      <c r="K88" s="12">
        <f t="shared" si="28"/>
        <v>1.48</v>
      </c>
      <c r="L88" s="78"/>
      <c r="M88" s="78"/>
      <c r="N88" s="78"/>
      <c r="O88" s="36"/>
      <c r="P88" s="24" t="str">
        <f t="shared" si="30"/>
        <v xml:space="preserve"> </v>
      </c>
      <c r="Q88" s="25" t="str">
        <f t="shared" si="31"/>
        <v xml:space="preserve"> </v>
      </c>
      <c r="R88" s="25" t="str">
        <f t="shared" si="32"/>
        <v xml:space="preserve"> </v>
      </c>
      <c r="S88" s="26" t="str">
        <f t="shared" si="33"/>
        <v xml:space="preserve"> </v>
      </c>
      <c r="T88" s="7" t="str">
        <f t="shared" si="34"/>
        <v xml:space="preserve"> </v>
      </c>
      <c r="U88" s="8" t="str">
        <f t="shared" si="35"/>
        <v xml:space="preserve"> </v>
      </c>
      <c r="V88" s="9" t="str">
        <f t="shared" si="29"/>
        <v xml:space="preserve"> </v>
      </c>
      <c r="W88" s="9" t="str">
        <f t="shared" si="36"/>
        <v/>
      </c>
      <c r="X88" s="32"/>
      <c r="Y88" s="36"/>
    </row>
    <row r="89" spans="1:25" s="4" customFormat="1" ht="18" customHeight="1">
      <c r="A89" s="36"/>
      <c r="B89" s="69">
        <v>55.01</v>
      </c>
      <c r="C89" s="69"/>
      <c r="D89" s="31" t="s">
        <v>331</v>
      </c>
      <c r="E89" s="29" t="s">
        <v>34</v>
      </c>
      <c r="F89" s="28">
        <v>4.67</v>
      </c>
      <c r="G89" s="29">
        <v>0.1</v>
      </c>
      <c r="H89" s="29">
        <v>-0.1</v>
      </c>
      <c r="I89" s="30" t="s">
        <v>39</v>
      </c>
      <c r="J89" s="12">
        <f t="shared" si="27"/>
        <v>4.7699999999999996</v>
      </c>
      <c r="K89" s="12">
        <f t="shared" si="28"/>
        <v>4.57</v>
      </c>
      <c r="L89" s="78"/>
      <c r="M89" s="78"/>
      <c r="N89" s="78"/>
      <c r="O89" s="36"/>
      <c r="P89" s="24" t="str">
        <f t="shared" si="30"/>
        <v xml:space="preserve"> </v>
      </c>
      <c r="Q89" s="25" t="str">
        <f t="shared" si="31"/>
        <v xml:space="preserve"> </v>
      </c>
      <c r="R89" s="25" t="str">
        <f t="shared" si="32"/>
        <v xml:space="preserve"> </v>
      </c>
      <c r="S89" s="26" t="str">
        <f t="shared" si="33"/>
        <v xml:space="preserve"> </v>
      </c>
      <c r="T89" s="7" t="str">
        <f t="shared" si="34"/>
        <v xml:space="preserve"> </v>
      </c>
      <c r="U89" s="8" t="str">
        <f t="shared" si="35"/>
        <v xml:space="preserve"> </v>
      </c>
      <c r="V89" s="9" t="str">
        <f t="shared" si="29"/>
        <v xml:space="preserve"> </v>
      </c>
      <c r="W89" s="9" t="str">
        <f t="shared" si="36"/>
        <v/>
      </c>
      <c r="X89" s="32"/>
      <c r="Y89" s="36"/>
    </row>
    <row r="90" spans="1:25" s="4" customFormat="1" ht="18" customHeight="1">
      <c r="A90" s="36"/>
      <c r="B90" s="69">
        <v>55.02</v>
      </c>
      <c r="C90" s="69"/>
      <c r="D90" s="31" t="s">
        <v>331</v>
      </c>
      <c r="E90" s="29" t="s">
        <v>34</v>
      </c>
      <c r="F90" s="28">
        <v>4.67</v>
      </c>
      <c r="G90" s="29">
        <v>0.1</v>
      </c>
      <c r="H90" s="29">
        <v>-0.1</v>
      </c>
      <c r="I90" s="30" t="s">
        <v>39</v>
      </c>
      <c r="J90" s="12">
        <f t="shared" si="27"/>
        <v>4.7699999999999996</v>
      </c>
      <c r="K90" s="12">
        <f t="shared" si="28"/>
        <v>4.57</v>
      </c>
      <c r="L90" s="78"/>
      <c r="M90" s="78"/>
      <c r="N90" s="78"/>
      <c r="O90" s="36"/>
      <c r="P90" s="24" t="str">
        <f t="shared" si="30"/>
        <v xml:space="preserve"> </v>
      </c>
      <c r="Q90" s="25" t="str">
        <f t="shared" si="31"/>
        <v xml:space="preserve"> </v>
      </c>
      <c r="R90" s="25" t="str">
        <f t="shared" si="32"/>
        <v xml:space="preserve"> </v>
      </c>
      <c r="S90" s="26" t="str">
        <f t="shared" si="33"/>
        <v xml:space="preserve"> </v>
      </c>
      <c r="T90" s="7" t="str">
        <f t="shared" si="34"/>
        <v xml:space="preserve"> </v>
      </c>
      <c r="U90" s="8" t="str">
        <f t="shared" si="35"/>
        <v xml:space="preserve"> </v>
      </c>
      <c r="V90" s="9" t="str">
        <f t="shared" si="29"/>
        <v xml:space="preserve"> </v>
      </c>
      <c r="W90" s="9" t="str">
        <f t="shared" si="36"/>
        <v/>
      </c>
      <c r="X90" s="32"/>
      <c r="Y90" s="36"/>
    </row>
    <row r="91" spans="1:25" s="4" customFormat="1" ht="18" customHeight="1">
      <c r="A91" s="36"/>
      <c r="B91" s="79">
        <v>56</v>
      </c>
      <c r="C91" s="69"/>
      <c r="D91" s="31" t="s">
        <v>332</v>
      </c>
      <c r="E91" s="29" t="s">
        <v>36</v>
      </c>
      <c r="F91" s="28"/>
      <c r="G91" s="29">
        <v>0.1</v>
      </c>
      <c r="H91" s="29"/>
      <c r="I91" s="30" t="s">
        <v>39</v>
      </c>
      <c r="J91" s="12">
        <f t="shared" si="27"/>
        <v>0.1</v>
      </c>
      <c r="K91" s="12" t="str">
        <f t="shared" si="28"/>
        <v/>
      </c>
      <c r="L91" s="78"/>
      <c r="M91" s="78"/>
      <c r="N91" s="78"/>
      <c r="O91" s="36"/>
      <c r="P91" s="24" t="str">
        <f t="shared" si="30"/>
        <v xml:space="preserve"> </v>
      </c>
      <c r="Q91" s="25" t="str">
        <f t="shared" si="31"/>
        <v xml:space="preserve"> </v>
      </c>
      <c r="R91" s="25" t="str">
        <f t="shared" si="32"/>
        <v xml:space="preserve"> </v>
      </c>
      <c r="S91" s="26" t="str">
        <f t="shared" si="33"/>
        <v xml:space="preserve"> </v>
      </c>
      <c r="T91" s="7" t="str">
        <f t="shared" si="34"/>
        <v xml:space="preserve"> </v>
      </c>
      <c r="U91" s="8" t="str">
        <f t="shared" si="35"/>
        <v xml:space="preserve"> </v>
      </c>
      <c r="V91" s="9" t="str">
        <f t="shared" si="29"/>
        <v xml:space="preserve"> </v>
      </c>
      <c r="W91" s="9" t="str">
        <f t="shared" si="36"/>
        <v/>
      </c>
      <c r="X91" s="32"/>
      <c r="Y91" s="36"/>
    </row>
    <row r="92" spans="1:25" s="4" customFormat="1" ht="18" customHeight="1">
      <c r="A92" s="36"/>
      <c r="B92" s="79">
        <v>57</v>
      </c>
      <c r="C92" s="69"/>
      <c r="D92" s="31" t="s">
        <v>324</v>
      </c>
      <c r="E92" s="29" t="s">
        <v>36</v>
      </c>
      <c r="F92" s="28"/>
      <c r="G92" s="29">
        <v>0.1</v>
      </c>
      <c r="H92" s="29"/>
      <c r="I92" s="30" t="s">
        <v>39</v>
      </c>
      <c r="J92" s="12">
        <f t="shared" si="27"/>
        <v>0.1</v>
      </c>
      <c r="K92" s="12" t="str">
        <f t="shared" si="28"/>
        <v/>
      </c>
      <c r="L92" s="78"/>
      <c r="M92" s="78"/>
      <c r="N92" s="78"/>
      <c r="O92" s="36"/>
      <c r="P92" s="24" t="str">
        <f t="shared" si="30"/>
        <v xml:space="preserve"> </v>
      </c>
      <c r="Q92" s="25" t="str">
        <f t="shared" si="31"/>
        <v xml:space="preserve"> </v>
      </c>
      <c r="R92" s="25" t="str">
        <f t="shared" si="32"/>
        <v xml:space="preserve"> </v>
      </c>
      <c r="S92" s="26" t="str">
        <f t="shared" si="33"/>
        <v xml:space="preserve"> </v>
      </c>
      <c r="T92" s="7" t="str">
        <f t="shared" si="34"/>
        <v xml:space="preserve"> </v>
      </c>
      <c r="U92" s="8" t="str">
        <f t="shared" si="35"/>
        <v xml:space="preserve"> </v>
      </c>
      <c r="V92" s="9" t="str">
        <f t="shared" si="29"/>
        <v xml:space="preserve"> </v>
      </c>
      <c r="W92" s="9" t="str">
        <f t="shared" si="36"/>
        <v/>
      </c>
      <c r="X92" s="32"/>
      <c r="Y92" s="36"/>
    </row>
    <row r="93" spans="1:25" s="4" customFormat="1" ht="18" customHeight="1">
      <c r="A93" s="36"/>
      <c r="B93" s="79">
        <v>65.010000000000005</v>
      </c>
      <c r="C93" s="69"/>
      <c r="D93" s="31" t="s">
        <v>322</v>
      </c>
      <c r="E93" s="29" t="s">
        <v>34</v>
      </c>
      <c r="F93" s="28">
        <v>0.9</v>
      </c>
      <c r="G93" s="29">
        <v>0.1</v>
      </c>
      <c r="H93" s="29">
        <v>-0.1</v>
      </c>
      <c r="I93" s="30" t="s">
        <v>39</v>
      </c>
      <c r="J93" s="12">
        <f t="shared" si="27"/>
        <v>1</v>
      </c>
      <c r="K93" s="12">
        <f t="shared" si="28"/>
        <v>0.8</v>
      </c>
      <c r="L93" s="78"/>
      <c r="M93" s="78"/>
      <c r="N93" s="78"/>
      <c r="O93" s="36"/>
      <c r="P93" s="24" t="str">
        <f t="shared" si="30"/>
        <v xml:space="preserve"> </v>
      </c>
      <c r="Q93" s="25" t="str">
        <f t="shared" si="31"/>
        <v xml:space="preserve"> </v>
      </c>
      <c r="R93" s="25" t="str">
        <f t="shared" si="32"/>
        <v xml:space="preserve"> </v>
      </c>
      <c r="S93" s="26" t="str">
        <f t="shared" si="33"/>
        <v xml:space="preserve"> </v>
      </c>
      <c r="T93" s="7" t="str">
        <f t="shared" si="34"/>
        <v xml:space="preserve"> </v>
      </c>
      <c r="U93" s="8" t="str">
        <f t="shared" si="35"/>
        <v xml:space="preserve"> </v>
      </c>
      <c r="V93" s="9" t="str">
        <f t="shared" si="29"/>
        <v xml:space="preserve"> </v>
      </c>
      <c r="W93" s="9" t="str">
        <f t="shared" si="36"/>
        <v/>
      </c>
      <c r="X93" s="32"/>
      <c r="Y93" s="36"/>
    </row>
    <row r="94" spans="1:25" s="4" customFormat="1" ht="18" customHeight="1">
      <c r="A94" s="36"/>
      <c r="B94" s="79">
        <v>65.02</v>
      </c>
      <c r="C94" s="69"/>
      <c r="D94" s="31" t="s">
        <v>322</v>
      </c>
      <c r="E94" s="29" t="s">
        <v>34</v>
      </c>
      <c r="F94" s="28">
        <v>0.9</v>
      </c>
      <c r="G94" s="29">
        <v>0.1</v>
      </c>
      <c r="H94" s="29">
        <v>-0.1</v>
      </c>
      <c r="I94" s="30" t="s">
        <v>39</v>
      </c>
      <c r="J94" s="12">
        <f t="shared" si="27"/>
        <v>1</v>
      </c>
      <c r="K94" s="12">
        <f t="shared" si="28"/>
        <v>0.8</v>
      </c>
      <c r="L94" s="78"/>
      <c r="M94" s="78"/>
      <c r="N94" s="78"/>
      <c r="O94" s="36"/>
      <c r="P94" s="24" t="str">
        <f t="shared" si="30"/>
        <v xml:space="preserve"> </v>
      </c>
      <c r="Q94" s="25" t="str">
        <f t="shared" si="31"/>
        <v xml:space="preserve"> </v>
      </c>
      <c r="R94" s="25" t="str">
        <f t="shared" si="32"/>
        <v xml:space="preserve"> </v>
      </c>
      <c r="S94" s="26" t="str">
        <f t="shared" si="33"/>
        <v xml:space="preserve"> </v>
      </c>
      <c r="T94" s="7" t="str">
        <f t="shared" si="34"/>
        <v xml:space="preserve"> </v>
      </c>
      <c r="U94" s="8" t="str">
        <f t="shared" si="35"/>
        <v xml:space="preserve"> </v>
      </c>
      <c r="V94" s="9" t="str">
        <f t="shared" ref="V94:V108" si="43">IF(ISNUMBER($T94)=TRUE,IF($T94&gt;0.651,IF($T94&gt;1.001,"Reject","Alert")," ")," ")</f>
        <v xml:space="preserve"> </v>
      </c>
      <c r="W94" s="9" t="str">
        <f t="shared" si="36"/>
        <v/>
      </c>
      <c r="X94" s="32"/>
      <c r="Y94" s="36"/>
    </row>
    <row r="95" spans="1:25" s="4" customFormat="1" ht="18" customHeight="1">
      <c r="A95" s="36"/>
      <c r="B95" s="79">
        <v>65.03</v>
      </c>
      <c r="C95" s="69"/>
      <c r="D95" s="31" t="s">
        <v>322</v>
      </c>
      <c r="E95" s="29" t="s">
        <v>34</v>
      </c>
      <c r="F95" s="28">
        <v>0.9</v>
      </c>
      <c r="G95" s="29">
        <v>0.1</v>
      </c>
      <c r="H95" s="29">
        <v>-0.1</v>
      </c>
      <c r="I95" s="30" t="s">
        <v>39</v>
      </c>
      <c r="J95" s="12">
        <f t="shared" si="27"/>
        <v>1</v>
      </c>
      <c r="K95" s="12">
        <f t="shared" si="28"/>
        <v>0.8</v>
      </c>
      <c r="L95" s="78"/>
      <c r="M95" s="78"/>
      <c r="N95" s="78"/>
      <c r="O95" s="36"/>
      <c r="P95" s="24" t="str">
        <f t="shared" si="30"/>
        <v xml:space="preserve"> </v>
      </c>
      <c r="Q95" s="25" t="str">
        <f t="shared" si="31"/>
        <v xml:space="preserve"> </v>
      </c>
      <c r="R95" s="25" t="str">
        <f t="shared" si="32"/>
        <v xml:space="preserve"> </v>
      </c>
      <c r="S95" s="26" t="str">
        <f t="shared" si="33"/>
        <v xml:space="preserve"> </v>
      </c>
      <c r="T95" s="7" t="str">
        <f t="shared" si="34"/>
        <v xml:space="preserve"> </v>
      </c>
      <c r="U95" s="8" t="str">
        <f t="shared" si="35"/>
        <v xml:space="preserve"> </v>
      </c>
      <c r="V95" s="9" t="str">
        <f t="shared" si="43"/>
        <v xml:space="preserve"> </v>
      </c>
      <c r="W95" s="9" t="str">
        <f t="shared" si="36"/>
        <v/>
      </c>
      <c r="X95" s="32"/>
      <c r="Y95" s="36"/>
    </row>
    <row r="96" spans="1:25" s="4" customFormat="1" ht="18" customHeight="1">
      <c r="A96" s="36"/>
      <c r="B96" s="79">
        <v>65.040000000000006</v>
      </c>
      <c r="C96" s="69"/>
      <c r="D96" s="31" t="s">
        <v>322</v>
      </c>
      <c r="E96" s="29" t="s">
        <v>34</v>
      </c>
      <c r="F96" s="28">
        <v>0.9</v>
      </c>
      <c r="G96" s="29">
        <v>0.1</v>
      </c>
      <c r="H96" s="29">
        <v>-0.1</v>
      </c>
      <c r="I96" s="30" t="s">
        <v>39</v>
      </c>
      <c r="J96" s="12">
        <f t="shared" si="27"/>
        <v>1</v>
      </c>
      <c r="K96" s="12">
        <f t="shared" si="28"/>
        <v>0.8</v>
      </c>
      <c r="L96" s="78"/>
      <c r="M96" s="78"/>
      <c r="N96" s="78"/>
      <c r="O96" s="36"/>
      <c r="P96" s="24" t="str">
        <f t="shared" ref="P96:P101" si="44">IF(ISERR(L96/L96)=TRUE," ",L96-$F96)</f>
        <v xml:space="preserve"> </v>
      </c>
      <c r="Q96" s="25" t="str">
        <f t="shared" ref="Q96:Q101" si="45">IF(ISERR(M96/M96)=TRUE," ",M96-$F96)</f>
        <v xml:space="preserve"> </v>
      </c>
      <c r="R96" s="25" t="str">
        <f t="shared" ref="R96:R101" si="46">IF(ISERR(N96/N96)=TRUE," ",N96-$F96)</f>
        <v xml:space="preserve"> </v>
      </c>
      <c r="S96" s="26" t="str">
        <f t="shared" ref="S96:S101" si="47">IF(ISERR(L96/L96)=TRUE," ",AVERAGE(L96:N96))</f>
        <v xml:space="preserve"> </v>
      </c>
      <c r="T96" s="7" t="str">
        <f t="shared" ref="T96:T101" si="48">IF(ISERR(G96/G96)=TRUE," ",IF(ISERR(L96/L96)=TRUE," ",IF(ISNUMBER($L96)=FALSE," ",IF(MAX($L96:$N96)&lt;$F96,0,(MAX($L96:$N96)-$F96)/$G96))))</f>
        <v xml:space="preserve"> </v>
      </c>
      <c r="U96" s="8" t="str">
        <f t="shared" ref="U96:U101" si="49">IF(ISERR(H96/F96)=TRUE," ",IF(ISERR(H96/H96)=TRUE," ",IF(ISERR(L96/L96)=TRUE," ",IF(ISNUMBER(L96)=FALSE," ",IF(MIN(L96:N96)&gt;$F96,0,($F96-MIN(L96:N96))/-H96)))))</f>
        <v xml:space="preserve"> </v>
      </c>
      <c r="V96" s="9" t="str">
        <f t="shared" si="43"/>
        <v xml:space="preserve"> </v>
      </c>
      <c r="W96" s="9" t="str">
        <f t="shared" ref="W96:W101" si="50">IF(L96="","",IF(ISERR(H96/H96)=TRUE," ",IF(ISERR(H96/F96)=TRUE,IF((H96-MIN(L96:N96))&gt;0.001,"Reject",""),IF(ISNUMBER($U96)=TRUE,IF($U96&gt;0.651,IF($U96&gt;1.001,"Reject","Alert")," ")," "))))</f>
        <v/>
      </c>
      <c r="X96" s="32"/>
      <c r="Y96" s="36"/>
    </row>
    <row r="97" spans="1:25" s="4" customFormat="1" ht="18" customHeight="1">
      <c r="A97" s="36"/>
      <c r="B97" s="79">
        <v>66.010000000000005</v>
      </c>
      <c r="C97" s="69"/>
      <c r="D97" s="31" t="s">
        <v>323</v>
      </c>
      <c r="E97" s="29" t="s">
        <v>34</v>
      </c>
      <c r="F97" s="28">
        <v>0.9</v>
      </c>
      <c r="G97" s="29">
        <v>0.1</v>
      </c>
      <c r="H97" s="29">
        <v>-0.1</v>
      </c>
      <c r="I97" s="30" t="s">
        <v>39</v>
      </c>
      <c r="J97" s="12">
        <f t="shared" si="27"/>
        <v>1</v>
      </c>
      <c r="K97" s="12">
        <f t="shared" si="28"/>
        <v>0.8</v>
      </c>
      <c r="L97" s="78"/>
      <c r="M97" s="78"/>
      <c r="N97" s="78"/>
      <c r="O97" s="36"/>
      <c r="P97" s="24" t="str">
        <f t="shared" si="44"/>
        <v xml:space="preserve"> </v>
      </c>
      <c r="Q97" s="25" t="str">
        <f t="shared" si="45"/>
        <v xml:space="preserve"> </v>
      </c>
      <c r="R97" s="25" t="str">
        <f t="shared" si="46"/>
        <v xml:space="preserve"> </v>
      </c>
      <c r="S97" s="26" t="str">
        <f t="shared" si="47"/>
        <v xml:space="preserve"> </v>
      </c>
      <c r="T97" s="7" t="str">
        <f t="shared" si="48"/>
        <v xml:space="preserve"> </v>
      </c>
      <c r="U97" s="8" t="str">
        <f t="shared" si="49"/>
        <v xml:space="preserve"> </v>
      </c>
      <c r="V97" s="9" t="str">
        <f t="shared" si="43"/>
        <v xml:space="preserve"> </v>
      </c>
      <c r="W97" s="9" t="str">
        <f t="shared" si="50"/>
        <v/>
      </c>
      <c r="X97" s="32"/>
      <c r="Y97" s="36"/>
    </row>
    <row r="98" spans="1:25" s="4" customFormat="1" ht="18" customHeight="1">
      <c r="A98" s="36"/>
      <c r="B98" s="79">
        <v>66.02</v>
      </c>
      <c r="C98" s="69"/>
      <c r="D98" s="31" t="s">
        <v>323</v>
      </c>
      <c r="E98" s="29" t="s">
        <v>34</v>
      </c>
      <c r="F98" s="28">
        <v>0.9</v>
      </c>
      <c r="G98" s="29">
        <v>0.1</v>
      </c>
      <c r="H98" s="29">
        <v>-0.1</v>
      </c>
      <c r="I98" s="30" t="s">
        <v>39</v>
      </c>
      <c r="J98" s="12">
        <f t="shared" si="27"/>
        <v>1</v>
      </c>
      <c r="K98" s="12">
        <f t="shared" si="28"/>
        <v>0.8</v>
      </c>
      <c r="L98" s="78"/>
      <c r="M98" s="78"/>
      <c r="N98" s="78"/>
      <c r="O98" s="36"/>
      <c r="P98" s="24" t="str">
        <f t="shared" si="44"/>
        <v xml:space="preserve"> </v>
      </c>
      <c r="Q98" s="25" t="str">
        <f t="shared" si="45"/>
        <v xml:space="preserve"> </v>
      </c>
      <c r="R98" s="25" t="str">
        <f t="shared" si="46"/>
        <v xml:space="preserve"> </v>
      </c>
      <c r="S98" s="26" t="str">
        <f t="shared" si="47"/>
        <v xml:space="preserve"> </v>
      </c>
      <c r="T98" s="7" t="str">
        <f t="shared" si="48"/>
        <v xml:space="preserve"> </v>
      </c>
      <c r="U98" s="8" t="str">
        <f t="shared" si="49"/>
        <v xml:space="preserve"> </v>
      </c>
      <c r="V98" s="9" t="str">
        <f t="shared" si="43"/>
        <v xml:space="preserve"> </v>
      </c>
      <c r="W98" s="9" t="str">
        <f t="shared" si="50"/>
        <v/>
      </c>
      <c r="X98" s="32"/>
      <c r="Y98" s="36"/>
    </row>
    <row r="99" spans="1:25" s="4" customFormat="1" ht="18" customHeight="1">
      <c r="A99" s="36"/>
      <c r="B99" s="69">
        <v>66.03</v>
      </c>
      <c r="C99" s="69"/>
      <c r="D99" s="31" t="s">
        <v>323</v>
      </c>
      <c r="E99" s="29" t="s">
        <v>34</v>
      </c>
      <c r="F99" s="28">
        <v>0.9</v>
      </c>
      <c r="G99" s="29">
        <v>0.1</v>
      </c>
      <c r="H99" s="29">
        <v>-0.1</v>
      </c>
      <c r="I99" s="30" t="s">
        <v>39</v>
      </c>
      <c r="J99" s="12">
        <f t="shared" si="27"/>
        <v>1</v>
      </c>
      <c r="K99" s="12">
        <f t="shared" si="28"/>
        <v>0.8</v>
      </c>
      <c r="L99" s="78"/>
      <c r="M99" s="78"/>
      <c r="N99" s="78"/>
      <c r="O99" s="36"/>
      <c r="P99" s="24" t="str">
        <f t="shared" si="44"/>
        <v xml:space="preserve"> </v>
      </c>
      <c r="Q99" s="25" t="str">
        <f t="shared" si="45"/>
        <v xml:space="preserve"> </v>
      </c>
      <c r="R99" s="25" t="str">
        <f t="shared" si="46"/>
        <v xml:space="preserve"> </v>
      </c>
      <c r="S99" s="26" t="str">
        <f t="shared" si="47"/>
        <v xml:space="preserve"> </v>
      </c>
      <c r="T99" s="7" t="str">
        <f t="shared" si="48"/>
        <v xml:space="preserve"> </v>
      </c>
      <c r="U99" s="8" t="str">
        <f t="shared" si="49"/>
        <v xml:space="preserve"> </v>
      </c>
      <c r="V99" s="9" t="str">
        <f t="shared" si="43"/>
        <v xml:space="preserve"> </v>
      </c>
      <c r="W99" s="9" t="str">
        <f t="shared" si="50"/>
        <v/>
      </c>
      <c r="X99" s="32"/>
      <c r="Y99" s="36"/>
    </row>
    <row r="100" spans="1:25" s="4" customFormat="1" ht="18" customHeight="1">
      <c r="A100" s="36"/>
      <c r="B100" s="79">
        <v>66.040000000000006</v>
      </c>
      <c r="C100" s="69"/>
      <c r="D100" s="31" t="s">
        <v>323</v>
      </c>
      <c r="E100" s="29" t="s">
        <v>34</v>
      </c>
      <c r="F100" s="28">
        <v>0.9</v>
      </c>
      <c r="G100" s="29">
        <v>0.1</v>
      </c>
      <c r="H100" s="29">
        <v>-0.1</v>
      </c>
      <c r="I100" s="30" t="s">
        <v>39</v>
      </c>
      <c r="J100" s="12">
        <f t="shared" si="27"/>
        <v>1</v>
      </c>
      <c r="K100" s="12">
        <f t="shared" si="28"/>
        <v>0.8</v>
      </c>
      <c r="L100" s="78"/>
      <c r="M100" s="78"/>
      <c r="N100" s="78"/>
      <c r="O100" s="36"/>
      <c r="P100" s="24" t="str">
        <f t="shared" si="44"/>
        <v xml:space="preserve"> </v>
      </c>
      <c r="Q100" s="25" t="str">
        <f t="shared" si="45"/>
        <v xml:space="preserve"> </v>
      </c>
      <c r="R100" s="25" t="str">
        <f t="shared" si="46"/>
        <v xml:space="preserve"> </v>
      </c>
      <c r="S100" s="26" t="str">
        <f t="shared" si="47"/>
        <v xml:space="preserve"> </v>
      </c>
      <c r="T100" s="7" t="str">
        <f t="shared" si="48"/>
        <v xml:space="preserve"> </v>
      </c>
      <c r="U100" s="8" t="str">
        <f t="shared" si="49"/>
        <v xml:space="preserve"> </v>
      </c>
      <c r="V100" s="9" t="str">
        <f t="shared" si="43"/>
        <v xml:space="preserve"> </v>
      </c>
      <c r="W100" s="9" t="str">
        <f t="shared" si="50"/>
        <v/>
      </c>
      <c r="X100" s="32"/>
      <c r="Y100" s="36"/>
    </row>
    <row r="101" spans="1:25" s="4" customFormat="1" ht="18" customHeight="1">
      <c r="A101" s="36"/>
      <c r="B101" s="79">
        <v>67</v>
      </c>
      <c r="C101" s="69" t="s">
        <v>341</v>
      </c>
      <c r="D101" s="31" t="s">
        <v>333</v>
      </c>
      <c r="E101" s="29" t="s">
        <v>34</v>
      </c>
      <c r="F101" s="28">
        <v>12.88</v>
      </c>
      <c r="G101" s="29">
        <v>0.1</v>
      </c>
      <c r="H101" s="29">
        <v>-0.1</v>
      </c>
      <c r="I101" s="30" t="s">
        <v>39</v>
      </c>
      <c r="J101" s="12">
        <f t="shared" si="27"/>
        <v>12.98</v>
      </c>
      <c r="K101" s="12">
        <f t="shared" si="28"/>
        <v>12.780000000000001</v>
      </c>
      <c r="L101" s="78"/>
      <c r="M101" s="78"/>
      <c r="N101" s="78"/>
      <c r="O101" s="36"/>
      <c r="P101" s="24" t="str">
        <f t="shared" si="44"/>
        <v xml:space="preserve"> </v>
      </c>
      <c r="Q101" s="25" t="str">
        <f t="shared" si="45"/>
        <v xml:space="preserve"> </v>
      </c>
      <c r="R101" s="25" t="str">
        <f t="shared" si="46"/>
        <v xml:space="preserve"> </v>
      </c>
      <c r="S101" s="26" t="str">
        <f t="shared" si="47"/>
        <v xml:space="preserve"> </v>
      </c>
      <c r="T101" s="7" t="str">
        <f t="shared" si="48"/>
        <v xml:space="preserve"> </v>
      </c>
      <c r="U101" s="8" t="str">
        <f t="shared" si="49"/>
        <v xml:space="preserve"> </v>
      </c>
      <c r="V101" s="9" t="str">
        <f t="shared" si="43"/>
        <v xml:space="preserve"> </v>
      </c>
      <c r="W101" s="9" t="str">
        <f t="shared" si="50"/>
        <v/>
      </c>
      <c r="X101" s="32"/>
      <c r="Y101" s="36"/>
    </row>
    <row r="102" spans="1:25" s="4" customFormat="1" ht="18" customHeight="1">
      <c r="A102" s="36"/>
      <c r="B102" s="79">
        <v>69</v>
      </c>
      <c r="C102" s="27"/>
      <c r="D102" s="31" t="s">
        <v>709</v>
      </c>
      <c r="E102" s="29" t="s">
        <v>34</v>
      </c>
      <c r="F102" s="28">
        <v>8.17</v>
      </c>
      <c r="G102" s="29">
        <v>0.1</v>
      </c>
      <c r="H102" s="29">
        <v>-0.1</v>
      </c>
      <c r="I102" s="30" t="s">
        <v>39</v>
      </c>
      <c r="J102" s="12">
        <f t="shared" ref="J102:J165" si="51">IF(AND(F102="",G102=""),"",IF(F102="",G102,F102+G102))</f>
        <v>8.27</v>
      </c>
      <c r="K102" s="12">
        <f t="shared" ref="K102:K165" si="52">IF(AND(F102="",H102=""),"",IF(F102="",H102,F102+H102))</f>
        <v>8.07</v>
      </c>
      <c r="L102" s="78"/>
      <c r="M102" s="78"/>
      <c r="N102" s="78"/>
      <c r="O102" s="36"/>
      <c r="P102" s="24" t="str">
        <f t="shared" ref="P102:P108" si="53">IF(ISERR(L102/L102)=TRUE," ",L102-$F102)</f>
        <v xml:space="preserve"> </v>
      </c>
      <c r="Q102" s="25" t="str">
        <f t="shared" ref="Q102:Q108" si="54">IF(ISERR(M102/M102)=TRUE," ",M102-$F102)</f>
        <v xml:space="preserve"> </v>
      </c>
      <c r="R102" s="25" t="str">
        <f t="shared" ref="R102:R108" si="55">IF(ISERR(N102/N102)=TRUE," ",N102-$F102)</f>
        <v xml:space="preserve"> </v>
      </c>
      <c r="S102" s="26" t="str">
        <f t="shared" ref="S102:S108" si="56">IF(ISERR(L102/L102)=TRUE," ",AVERAGE(L102:N102))</f>
        <v xml:space="preserve"> </v>
      </c>
      <c r="T102" s="7" t="str">
        <f t="shared" ref="T102:T108" si="57">IF(ISERR(G102/G102)=TRUE," ",IF(ISERR(L102/L102)=TRUE," ",IF(ISNUMBER($L102)=FALSE," ",IF(MAX($L102:$N102)&lt;$F102,0,(MAX($L102:$N102)-$F102)/$G102))))</f>
        <v xml:space="preserve"> </v>
      </c>
      <c r="U102" s="8" t="str">
        <f t="shared" ref="U102:U108" si="58">IF(ISERR(H102/F102)=TRUE," ",IF(ISERR(H102/H102)=TRUE," ",IF(ISERR(L102/L102)=TRUE," ",IF(ISNUMBER(L102)=FALSE," ",IF(MIN(L102:N102)&gt;$F102,0,($F102-MIN(L102:N102))/-H102)))))</f>
        <v xml:space="preserve"> </v>
      </c>
      <c r="V102" s="9" t="str">
        <f t="shared" si="43"/>
        <v xml:space="preserve"> </v>
      </c>
      <c r="W102" s="9" t="str">
        <f t="shared" ref="W102:W108" si="59">IF(L102="","",IF(ISERR(H102/H102)=TRUE," ",IF(ISERR(H102/F102)=TRUE,IF((H102-MIN(L102:N102))&gt;0.001,"Reject",""),IF(ISNUMBER($U102)=TRUE,IF($U102&gt;0.651,IF($U102&gt;1.001,"Reject","Alert")," ")," "))))</f>
        <v/>
      </c>
      <c r="X102" s="32"/>
      <c r="Y102" s="36"/>
    </row>
    <row r="103" spans="1:25" s="4" customFormat="1" ht="18" customHeight="1">
      <c r="A103" s="36"/>
      <c r="B103" s="79">
        <v>70.010000000000005</v>
      </c>
      <c r="C103" s="27"/>
      <c r="D103" s="31" t="s">
        <v>307</v>
      </c>
      <c r="E103" s="29" t="s">
        <v>34</v>
      </c>
      <c r="F103" s="28">
        <v>4.29</v>
      </c>
      <c r="G103" s="29">
        <v>0.1</v>
      </c>
      <c r="H103" s="29">
        <v>-0.1</v>
      </c>
      <c r="I103" s="30" t="s">
        <v>39</v>
      </c>
      <c r="J103" s="12">
        <f t="shared" si="51"/>
        <v>4.3899999999999997</v>
      </c>
      <c r="K103" s="12">
        <f t="shared" si="52"/>
        <v>4.1900000000000004</v>
      </c>
      <c r="L103" s="78"/>
      <c r="M103" s="78"/>
      <c r="N103" s="78"/>
      <c r="O103" s="36"/>
      <c r="P103" s="24" t="str">
        <f t="shared" si="53"/>
        <v xml:space="preserve"> </v>
      </c>
      <c r="Q103" s="25" t="str">
        <f t="shared" si="54"/>
        <v xml:space="preserve"> </v>
      </c>
      <c r="R103" s="25" t="str">
        <f t="shared" si="55"/>
        <v xml:space="preserve"> </v>
      </c>
      <c r="S103" s="26" t="str">
        <f t="shared" si="56"/>
        <v xml:space="preserve"> </v>
      </c>
      <c r="T103" s="7" t="str">
        <f t="shared" si="57"/>
        <v xml:space="preserve"> </v>
      </c>
      <c r="U103" s="8" t="str">
        <f t="shared" si="58"/>
        <v xml:space="preserve"> </v>
      </c>
      <c r="V103" s="9" t="str">
        <f t="shared" si="43"/>
        <v xml:space="preserve"> </v>
      </c>
      <c r="W103" s="9" t="str">
        <f t="shared" si="59"/>
        <v/>
      </c>
      <c r="X103" s="32"/>
      <c r="Y103" s="36"/>
    </row>
    <row r="104" spans="1:25" s="4" customFormat="1" ht="18" customHeight="1">
      <c r="A104" s="36"/>
      <c r="B104" s="79">
        <v>70.02</v>
      </c>
      <c r="C104" s="27"/>
      <c r="D104" s="31" t="s">
        <v>307</v>
      </c>
      <c r="E104" s="29" t="s">
        <v>34</v>
      </c>
      <c r="F104" s="28">
        <v>4.29</v>
      </c>
      <c r="G104" s="29">
        <v>0.1</v>
      </c>
      <c r="H104" s="29">
        <v>-0.1</v>
      </c>
      <c r="I104" s="30" t="s">
        <v>39</v>
      </c>
      <c r="J104" s="12">
        <f t="shared" si="51"/>
        <v>4.3899999999999997</v>
      </c>
      <c r="K104" s="12">
        <f t="shared" si="52"/>
        <v>4.1900000000000004</v>
      </c>
      <c r="L104" s="78"/>
      <c r="M104" s="78"/>
      <c r="N104" s="78"/>
      <c r="O104" s="36"/>
      <c r="P104" s="24" t="str">
        <f t="shared" si="53"/>
        <v xml:space="preserve"> </v>
      </c>
      <c r="Q104" s="25" t="str">
        <f t="shared" si="54"/>
        <v xml:space="preserve"> </v>
      </c>
      <c r="R104" s="25" t="str">
        <f t="shared" si="55"/>
        <v xml:space="preserve"> </v>
      </c>
      <c r="S104" s="26" t="str">
        <f t="shared" si="56"/>
        <v xml:space="preserve"> </v>
      </c>
      <c r="T104" s="7" t="str">
        <f t="shared" si="57"/>
        <v xml:space="preserve"> </v>
      </c>
      <c r="U104" s="8" t="str">
        <f t="shared" si="58"/>
        <v xml:space="preserve"> </v>
      </c>
      <c r="V104" s="9" t="str">
        <f t="shared" si="43"/>
        <v xml:space="preserve"> </v>
      </c>
      <c r="W104" s="9" t="str">
        <f t="shared" si="59"/>
        <v/>
      </c>
      <c r="X104" s="32"/>
      <c r="Y104" s="36"/>
    </row>
    <row r="105" spans="1:25" s="4" customFormat="1" ht="18" customHeight="1">
      <c r="A105" s="36"/>
      <c r="B105" s="69">
        <v>78.010000000000005</v>
      </c>
      <c r="C105" s="69" t="s">
        <v>343</v>
      </c>
      <c r="D105" s="31" t="s">
        <v>342</v>
      </c>
      <c r="E105" s="29" t="s">
        <v>34</v>
      </c>
      <c r="F105" s="28">
        <v>7.1</v>
      </c>
      <c r="G105" s="29">
        <v>0.05</v>
      </c>
      <c r="H105" s="29">
        <v>-0.05</v>
      </c>
      <c r="I105" s="30" t="s">
        <v>39</v>
      </c>
      <c r="J105" s="12">
        <f t="shared" si="51"/>
        <v>7.1499999999999995</v>
      </c>
      <c r="K105" s="12">
        <f t="shared" si="52"/>
        <v>7.05</v>
      </c>
      <c r="L105" s="78"/>
      <c r="M105" s="78"/>
      <c r="N105" s="78"/>
      <c r="O105" s="36"/>
      <c r="P105" s="24" t="str">
        <f t="shared" si="53"/>
        <v xml:space="preserve"> </v>
      </c>
      <c r="Q105" s="25" t="str">
        <f t="shared" si="54"/>
        <v xml:space="preserve"> </v>
      </c>
      <c r="R105" s="25" t="str">
        <f t="shared" si="55"/>
        <v xml:space="preserve"> </v>
      </c>
      <c r="S105" s="26" t="str">
        <f t="shared" si="56"/>
        <v xml:space="preserve"> </v>
      </c>
      <c r="T105" s="7" t="str">
        <f t="shared" si="57"/>
        <v xml:space="preserve"> </v>
      </c>
      <c r="U105" s="8" t="str">
        <f t="shared" si="58"/>
        <v xml:space="preserve"> </v>
      </c>
      <c r="V105" s="9" t="str">
        <f t="shared" si="43"/>
        <v xml:space="preserve"> </v>
      </c>
      <c r="W105" s="9" t="str">
        <f t="shared" si="59"/>
        <v/>
      </c>
      <c r="X105" s="32"/>
      <c r="Y105" s="36"/>
    </row>
    <row r="106" spans="1:25" s="4" customFormat="1" ht="18" customHeight="1">
      <c r="A106" s="36"/>
      <c r="B106" s="69">
        <v>78.02</v>
      </c>
      <c r="C106" s="69" t="s">
        <v>344</v>
      </c>
      <c r="D106" s="31" t="s">
        <v>342</v>
      </c>
      <c r="E106" s="29" t="s">
        <v>34</v>
      </c>
      <c r="F106" s="28">
        <v>7.1</v>
      </c>
      <c r="G106" s="29">
        <v>0.05</v>
      </c>
      <c r="H106" s="29">
        <v>-0.05</v>
      </c>
      <c r="I106" s="30" t="s">
        <v>39</v>
      </c>
      <c r="J106" s="12">
        <f t="shared" si="51"/>
        <v>7.1499999999999995</v>
      </c>
      <c r="K106" s="12">
        <f t="shared" si="52"/>
        <v>7.05</v>
      </c>
      <c r="L106" s="78"/>
      <c r="M106" s="78"/>
      <c r="N106" s="78"/>
      <c r="O106" s="36"/>
      <c r="P106" s="24" t="str">
        <f t="shared" si="53"/>
        <v xml:space="preserve"> </v>
      </c>
      <c r="Q106" s="25" t="str">
        <f t="shared" si="54"/>
        <v xml:space="preserve"> </v>
      </c>
      <c r="R106" s="25" t="str">
        <f t="shared" si="55"/>
        <v xml:space="preserve"> </v>
      </c>
      <c r="S106" s="26" t="str">
        <f t="shared" si="56"/>
        <v xml:space="preserve"> </v>
      </c>
      <c r="T106" s="7" t="str">
        <f t="shared" si="57"/>
        <v xml:space="preserve"> </v>
      </c>
      <c r="U106" s="8" t="str">
        <f t="shared" si="58"/>
        <v xml:space="preserve"> </v>
      </c>
      <c r="V106" s="9" t="str">
        <f t="shared" si="43"/>
        <v xml:space="preserve"> </v>
      </c>
      <c r="W106" s="9" t="str">
        <f t="shared" si="59"/>
        <v/>
      </c>
      <c r="X106" s="32"/>
      <c r="Y106" s="36"/>
    </row>
    <row r="107" spans="1:25" s="4" customFormat="1" ht="18" customHeight="1">
      <c r="A107" s="36"/>
      <c r="B107" s="69">
        <v>79.010000000000005</v>
      </c>
      <c r="C107" s="69" t="s">
        <v>345</v>
      </c>
      <c r="D107" s="31" t="s">
        <v>342</v>
      </c>
      <c r="E107" s="29" t="s">
        <v>34</v>
      </c>
      <c r="F107" s="28">
        <v>7.1</v>
      </c>
      <c r="G107" s="29">
        <v>0.05</v>
      </c>
      <c r="H107" s="29">
        <v>-0.05</v>
      </c>
      <c r="I107" s="30" t="s">
        <v>39</v>
      </c>
      <c r="J107" s="12">
        <f t="shared" si="51"/>
        <v>7.1499999999999995</v>
      </c>
      <c r="K107" s="12">
        <f t="shared" si="52"/>
        <v>7.05</v>
      </c>
      <c r="L107" s="78"/>
      <c r="M107" s="78"/>
      <c r="N107" s="78"/>
      <c r="O107" s="36"/>
      <c r="P107" s="24" t="str">
        <f t="shared" si="53"/>
        <v xml:space="preserve"> </v>
      </c>
      <c r="Q107" s="25" t="str">
        <f t="shared" si="54"/>
        <v xml:space="preserve"> </v>
      </c>
      <c r="R107" s="25" t="str">
        <f t="shared" si="55"/>
        <v xml:space="preserve"> </v>
      </c>
      <c r="S107" s="26" t="str">
        <f t="shared" si="56"/>
        <v xml:space="preserve"> </v>
      </c>
      <c r="T107" s="7" t="str">
        <f t="shared" si="57"/>
        <v xml:space="preserve"> </v>
      </c>
      <c r="U107" s="8" t="str">
        <f t="shared" si="58"/>
        <v xml:space="preserve"> </v>
      </c>
      <c r="V107" s="9" t="str">
        <f t="shared" si="43"/>
        <v xml:space="preserve"> </v>
      </c>
      <c r="W107" s="9" t="str">
        <f t="shared" si="59"/>
        <v/>
      </c>
      <c r="X107" s="32"/>
      <c r="Y107" s="36"/>
    </row>
    <row r="108" spans="1:25" s="4" customFormat="1" ht="18" customHeight="1">
      <c r="A108" s="36"/>
      <c r="B108" s="69">
        <v>79.02</v>
      </c>
      <c r="C108" s="69" t="s">
        <v>346</v>
      </c>
      <c r="D108" s="31" t="s">
        <v>342</v>
      </c>
      <c r="E108" s="29" t="s">
        <v>34</v>
      </c>
      <c r="F108" s="28">
        <v>7.1</v>
      </c>
      <c r="G108" s="29">
        <v>0.05</v>
      </c>
      <c r="H108" s="29">
        <v>-0.05</v>
      </c>
      <c r="I108" s="30" t="s">
        <v>39</v>
      </c>
      <c r="J108" s="12">
        <f t="shared" si="51"/>
        <v>7.1499999999999995</v>
      </c>
      <c r="K108" s="12">
        <f t="shared" si="52"/>
        <v>7.05</v>
      </c>
      <c r="L108" s="78"/>
      <c r="M108" s="78"/>
      <c r="N108" s="78"/>
      <c r="O108" s="36"/>
      <c r="P108" s="24" t="str">
        <f t="shared" si="53"/>
        <v xml:space="preserve"> </v>
      </c>
      <c r="Q108" s="25" t="str">
        <f t="shared" si="54"/>
        <v xml:space="preserve"> </v>
      </c>
      <c r="R108" s="25" t="str">
        <f t="shared" si="55"/>
        <v xml:space="preserve"> </v>
      </c>
      <c r="S108" s="26" t="str">
        <f t="shared" si="56"/>
        <v xml:space="preserve"> </v>
      </c>
      <c r="T108" s="7" t="str">
        <f t="shared" si="57"/>
        <v xml:space="preserve"> </v>
      </c>
      <c r="U108" s="8" t="str">
        <f t="shared" si="58"/>
        <v xml:space="preserve"> </v>
      </c>
      <c r="V108" s="9" t="str">
        <f t="shared" si="43"/>
        <v xml:space="preserve"> </v>
      </c>
      <c r="W108" s="9" t="str">
        <f t="shared" si="59"/>
        <v/>
      </c>
      <c r="X108" s="32"/>
      <c r="Y108" s="36"/>
    </row>
    <row r="109" spans="1:25" s="4" customFormat="1" ht="18" customHeight="1">
      <c r="A109" s="36"/>
      <c r="B109" s="69">
        <v>85</v>
      </c>
      <c r="C109" s="69" t="s">
        <v>404</v>
      </c>
      <c r="D109" s="31" t="s">
        <v>406</v>
      </c>
      <c r="E109" s="29" t="s">
        <v>36</v>
      </c>
      <c r="F109" s="28"/>
      <c r="G109" s="29">
        <v>0.03</v>
      </c>
      <c r="H109" s="29"/>
      <c r="I109" s="30" t="s">
        <v>39</v>
      </c>
      <c r="J109" s="12">
        <f t="shared" si="51"/>
        <v>0.03</v>
      </c>
      <c r="K109" s="12" t="str">
        <f t="shared" si="52"/>
        <v/>
      </c>
      <c r="L109" s="78"/>
      <c r="M109" s="78"/>
      <c r="N109" s="78"/>
      <c r="O109" s="36"/>
      <c r="P109" s="24" t="str">
        <f t="shared" ref="P109:P450" si="60">IF(ISERR(L109/L109)=TRUE," ",L109-$F109)</f>
        <v xml:space="preserve"> </v>
      </c>
      <c r="Q109" s="25" t="str">
        <f t="shared" ref="Q109:Q450" si="61">IF(ISERR(M109/M109)=TRUE," ",M109-$F109)</f>
        <v xml:space="preserve"> </v>
      </c>
      <c r="R109" s="25" t="str">
        <f t="shared" ref="R109:R450" si="62">IF(ISERR(N109/N109)=TRUE," ",N109-$F109)</f>
        <v xml:space="preserve"> </v>
      </c>
      <c r="S109" s="26" t="str">
        <f t="shared" ref="S109:S450" si="63">IF(ISERR(L109/L109)=TRUE," ",AVERAGE(L109:N109))</f>
        <v xml:space="preserve"> </v>
      </c>
      <c r="T109" s="7" t="str">
        <f t="shared" ref="T109:T450" si="64">IF(ISERR(G109/G109)=TRUE," ",IF(ISERR(L109/L109)=TRUE," ",IF(ISNUMBER($L109)=FALSE," ",IF(MAX($L109:$N109)&lt;$F109,0,(MAX($L109:$N109)-$F109)/$G109))))</f>
        <v xml:space="preserve"> </v>
      </c>
      <c r="U109" s="8" t="str">
        <f t="shared" ref="U109:U450" si="65">IF(ISERR(H109/F109)=TRUE," ",IF(ISERR(H109/H109)=TRUE," ",IF(ISERR(L109/L109)=TRUE," ",IF(ISNUMBER(L109)=FALSE," ",IF(MIN(L109:N109)&gt;$F109,0,($F109-MIN(L109:N109))/-H109)))))</f>
        <v xml:space="preserve"> </v>
      </c>
      <c r="V109" s="9" t="str">
        <f t="shared" ref="V109:V422" si="66">IF(ISNUMBER($T109)=TRUE,IF($T109&gt;0.651,IF($T109&gt;1.001,"Reject","Alert")," ")," ")</f>
        <v xml:space="preserve"> </v>
      </c>
      <c r="W109" s="9" t="str">
        <f t="shared" ref="W109:W450" si="67">IF(L109="","",IF(ISERR(H109/H109)=TRUE," ",IF(ISERR(H109/F109)=TRUE,IF((H109-MIN(L109:N109))&gt;0.001,"Reject",""),IF(ISNUMBER($U109)=TRUE,IF($U109&gt;0.651,IF($U109&gt;1.001,"Reject","Alert")," ")," "))))</f>
        <v/>
      </c>
      <c r="X109" s="32"/>
      <c r="Y109" s="36"/>
    </row>
    <row r="110" spans="1:25" s="4" customFormat="1" ht="18" customHeight="1">
      <c r="A110" s="36"/>
      <c r="B110" s="69">
        <v>87.01</v>
      </c>
      <c r="C110" s="69" t="s">
        <v>334</v>
      </c>
      <c r="D110" s="31" t="s">
        <v>778</v>
      </c>
      <c r="E110" s="29" t="s">
        <v>34</v>
      </c>
      <c r="F110" s="28">
        <v>0.49</v>
      </c>
      <c r="G110" s="29">
        <v>0.03</v>
      </c>
      <c r="H110" s="29">
        <v>-0.03</v>
      </c>
      <c r="I110" s="30" t="s">
        <v>39</v>
      </c>
      <c r="J110" s="12">
        <f t="shared" si="51"/>
        <v>0.52</v>
      </c>
      <c r="K110" s="12">
        <f t="shared" si="52"/>
        <v>0.45999999999999996</v>
      </c>
      <c r="L110" s="78"/>
      <c r="M110" s="78"/>
      <c r="N110" s="78"/>
      <c r="O110" s="36"/>
      <c r="P110" s="24" t="str">
        <f t="shared" si="60"/>
        <v xml:space="preserve"> </v>
      </c>
      <c r="Q110" s="25" t="str">
        <f t="shared" si="61"/>
        <v xml:space="preserve"> </v>
      </c>
      <c r="R110" s="25" t="str">
        <f t="shared" si="62"/>
        <v xml:space="preserve"> </v>
      </c>
      <c r="S110" s="26" t="str">
        <f t="shared" si="63"/>
        <v xml:space="preserve"> </v>
      </c>
      <c r="T110" s="7" t="str">
        <f t="shared" si="64"/>
        <v xml:space="preserve"> </v>
      </c>
      <c r="U110" s="8" t="str">
        <f t="shared" si="65"/>
        <v xml:space="preserve"> </v>
      </c>
      <c r="V110" s="9" t="str">
        <f t="shared" ref="V110:V115" si="68">IF(ISNUMBER($T110)=TRUE,IF($T110&gt;0.651,IF($T110&gt;1.001,"Reject","Alert")," ")," ")</f>
        <v xml:space="preserve"> </v>
      </c>
      <c r="W110" s="9" t="str">
        <f t="shared" si="67"/>
        <v/>
      </c>
      <c r="X110" s="32"/>
      <c r="Y110" s="36"/>
    </row>
    <row r="111" spans="1:25" s="4" customFormat="1" ht="18" customHeight="1">
      <c r="A111" s="36"/>
      <c r="B111" s="69">
        <v>87.02</v>
      </c>
      <c r="C111" s="69" t="s">
        <v>335</v>
      </c>
      <c r="D111" s="31" t="s">
        <v>778</v>
      </c>
      <c r="E111" s="29" t="s">
        <v>34</v>
      </c>
      <c r="F111" s="28">
        <v>0.49</v>
      </c>
      <c r="G111" s="29">
        <v>0.1</v>
      </c>
      <c r="H111" s="29">
        <v>-0.1</v>
      </c>
      <c r="I111" s="30" t="s">
        <v>39</v>
      </c>
      <c r="J111" s="12">
        <f t="shared" si="51"/>
        <v>0.59</v>
      </c>
      <c r="K111" s="12">
        <f t="shared" si="52"/>
        <v>0.39</v>
      </c>
      <c r="L111" s="78"/>
      <c r="M111" s="78"/>
      <c r="N111" s="78"/>
      <c r="O111" s="36"/>
      <c r="P111" s="24" t="str">
        <f t="shared" si="60"/>
        <v xml:space="preserve"> </v>
      </c>
      <c r="Q111" s="25" t="str">
        <f t="shared" si="61"/>
        <v xml:space="preserve"> </v>
      </c>
      <c r="R111" s="25" t="str">
        <f t="shared" si="62"/>
        <v xml:space="preserve"> </v>
      </c>
      <c r="S111" s="26" t="str">
        <f t="shared" si="63"/>
        <v xml:space="preserve"> </v>
      </c>
      <c r="T111" s="7" t="str">
        <f t="shared" si="64"/>
        <v xml:space="preserve"> </v>
      </c>
      <c r="U111" s="8" t="str">
        <f t="shared" si="65"/>
        <v xml:space="preserve"> </v>
      </c>
      <c r="V111" s="9" t="str">
        <f t="shared" si="68"/>
        <v xml:space="preserve"> </v>
      </c>
      <c r="W111" s="9" t="str">
        <f t="shared" si="67"/>
        <v/>
      </c>
      <c r="X111" s="32"/>
      <c r="Y111" s="36"/>
    </row>
    <row r="112" spans="1:25" s="4" customFormat="1" ht="18" customHeight="1">
      <c r="A112" s="36"/>
      <c r="B112" s="69">
        <v>88.01</v>
      </c>
      <c r="C112" s="69" t="s">
        <v>408</v>
      </c>
      <c r="D112" s="31" t="s">
        <v>778</v>
      </c>
      <c r="E112" s="29" t="s">
        <v>34</v>
      </c>
      <c r="F112" s="28">
        <v>0.49</v>
      </c>
      <c r="G112" s="29">
        <v>0.1</v>
      </c>
      <c r="H112" s="29">
        <v>-0.1</v>
      </c>
      <c r="I112" s="30" t="s">
        <v>39</v>
      </c>
      <c r="J112" s="12">
        <f t="shared" si="51"/>
        <v>0.59</v>
      </c>
      <c r="K112" s="12">
        <f t="shared" si="52"/>
        <v>0.39</v>
      </c>
      <c r="L112" s="78"/>
      <c r="M112" s="78"/>
      <c r="N112" s="78"/>
      <c r="O112" s="36"/>
      <c r="P112" s="24" t="str">
        <f t="shared" si="60"/>
        <v xml:space="preserve"> </v>
      </c>
      <c r="Q112" s="25" t="str">
        <f t="shared" si="61"/>
        <v xml:space="preserve"> </v>
      </c>
      <c r="R112" s="25" t="str">
        <f t="shared" si="62"/>
        <v xml:space="preserve"> </v>
      </c>
      <c r="S112" s="26" t="str">
        <f t="shared" si="63"/>
        <v xml:space="preserve"> </v>
      </c>
      <c r="T112" s="7" t="str">
        <f t="shared" si="64"/>
        <v xml:space="preserve"> </v>
      </c>
      <c r="U112" s="8" t="str">
        <f t="shared" si="65"/>
        <v xml:space="preserve"> </v>
      </c>
      <c r="V112" s="9" t="str">
        <f t="shared" si="68"/>
        <v xml:space="preserve"> </v>
      </c>
      <c r="W112" s="9" t="str">
        <f t="shared" si="67"/>
        <v/>
      </c>
      <c r="X112" s="32"/>
      <c r="Y112" s="36"/>
    </row>
    <row r="113" spans="1:25" s="4" customFormat="1" ht="18" customHeight="1">
      <c r="A113" s="36"/>
      <c r="B113" s="69">
        <v>88.02</v>
      </c>
      <c r="C113" s="69" t="s">
        <v>409</v>
      </c>
      <c r="D113" s="31" t="s">
        <v>778</v>
      </c>
      <c r="E113" s="29" t="s">
        <v>34</v>
      </c>
      <c r="F113" s="28">
        <v>0.49</v>
      </c>
      <c r="G113" s="29">
        <v>0.1</v>
      </c>
      <c r="H113" s="29">
        <v>-0.1</v>
      </c>
      <c r="I113" s="30" t="s">
        <v>39</v>
      </c>
      <c r="J113" s="12">
        <f t="shared" si="51"/>
        <v>0.59</v>
      </c>
      <c r="K113" s="12">
        <f t="shared" si="52"/>
        <v>0.39</v>
      </c>
      <c r="L113" s="78"/>
      <c r="M113" s="78"/>
      <c r="N113" s="78"/>
      <c r="O113" s="36"/>
      <c r="P113" s="24" t="str">
        <f t="shared" si="60"/>
        <v xml:space="preserve"> </v>
      </c>
      <c r="Q113" s="25" t="str">
        <f t="shared" si="61"/>
        <v xml:space="preserve"> </v>
      </c>
      <c r="R113" s="25" t="str">
        <f t="shared" si="62"/>
        <v xml:space="preserve"> </v>
      </c>
      <c r="S113" s="26" t="str">
        <f t="shared" si="63"/>
        <v xml:space="preserve"> </v>
      </c>
      <c r="T113" s="7" t="str">
        <f t="shared" si="64"/>
        <v xml:space="preserve"> </v>
      </c>
      <c r="U113" s="8" t="str">
        <f t="shared" si="65"/>
        <v xml:space="preserve"> </v>
      </c>
      <c r="V113" s="9" t="str">
        <f t="shared" si="68"/>
        <v xml:space="preserve"> </v>
      </c>
      <c r="W113" s="9" t="str">
        <f t="shared" si="67"/>
        <v/>
      </c>
      <c r="X113" s="32"/>
      <c r="Y113" s="36"/>
    </row>
    <row r="114" spans="1:25" s="4" customFormat="1" ht="18" customHeight="1">
      <c r="A114" s="36"/>
      <c r="B114" s="69">
        <v>89.01</v>
      </c>
      <c r="C114" s="69" t="s">
        <v>410</v>
      </c>
      <c r="D114" s="31" t="s">
        <v>778</v>
      </c>
      <c r="E114" s="29" t="s">
        <v>34</v>
      </c>
      <c r="F114" s="28">
        <v>0.49</v>
      </c>
      <c r="G114" s="29">
        <v>0.1</v>
      </c>
      <c r="H114" s="29">
        <v>-0.1</v>
      </c>
      <c r="I114" s="30" t="s">
        <v>39</v>
      </c>
      <c r="J114" s="12">
        <f t="shared" si="51"/>
        <v>0.59</v>
      </c>
      <c r="K114" s="12">
        <f t="shared" si="52"/>
        <v>0.39</v>
      </c>
      <c r="L114" s="78"/>
      <c r="M114" s="78"/>
      <c r="N114" s="78"/>
      <c r="O114" s="36"/>
      <c r="P114" s="24" t="str">
        <f t="shared" si="60"/>
        <v xml:space="preserve"> </v>
      </c>
      <c r="Q114" s="25" t="str">
        <f t="shared" si="61"/>
        <v xml:space="preserve"> </v>
      </c>
      <c r="R114" s="25" t="str">
        <f t="shared" si="62"/>
        <v xml:space="preserve"> </v>
      </c>
      <c r="S114" s="26" t="str">
        <f t="shared" si="63"/>
        <v xml:space="preserve"> </v>
      </c>
      <c r="T114" s="7" t="str">
        <f t="shared" si="64"/>
        <v xml:space="preserve"> </v>
      </c>
      <c r="U114" s="8" t="str">
        <f t="shared" si="65"/>
        <v xml:space="preserve"> </v>
      </c>
      <c r="V114" s="9" t="str">
        <f t="shared" si="68"/>
        <v xml:space="preserve"> </v>
      </c>
      <c r="W114" s="9" t="str">
        <f t="shared" si="67"/>
        <v/>
      </c>
      <c r="X114" s="32"/>
      <c r="Y114" s="36"/>
    </row>
    <row r="115" spans="1:25" s="4" customFormat="1" ht="18" customHeight="1">
      <c r="A115" s="36"/>
      <c r="B115" s="69">
        <v>89.02</v>
      </c>
      <c r="C115" s="69" t="s">
        <v>411</v>
      </c>
      <c r="D115" s="31" t="s">
        <v>778</v>
      </c>
      <c r="E115" s="29" t="s">
        <v>34</v>
      </c>
      <c r="F115" s="28">
        <v>0.49</v>
      </c>
      <c r="G115" s="29">
        <v>0.08</v>
      </c>
      <c r="H115" s="29"/>
      <c r="I115" s="30" t="s">
        <v>39</v>
      </c>
      <c r="J115" s="12">
        <f t="shared" si="51"/>
        <v>0.56999999999999995</v>
      </c>
      <c r="K115" s="12">
        <f t="shared" si="52"/>
        <v>0.49</v>
      </c>
      <c r="L115" s="78"/>
      <c r="M115" s="78"/>
      <c r="N115" s="78"/>
      <c r="O115" s="36"/>
      <c r="P115" s="24" t="str">
        <f t="shared" si="60"/>
        <v xml:space="preserve"> </v>
      </c>
      <c r="Q115" s="25" t="str">
        <f t="shared" si="61"/>
        <v xml:space="preserve"> </v>
      </c>
      <c r="R115" s="25" t="str">
        <f t="shared" si="62"/>
        <v xml:space="preserve"> </v>
      </c>
      <c r="S115" s="26" t="str">
        <f t="shared" si="63"/>
        <v xml:space="preserve"> </v>
      </c>
      <c r="T115" s="7" t="str">
        <f t="shared" si="64"/>
        <v xml:space="preserve"> </v>
      </c>
      <c r="U115" s="8" t="str">
        <f t="shared" si="65"/>
        <v xml:space="preserve"> </v>
      </c>
      <c r="V115" s="9" t="str">
        <f t="shared" si="68"/>
        <v xml:space="preserve"> </v>
      </c>
      <c r="W115" s="9" t="str">
        <f t="shared" si="67"/>
        <v/>
      </c>
      <c r="X115" s="32"/>
      <c r="Y115" s="36"/>
    </row>
    <row r="116" spans="1:25" s="4" customFormat="1" ht="18" customHeight="1">
      <c r="A116" s="36"/>
      <c r="B116" s="69">
        <v>90.01</v>
      </c>
      <c r="C116" s="69" t="s">
        <v>710</v>
      </c>
      <c r="D116" s="31" t="s">
        <v>776</v>
      </c>
      <c r="E116" s="29" t="s">
        <v>34</v>
      </c>
      <c r="F116" s="28">
        <v>0.49</v>
      </c>
      <c r="G116" s="29">
        <v>0.04</v>
      </c>
      <c r="H116" s="29">
        <v>-0.04</v>
      </c>
      <c r="I116" s="30" t="s">
        <v>39</v>
      </c>
      <c r="J116" s="12">
        <f t="shared" si="51"/>
        <v>0.53</v>
      </c>
      <c r="K116" s="12">
        <f t="shared" si="52"/>
        <v>0.45</v>
      </c>
      <c r="L116" s="78"/>
      <c r="M116" s="78"/>
      <c r="N116" s="78"/>
      <c r="O116" s="36"/>
      <c r="P116" s="24" t="str">
        <f t="shared" si="60"/>
        <v xml:space="preserve"> </v>
      </c>
      <c r="Q116" s="25" t="str">
        <f t="shared" si="61"/>
        <v xml:space="preserve"> </v>
      </c>
      <c r="R116" s="25" t="str">
        <f t="shared" si="62"/>
        <v xml:space="preserve"> </v>
      </c>
      <c r="S116" s="26" t="str">
        <f t="shared" si="63"/>
        <v xml:space="preserve"> </v>
      </c>
      <c r="T116" s="7" t="str">
        <f t="shared" si="64"/>
        <v xml:space="preserve"> </v>
      </c>
      <c r="U116" s="8" t="str">
        <f t="shared" si="65"/>
        <v xml:space="preserve"> </v>
      </c>
      <c r="V116" s="9" t="str">
        <f t="shared" si="66"/>
        <v xml:space="preserve"> </v>
      </c>
      <c r="W116" s="9" t="str">
        <f t="shared" si="67"/>
        <v/>
      </c>
      <c r="X116" s="32"/>
      <c r="Y116" s="36"/>
    </row>
    <row r="117" spans="1:25" s="4" customFormat="1" ht="18" customHeight="1">
      <c r="A117" s="36"/>
      <c r="B117" s="69">
        <v>90.02</v>
      </c>
      <c r="C117" s="69" t="s">
        <v>711</v>
      </c>
      <c r="D117" s="31" t="s">
        <v>776</v>
      </c>
      <c r="E117" s="29" t="s">
        <v>34</v>
      </c>
      <c r="F117" s="28">
        <v>0.49</v>
      </c>
      <c r="G117" s="29">
        <v>0.04</v>
      </c>
      <c r="H117" s="29">
        <v>-0.04</v>
      </c>
      <c r="I117" s="30" t="s">
        <v>39</v>
      </c>
      <c r="J117" s="12">
        <f t="shared" si="51"/>
        <v>0.53</v>
      </c>
      <c r="K117" s="12">
        <f t="shared" si="52"/>
        <v>0.45</v>
      </c>
      <c r="L117" s="78"/>
      <c r="M117" s="78"/>
      <c r="N117" s="78"/>
      <c r="O117" s="36"/>
      <c r="P117" s="24" t="str">
        <f t="shared" si="60"/>
        <v xml:space="preserve"> </v>
      </c>
      <c r="Q117" s="25" t="str">
        <f t="shared" si="61"/>
        <v xml:space="preserve"> </v>
      </c>
      <c r="R117" s="25" t="str">
        <f t="shared" si="62"/>
        <v xml:space="preserve"> </v>
      </c>
      <c r="S117" s="26" t="str">
        <f t="shared" si="63"/>
        <v xml:space="preserve"> </v>
      </c>
      <c r="T117" s="7" t="str">
        <f t="shared" si="64"/>
        <v xml:space="preserve"> </v>
      </c>
      <c r="U117" s="8" t="str">
        <f t="shared" si="65"/>
        <v xml:space="preserve"> </v>
      </c>
      <c r="V117" s="9" t="str">
        <f t="shared" si="66"/>
        <v xml:space="preserve"> </v>
      </c>
      <c r="W117" s="9" t="str">
        <f t="shared" si="67"/>
        <v/>
      </c>
      <c r="X117" s="32"/>
      <c r="Y117" s="36"/>
    </row>
    <row r="118" spans="1:25" s="4" customFormat="1" ht="18" customHeight="1">
      <c r="A118" s="36"/>
      <c r="B118" s="69">
        <v>91.01</v>
      </c>
      <c r="C118" s="69" t="s">
        <v>412</v>
      </c>
      <c r="D118" s="31" t="s">
        <v>777</v>
      </c>
      <c r="E118" s="29" t="s">
        <v>34</v>
      </c>
      <c r="F118" s="28">
        <v>0.49</v>
      </c>
      <c r="G118" s="29">
        <v>0.04</v>
      </c>
      <c r="H118" s="29">
        <v>-0.04</v>
      </c>
      <c r="I118" s="30" t="s">
        <v>39</v>
      </c>
      <c r="J118" s="12">
        <f t="shared" si="51"/>
        <v>0.53</v>
      </c>
      <c r="K118" s="12">
        <f t="shared" si="52"/>
        <v>0.45</v>
      </c>
      <c r="L118" s="78"/>
      <c r="M118" s="78"/>
      <c r="N118" s="78"/>
      <c r="O118" s="36"/>
      <c r="P118" s="24" t="str">
        <f t="shared" ref="P118:P372" si="69">IF(ISERR(L118/L118)=TRUE," ",L118-$F118)</f>
        <v xml:space="preserve"> </v>
      </c>
      <c r="Q118" s="25" t="str">
        <f t="shared" ref="Q118:Q372" si="70">IF(ISERR(M118/M118)=TRUE," ",M118-$F118)</f>
        <v xml:space="preserve"> </v>
      </c>
      <c r="R118" s="25" t="str">
        <f t="shared" ref="R118:R372" si="71">IF(ISERR(N118/N118)=TRUE," ",N118-$F118)</f>
        <v xml:space="preserve"> </v>
      </c>
      <c r="S118" s="26" t="str">
        <f t="shared" ref="S118:S372" si="72">IF(ISERR(L118/L118)=TRUE," ",AVERAGE(L118:N118))</f>
        <v xml:space="preserve"> </v>
      </c>
      <c r="T118" s="7" t="str">
        <f t="shared" ref="T118:T372" si="73">IF(ISERR(G118/G118)=TRUE," ",IF(ISERR(L118/L118)=TRUE," ",IF(ISNUMBER($L118)=FALSE," ",IF(MAX($L118:$N118)&lt;$F118,0,(MAX($L118:$N118)-$F118)/$G118))))</f>
        <v xml:space="preserve"> </v>
      </c>
      <c r="U118" s="8" t="str">
        <f t="shared" ref="U118:U372" si="74">IF(ISERR(H118/F118)=TRUE," ",IF(ISERR(H118/H118)=TRUE," ",IF(ISERR(L118/L118)=TRUE," ",IF(ISNUMBER(L118)=FALSE," ",IF(MIN(L118:N118)&gt;$F118,0,($F118-MIN(L118:N118))/-H118)))))</f>
        <v xml:space="preserve"> </v>
      </c>
      <c r="V118" s="9" t="str">
        <f t="shared" si="66"/>
        <v xml:space="preserve"> </v>
      </c>
      <c r="W118" s="9" t="str">
        <f t="shared" ref="W118:W372" si="75">IF(L118="","",IF(ISERR(H118/H118)=TRUE," ",IF(ISERR(H118/F118)=TRUE,IF((H118-MIN(L118:N118))&gt;0.001,"Reject",""),IF(ISNUMBER($U118)=TRUE,IF($U118&gt;0.651,IF($U118&gt;1.001,"Reject","Alert")," ")," "))))</f>
        <v/>
      </c>
      <c r="X118" s="32"/>
      <c r="Y118" s="36"/>
    </row>
    <row r="119" spans="1:25" s="4" customFormat="1" ht="18" customHeight="1">
      <c r="A119" s="36"/>
      <c r="B119" s="69">
        <v>91.02</v>
      </c>
      <c r="C119" s="69" t="s">
        <v>413</v>
      </c>
      <c r="D119" s="31" t="s">
        <v>777</v>
      </c>
      <c r="E119" s="29" t="s">
        <v>34</v>
      </c>
      <c r="F119" s="28">
        <v>0.49</v>
      </c>
      <c r="G119" s="29">
        <v>0.04</v>
      </c>
      <c r="H119" s="29">
        <v>-0.04</v>
      </c>
      <c r="I119" s="30" t="s">
        <v>39</v>
      </c>
      <c r="J119" s="12">
        <f t="shared" si="51"/>
        <v>0.53</v>
      </c>
      <c r="K119" s="12">
        <f t="shared" si="52"/>
        <v>0.45</v>
      </c>
      <c r="L119" s="78"/>
      <c r="M119" s="78"/>
      <c r="N119" s="78"/>
      <c r="O119" s="36"/>
      <c r="P119" s="24" t="str">
        <f t="shared" si="69"/>
        <v xml:space="preserve"> </v>
      </c>
      <c r="Q119" s="25" t="str">
        <f t="shared" si="70"/>
        <v xml:space="preserve"> </v>
      </c>
      <c r="R119" s="25" t="str">
        <f t="shared" si="71"/>
        <v xml:space="preserve"> </v>
      </c>
      <c r="S119" s="26" t="str">
        <f t="shared" si="72"/>
        <v xml:space="preserve"> </v>
      </c>
      <c r="T119" s="7" t="str">
        <f t="shared" si="73"/>
        <v xml:space="preserve"> </v>
      </c>
      <c r="U119" s="8" t="str">
        <f t="shared" si="74"/>
        <v xml:space="preserve"> </v>
      </c>
      <c r="V119" s="9" t="str">
        <f t="shared" si="66"/>
        <v xml:space="preserve"> </v>
      </c>
      <c r="W119" s="9" t="str">
        <f t="shared" si="75"/>
        <v/>
      </c>
      <c r="X119" s="32"/>
      <c r="Y119" s="36"/>
    </row>
    <row r="120" spans="1:25" s="4" customFormat="1" ht="18" customHeight="1">
      <c r="A120" s="36"/>
      <c r="B120" s="69">
        <v>92.01</v>
      </c>
      <c r="C120" s="69" t="s">
        <v>414</v>
      </c>
      <c r="D120" s="31" t="s">
        <v>778</v>
      </c>
      <c r="E120" s="29" t="s">
        <v>34</v>
      </c>
      <c r="F120" s="28">
        <v>0.47</v>
      </c>
      <c r="G120" s="29">
        <v>0.04</v>
      </c>
      <c r="H120" s="29">
        <v>-0.04</v>
      </c>
      <c r="I120" s="30" t="s">
        <v>39</v>
      </c>
      <c r="J120" s="12">
        <f t="shared" si="51"/>
        <v>0.51</v>
      </c>
      <c r="K120" s="12">
        <f t="shared" si="52"/>
        <v>0.43</v>
      </c>
      <c r="L120" s="78"/>
      <c r="M120" s="78"/>
      <c r="N120" s="78"/>
      <c r="O120" s="36"/>
      <c r="P120" s="24" t="str">
        <f t="shared" si="69"/>
        <v xml:space="preserve"> </v>
      </c>
      <c r="Q120" s="25" t="str">
        <f t="shared" si="70"/>
        <v xml:space="preserve"> </v>
      </c>
      <c r="R120" s="25" t="str">
        <f t="shared" si="71"/>
        <v xml:space="preserve"> </v>
      </c>
      <c r="S120" s="26" t="str">
        <f t="shared" si="72"/>
        <v xml:space="preserve"> </v>
      </c>
      <c r="T120" s="7" t="str">
        <f t="shared" si="73"/>
        <v xml:space="preserve"> </v>
      </c>
      <c r="U120" s="8" t="str">
        <f t="shared" si="74"/>
        <v xml:space="preserve"> </v>
      </c>
      <c r="V120" s="9" t="str">
        <f t="shared" si="66"/>
        <v xml:space="preserve"> </v>
      </c>
      <c r="W120" s="9" t="str">
        <f t="shared" si="75"/>
        <v/>
      </c>
      <c r="X120" s="32"/>
      <c r="Y120" s="36"/>
    </row>
    <row r="121" spans="1:25" s="4" customFormat="1" ht="18" customHeight="1">
      <c r="A121" s="36"/>
      <c r="B121" s="69">
        <v>92.02</v>
      </c>
      <c r="C121" s="69" t="s">
        <v>415</v>
      </c>
      <c r="D121" s="31" t="s">
        <v>778</v>
      </c>
      <c r="E121" s="29" t="s">
        <v>34</v>
      </c>
      <c r="F121" s="28">
        <v>0.47</v>
      </c>
      <c r="G121" s="29">
        <v>0.04</v>
      </c>
      <c r="H121" s="29">
        <v>-0.04</v>
      </c>
      <c r="I121" s="30" t="s">
        <v>39</v>
      </c>
      <c r="J121" s="12">
        <f t="shared" si="51"/>
        <v>0.51</v>
      </c>
      <c r="K121" s="12">
        <f t="shared" si="52"/>
        <v>0.43</v>
      </c>
      <c r="L121" s="78"/>
      <c r="M121" s="78"/>
      <c r="N121" s="78"/>
      <c r="O121" s="36"/>
      <c r="P121" s="24" t="str">
        <f t="shared" si="69"/>
        <v xml:space="preserve"> </v>
      </c>
      <c r="Q121" s="25" t="str">
        <f t="shared" si="70"/>
        <v xml:space="preserve"> </v>
      </c>
      <c r="R121" s="25" t="str">
        <f t="shared" si="71"/>
        <v xml:space="preserve"> </v>
      </c>
      <c r="S121" s="26" t="str">
        <f t="shared" si="72"/>
        <v xml:space="preserve"> </v>
      </c>
      <c r="T121" s="7" t="str">
        <f t="shared" si="73"/>
        <v xml:space="preserve"> </v>
      </c>
      <c r="U121" s="8" t="str">
        <f t="shared" si="74"/>
        <v xml:space="preserve"> </v>
      </c>
      <c r="V121" s="9" t="str">
        <f t="shared" si="66"/>
        <v xml:space="preserve"> </v>
      </c>
      <c r="W121" s="9" t="str">
        <f t="shared" si="75"/>
        <v/>
      </c>
      <c r="X121" s="32"/>
      <c r="Y121" s="36"/>
    </row>
    <row r="122" spans="1:25" s="4" customFormat="1" ht="18" customHeight="1">
      <c r="A122" s="36"/>
      <c r="B122" s="69">
        <v>93.01</v>
      </c>
      <c r="C122" s="69" t="s">
        <v>416</v>
      </c>
      <c r="D122" s="31" t="s">
        <v>778</v>
      </c>
      <c r="E122" s="29" t="s">
        <v>34</v>
      </c>
      <c r="F122" s="28">
        <v>0.49</v>
      </c>
      <c r="G122" s="29">
        <v>0.04</v>
      </c>
      <c r="H122" s="29">
        <v>-0.04</v>
      </c>
      <c r="I122" s="30" t="s">
        <v>39</v>
      </c>
      <c r="J122" s="12">
        <f t="shared" si="51"/>
        <v>0.53</v>
      </c>
      <c r="K122" s="12">
        <f t="shared" si="52"/>
        <v>0.45</v>
      </c>
      <c r="L122" s="78"/>
      <c r="M122" s="78"/>
      <c r="N122" s="78"/>
      <c r="O122" s="36"/>
      <c r="P122" s="24" t="str">
        <f t="shared" si="69"/>
        <v xml:space="preserve"> </v>
      </c>
      <c r="Q122" s="25" t="str">
        <f t="shared" si="70"/>
        <v xml:space="preserve"> </v>
      </c>
      <c r="R122" s="25" t="str">
        <f t="shared" si="71"/>
        <v xml:space="preserve"> </v>
      </c>
      <c r="S122" s="26" t="str">
        <f t="shared" si="72"/>
        <v xml:space="preserve"> </v>
      </c>
      <c r="T122" s="7" t="str">
        <f t="shared" si="73"/>
        <v xml:space="preserve"> </v>
      </c>
      <c r="U122" s="8" t="str">
        <f t="shared" si="74"/>
        <v xml:space="preserve"> </v>
      </c>
      <c r="V122" s="9" t="str">
        <f t="shared" si="66"/>
        <v xml:space="preserve"> </v>
      </c>
      <c r="W122" s="9" t="str">
        <f t="shared" si="75"/>
        <v/>
      </c>
      <c r="X122" s="32"/>
      <c r="Y122" s="36"/>
    </row>
    <row r="123" spans="1:25" s="4" customFormat="1" ht="18" customHeight="1">
      <c r="A123" s="36"/>
      <c r="B123" s="69">
        <v>93.02</v>
      </c>
      <c r="C123" s="69" t="s">
        <v>417</v>
      </c>
      <c r="D123" s="31" t="s">
        <v>778</v>
      </c>
      <c r="E123" s="29" t="s">
        <v>34</v>
      </c>
      <c r="F123" s="28">
        <v>0.49</v>
      </c>
      <c r="G123" s="29">
        <v>0.04</v>
      </c>
      <c r="H123" s="29">
        <v>-0.04</v>
      </c>
      <c r="I123" s="30" t="s">
        <v>39</v>
      </c>
      <c r="J123" s="12">
        <f t="shared" si="51"/>
        <v>0.53</v>
      </c>
      <c r="K123" s="12">
        <f t="shared" si="52"/>
        <v>0.45</v>
      </c>
      <c r="L123" s="78"/>
      <c r="M123" s="78"/>
      <c r="N123" s="78"/>
      <c r="O123" s="36"/>
      <c r="P123" s="24" t="str">
        <f t="shared" si="69"/>
        <v xml:space="preserve"> </v>
      </c>
      <c r="Q123" s="25" t="str">
        <f t="shared" si="70"/>
        <v xml:space="preserve"> </v>
      </c>
      <c r="R123" s="25" t="str">
        <f t="shared" si="71"/>
        <v xml:space="preserve"> </v>
      </c>
      <c r="S123" s="26" t="str">
        <f t="shared" si="72"/>
        <v xml:space="preserve"> </v>
      </c>
      <c r="T123" s="7" t="str">
        <f t="shared" si="73"/>
        <v xml:space="preserve"> </v>
      </c>
      <c r="U123" s="8" t="str">
        <f t="shared" si="74"/>
        <v xml:space="preserve"> </v>
      </c>
      <c r="V123" s="9" t="str">
        <f t="shared" si="66"/>
        <v xml:space="preserve"> </v>
      </c>
      <c r="W123" s="9" t="str">
        <f t="shared" si="75"/>
        <v/>
      </c>
      <c r="X123" s="32"/>
      <c r="Y123" s="36"/>
    </row>
    <row r="124" spans="1:25" s="4" customFormat="1" ht="18" customHeight="1">
      <c r="A124" s="36"/>
      <c r="B124" s="69">
        <v>94.01</v>
      </c>
      <c r="C124" s="69" t="s">
        <v>418</v>
      </c>
      <c r="D124" s="31" t="s">
        <v>777</v>
      </c>
      <c r="E124" s="29" t="s">
        <v>34</v>
      </c>
      <c r="F124" s="28">
        <v>0.48</v>
      </c>
      <c r="G124" s="29">
        <v>0.04</v>
      </c>
      <c r="H124" s="29">
        <v>-0.04</v>
      </c>
      <c r="I124" s="30" t="s">
        <v>39</v>
      </c>
      <c r="J124" s="12">
        <f t="shared" si="51"/>
        <v>0.52</v>
      </c>
      <c r="K124" s="12">
        <f t="shared" si="52"/>
        <v>0.44</v>
      </c>
      <c r="L124" s="78"/>
      <c r="M124" s="78"/>
      <c r="N124" s="78"/>
      <c r="O124" s="36"/>
      <c r="P124" s="24" t="str">
        <f t="shared" si="69"/>
        <v xml:space="preserve"> </v>
      </c>
      <c r="Q124" s="25" t="str">
        <f t="shared" si="70"/>
        <v xml:space="preserve"> </v>
      </c>
      <c r="R124" s="25" t="str">
        <f t="shared" si="71"/>
        <v xml:space="preserve"> </v>
      </c>
      <c r="S124" s="26" t="str">
        <f t="shared" si="72"/>
        <v xml:space="preserve"> </v>
      </c>
      <c r="T124" s="7" t="str">
        <f t="shared" si="73"/>
        <v xml:space="preserve"> </v>
      </c>
      <c r="U124" s="8" t="str">
        <f t="shared" si="74"/>
        <v xml:space="preserve"> </v>
      </c>
      <c r="V124" s="9" t="str">
        <f t="shared" si="66"/>
        <v xml:space="preserve"> </v>
      </c>
      <c r="W124" s="9" t="str">
        <f t="shared" si="75"/>
        <v/>
      </c>
      <c r="X124" s="32"/>
      <c r="Y124" s="36"/>
    </row>
    <row r="125" spans="1:25" s="4" customFormat="1" ht="18" customHeight="1">
      <c r="A125" s="36"/>
      <c r="B125" s="69">
        <v>94.02</v>
      </c>
      <c r="C125" s="69" t="s">
        <v>419</v>
      </c>
      <c r="D125" s="31" t="s">
        <v>777</v>
      </c>
      <c r="E125" s="29" t="s">
        <v>34</v>
      </c>
      <c r="F125" s="28">
        <v>0.48</v>
      </c>
      <c r="G125" s="29">
        <v>0.04</v>
      </c>
      <c r="H125" s="29">
        <v>-0.04</v>
      </c>
      <c r="I125" s="30" t="s">
        <v>39</v>
      </c>
      <c r="J125" s="12">
        <f t="shared" si="51"/>
        <v>0.52</v>
      </c>
      <c r="K125" s="12">
        <f t="shared" si="52"/>
        <v>0.44</v>
      </c>
      <c r="L125" s="78"/>
      <c r="M125" s="78"/>
      <c r="N125" s="78"/>
      <c r="O125" s="36"/>
      <c r="P125" s="24" t="str">
        <f t="shared" si="69"/>
        <v xml:space="preserve"> </v>
      </c>
      <c r="Q125" s="25" t="str">
        <f t="shared" si="70"/>
        <v xml:space="preserve"> </v>
      </c>
      <c r="R125" s="25" t="str">
        <f t="shared" si="71"/>
        <v xml:space="preserve"> </v>
      </c>
      <c r="S125" s="26" t="str">
        <f t="shared" si="72"/>
        <v xml:space="preserve"> </v>
      </c>
      <c r="T125" s="7" t="str">
        <f t="shared" si="73"/>
        <v xml:space="preserve"> </v>
      </c>
      <c r="U125" s="8" t="str">
        <f t="shared" si="74"/>
        <v xml:space="preserve"> </v>
      </c>
      <c r="V125" s="9" t="str">
        <f t="shared" si="66"/>
        <v xml:space="preserve"> </v>
      </c>
      <c r="W125" s="9" t="str">
        <f t="shared" si="75"/>
        <v/>
      </c>
      <c r="X125" s="32"/>
      <c r="Y125" s="36"/>
    </row>
    <row r="126" spans="1:25" s="4" customFormat="1" ht="18" customHeight="1">
      <c r="A126" s="36"/>
      <c r="B126" s="69">
        <v>95.01</v>
      </c>
      <c r="C126" s="69" t="s">
        <v>420</v>
      </c>
      <c r="D126" s="31" t="s">
        <v>307</v>
      </c>
      <c r="E126" s="29" t="s">
        <v>34</v>
      </c>
      <c r="F126" s="28">
        <v>0.49</v>
      </c>
      <c r="G126" s="29">
        <v>0.04</v>
      </c>
      <c r="H126" s="29">
        <v>-0.04</v>
      </c>
      <c r="I126" s="30" t="s">
        <v>39</v>
      </c>
      <c r="J126" s="12">
        <f t="shared" si="51"/>
        <v>0.53</v>
      </c>
      <c r="K126" s="12">
        <f t="shared" si="52"/>
        <v>0.45</v>
      </c>
      <c r="L126" s="78"/>
      <c r="M126" s="78"/>
      <c r="N126" s="78"/>
      <c r="O126" s="36"/>
      <c r="P126" s="24" t="str">
        <f t="shared" si="69"/>
        <v xml:space="preserve"> </v>
      </c>
      <c r="Q126" s="25" t="str">
        <f t="shared" si="70"/>
        <v xml:space="preserve"> </v>
      </c>
      <c r="R126" s="25" t="str">
        <f t="shared" si="71"/>
        <v xml:space="preserve"> </v>
      </c>
      <c r="S126" s="26" t="str">
        <f t="shared" si="72"/>
        <v xml:space="preserve"> </v>
      </c>
      <c r="T126" s="7" t="str">
        <f t="shared" si="73"/>
        <v xml:space="preserve"> </v>
      </c>
      <c r="U126" s="8" t="str">
        <f t="shared" si="74"/>
        <v xml:space="preserve"> </v>
      </c>
      <c r="V126" s="9" t="str">
        <f t="shared" si="66"/>
        <v xml:space="preserve"> </v>
      </c>
      <c r="W126" s="9" t="str">
        <f t="shared" si="75"/>
        <v/>
      </c>
      <c r="X126" s="32"/>
      <c r="Y126" s="36"/>
    </row>
    <row r="127" spans="1:25" s="4" customFormat="1" ht="18" customHeight="1">
      <c r="A127" s="36"/>
      <c r="B127" s="69">
        <v>95.02</v>
      </c>
      <c r="C127" s="69" t="s">
        <v>421</v>
      </c>
      <c r="D127" s="31" t="s">
        <v>307</v>
      </c>
      <c r="E127" s="29" t="s">
        <v>34</v>
      </c>
      <c r="F127" s="28">
        <v>0.49</v>
      </c>
      <c r="G127" s="29">
        <v>0.04</v>
      </c>
      <c r="H127" s="29">
        <v>-0.04</v>
      </c>
      <c r="I127" s="30" t="s">
        <v>39</v>
      </c>
      <c r="J127" s="12">
        <f t="shared" si="51"/>
        <v>0.53</v>
      </c>
      <c r="K127" s="12">
        <f t="shared" si="52"/>
        <v>0.45</v>
      </c>
      <c r="L127" s="78"/>
      <c r="M127" s="78"/>
      <c r="N127" s="78"/>
      <c r="O127" s="36"/>
      <c r="P127" s="24" t="str">
        <f t="shared" si="69"/>
        <v xml:space="preserve"> </v>
      </c>
      <c r="Q127" s="25" t="str">
        <f t="shared" si="70"/>
        <v xml:space="preserve"> </v>
      </c>
      <c r="R127" s="25" t="str">
        <f t="shared" si="71"/>
        <v xml:space="preserve"> </v>
      </c>
      <c r="S127" s="26" t="str">
        <f t="shared" si="72"/>
        <v xml:space="preserve"> </v>
      </c>
      <c r="T127" s="7" t="str">
        <f t="shared" si="73"/>
        <v xml:space="preserve"> </v>
      </c>
      <c r="U127" s="8" t="str">
        <f t="shared" si="74"/>
        <v xml:space="preserve"> </v>
      </c>
      <c r="V127" s="9" t="str">
        <f t="shared" si="66"/>
        <v xml:space="preserve"> </v>
      </c>
      <c r="W127" s="9" t="str">
        <f t="shared" si="75"/>
        <v/>
      </c>
      <c r="X127" s="32"/>
      <c r="Y127" s="36"/>
    </row>
    <row r="128" spans="1:25" s="4" customFormat="1" ht="18" customHeight="1">
      <c r="A128" s="36"/>
      <c r="B128" s="69">
        <v>96.01</v>
      </c>
      <c r="C128" s="69" t="s">
        <v>422</v>
      </c>
      <c r="D128" s="31" t="s">
        <v>307</v>
      </c>
      <c r="E128" s="29" t="s">
        <v>34</v>
      </c>
      <c r="F128" s="28">
        <v>0.49</v>
      </c>
      <c r="G128" s="29">
        <v>0.04</v>
      </c>
      <c r="H128" s="29">
        <v>-0.04</v>
      </c>
      <c r="I128" s="30" t="s">
        <v>39</v>
      </c>
      <c r="J128" s="12">
        <f t="shared" si="51"/>
        <v>0.53</v>
      </c>
      <c r="K128" s="12">
        <f t="shared" si="52"/>
        <v>0.45</v>
      </c>
      <c r="L128" s="78"/>
      <c r="M128" s="78"/>
      <c r="N128" s="78"/>
      <c r="O128" s="36"/>
      <c r="P128" s="24" t="str">
        <f t="shared" si="69"/>
        <v xml:space="preserve"> </v>
      </c>
      <c r="Q128" s="25" t="str">
        <f t="shared" si="70"/>
        <v xml:space="preserve"> </v>
      </c>
      <c r="R128" s="25" t="str">
        <f t="shared" si="71"/>
        <v xml:space="preserve"> </v>
      </c>
      <c r="S128" s="26" t="str">
        <f t="shared" si="72"/>
        <v xml:space="preserve"> </v>
      </c>
      <c r="T128" s="7" t="str">
        <f t="shared" si="73"/>
        <v xml:space="preserve"> </v>
      </c>
      <c r="U128" s="8" t="str">
        <f t="shared" si="74"/>
        <v xml:space="preserve"> </v>
      </c>
      <c r="V128" s="9" t="str">
        <f t="shared" si="66"/>
        <v xml:space="preserve"> </v>
      </c>
      <c r="W128" s="9" t="str">
        <f t="shared" si="75"/>
        <v/>
      </c>
      <c r="X128" s="32"/>
      <c r="Y128" s="36"/>
    </row>
    <row r="129" spans="1:25" s="4" customFormat="1" ht="18" customHeight="1">
      <c r="A129" s="36"/>
      <c r="B129" s="69">
        <v>96.02</v>
      </c>
      <c r="C129" s="69" t="s">
        <v>423</v>
      </c>
      <c r="D129" s="31" t="s">
        <v>307</v>
      </c>
      <c r="E129" s="29" t="s">
        <v>34</v>
      </c>
      <c r="F129" s="28">
        <v>0.49</v>
      </c>
      <c r="G129" s="29">
        <v>0.04</v>
      </c>
      <c r="H129" s="29">
        <v>-0.04</v>
      </c>
      <c r="I129" s="30" t="s">
        <v>39</v>
      </c>
      <c r="J129" s="12">
        <f t="shared" si="51"/>
        <v>0.53</v>
      </c>
      <c r="K129" s="12">
        <f t="shared" si="52"/>
        <v>0.45</v>
      </c>
      <c r="L129" s="78"/>
      <c r="M129" s="78"/>
      <c r="N129" s="78"/>
      <c r="O129" s="36"/>
      <c r="P129" s="24" t="str">
        <f t="shared" si="69"/>
        <v xml:space="preserve"> </v>
      </c>
      <c r="Q129" s="25" t="str">
        <f t="shared" si="70"/>
        <v xml:space="preserve"> </v>
      </c>
      <c r="R129" s="25" t="str">
        <f t="shared" si="71"/>
        <v xml:space="preserve"> </v>
      </c>
      <c r="S129" s="26" t="str">
        <f t="shared" si="72"/>
        <v xml:space="preserve"> </v>
      </c>
      <c r="T129" s="7" t="str">
        <f t="shared" si="73"/>
        <v xml:space="preserve"> </v>
      </c>
      <c r="U129" s="8" t="str">
        <f t="shared" si="74"/>
        <v xml:space="preserve"> </v>
      </c>
      <c r="V129" s="9" t="str">
        <f t="shared" si="66"/>
        <v xml:space="preserve"> </v>
      </c>
      <c r="W129" s="9" t="str">
        <f t="shared" si="75"/>
        <v/>
      </c>
      <c r="X129" s="32"/>
      <c r="Y129" s="36"/>
    </row>
    <row r="130" spans="1:25" s="4" customFormat="1" ht="18" customHeight="1">
      <c r="A130" s="36"/>
      <c r="B130" s="69">
        <v>97.01</v>
      </c>
      <c r="C130" s="69" t="s">
        <v>424</v>
      </c>
      <c r="D130" s="31" t="s">
        <v>777</v>
      </c>
      <c r="E130" s="29" t="s">
        <v>34</v>
      </c>
      <c r="F130" s="28">
        <v>0.48</v>
      </c>
      <c r="G130" s="29">
        <v>0.04</v>
      </c>
      <c r="H130" s="29">
        <v>-0.04</v>
      </c>
      <c r="I130" s="30" t="s">
        <v>39</v>
      </c>
      <c r="J130" s="12">
        <f t="shared" si="51"/>
        <v>0.52</v>
      </c>
      <c r="K130" s="12">
        <f t="shared" si="52"/>
        <v>0.44</v>
      </c>
      <c r="L130" s="78"/>
      <c r="M130" s="78"/>
      <c r="N130" s="78"/>
      <c r="O130" s="36"/>
      <c r="P130" s="24" t="str">
        <f t="shared" si="69"/>
        <v xml:space="preserve"> </v>
      </c>
      <c r="Q130" s="25" t="str">
        <f t="shared" si="70"/>
        <v xml:space="preserve"> </v>
      </c>
      <c r="R130" s="25" t="str">
        <f t="shared" si="71"/>
        <v xml:space="preserve"> </v>
      </c>
      <c r="S130" s="26" t="str">
        <f t="shared" si="72"/>
        <v xml:space="preserve"> </v>
      </c>
      <c r="T130" s="7" t="str">
        <f t="shared" si="73"/>
        <v xml:space="preserve"> </v>
      </c>
      <c r="U130" s="8" t="str">
        <f t="shared" si="74"/>
        <v xml:space="preserve"> </v>
      </c>
      <c r="V130" s="9" t="str">
        <f t="shared" si="66"/>
        <v xml:space="preserve"> </v>
      </c>
      <c r="W130" s="9" t="str">
        <f t="shared" si="75"/>
        <v/>
      </c>
      <c r="X130" s="32"/>
      <c r="Y130" s="36"/>
    </row>
    <row r="131" spans="1:25" s="4" customFormat="1" ht="18" customHeight="1">
      <c r="A131" s="36"/>
      <c r="B131" s="69">
        <v>97.02</v>
      </c>
      <c r="C131" s="69" t="s">
        <v>425</v>
      </c>
      <c r="D131" s="31" t="s">
        <v>777</v>
      </c>
      <c r="E131" s="29" t="s">
        <v>34</v>
      </c>
      <c r="F131" s="28">
        <v>0.48</v>
      </c>
      <c r="G131" s="29">
        <v>0.04</v>
      </c>
      <c r="H131" s="29">
        <v>-0.04</v>
      </c>
      <c r="I131" s="30" t="s">
        <v>39</v>
      </c>
      <c r="J131" s="12">
        <f t="shared" si="51"/>
        <v>0.52</v>
      </c>
      <c r="K131" s="12">
        <f t="shared" si="52"/>
        <v>0.44</v>
      </c>
      <c r="L131" s="78"/>
      <c r="M131" s="78"/>
      <c r="N131" s="78"/>
      <c r="O131" s="36"/>
      <c r="P131" s="24" t="str">
        <f t="shared" si="69"/>
        <v xml:space="preserve"> </v>
      </c>
      <c r="Q131" s="25" t="str">
        <f t="shared" si="70"/>
        <v xml:space="preserve"> </v>
      </c>
      <c r="R131" s="25" t="str">
        <f t="shared" si="71"/>
        <v xml:space="preserve"> </v>
      </c>
      <c r="S131" s="26" t="str">
        <f t="shared" si="72"/>
        <v xml:space="preserve"> </v>
      </c>
      <c r="T131" s="7" t="str">
        <f t="shared" si="73"/>
        <v xml:space="preserve"> </v>
      </c>
      <c r="U131" s="8" t="str">
        <f t="shared" si="74"/>
        <v xml:space="preserve"> </v>
      </c>
      <c r="V131" s="9" t="str">
        <f t="shared" si="66"/>
        <v xml:space="preserve"> </v>
      </c>
      <c r="W131" s="9" t="str">
        <f t="shared" si="75"/>
        <v/>
      </c>
      <c r="X131" s="32"/>
      <c r="Y131" s="36"/>
    </row>
    <row r="132" spans="1:25" s="4" customFormat="1" ht="18" customHeight="1">
      <c r="A132" s="36"/>
      <c r="B132" s="69">
        <v>98.01</v>
      </c>
      <c r="C132" s="69" t="s">
        <v>426</v>
      </c>
      <c r="D132" s="31" t="s">
        <v>776</v>
      </c>
      <c r="E132" s="29" t="s">
        <v>34</v>
      </c>
      <c r="F132" s="28">
        <v>0.48</v>
      </c>
      <c r="G132" s="29">
        <v>0.04</v>
      </c>
      <c r="H132" s="29">
        <v>-0.04</v>
      </c>
      <c r="I132" s="30" t="s">
        <v>39</v>
      </c>
      <c r="J132" s="12">
        <f t="shared" si="51"/>
        <v>0.52</v>
      </c>
      <c r="K132" s="12">
        <f t="shared" si="52"/>
        <v>0.44</v>
      </c>
      <c r="L132" s="78"/>
      <c r="M132" s="78"/>
      <c r="N132" s="78"/>
      <c r="O132" s="36"/>
      <c r="P132" s="24" t="str">
        <f t="shared" si="69"/>
        <v xml:space="preserve"> </v>
      </c>
      <c r="Q132" s="25" t="str">
        <f t="shared" si="70"/>
        <v xml:space="preserve"> </v>
      </c>
      <c r="R132" s="25" t="str">
        <f t="shared" si="71"/>
        <v xml:space="preserve"> </v>
      </c>
      <c r="S132" s="26" t="str">
        <f t="shared" si="72"/>
        <v xml:space="preserve"> </v>
      </c>
      <c r="T132" s="7" t="str">
        <f t="shared" si="73"/>
        <v xml:space="preserve"> </v>
      </c>
      <c r="U132" s="8" t="str">
        <f t="shared" si="74"/>
        <v xml:space="preserve"> </v>
      </c>
      <c r="V132" s="9" t="str">
        <f t="shared" si="66"/>
        <v xml:space="preserve"> </v>
      </c>
      <c r="W132" s="9" t="str">
        <f t="shared" si="75"/>
        <v/>
      </c>
      <c r="X132" s="32"/>
      <c r="Y132" s="36"/>
    </row>
    <row r="133" spans="1:25" s="4" customFormat="1" ht="18" customHeight="1">
      <c r="A133" s="36"/>
      <c r="B133" s="69">
        <v>98.02</v>
      </c>
      <c r="C133" s="69" t="s">
        <v>427</v>
      </c>
      <c r="D133" s="31" t="s">
        <v>776</v>
      </c>
      <c r="E133" s="29" t="s">
        <v>34</v>
      </c>
      <c r="F133" s="28">
        <v>0.49</v>
      </c>
      <c r="G133" s="29">
        <v>0.04</v>
      </c>
      <c r="H133" s="29">
        <v>-0.04</v>
      </c>
      <c r="I133" s="30" t="s">
        <v>39</v>
      </c>
      <c r="J133" s="12">
        <f t="shared" si="51"/>
        <v>0.53</v>
      </c>
      <c r="K133" s="12">
        <f t="shared" si="52"/>
        <v>0.45</v>
      </c>
      <c r="L133" s="78"/>
      <c r="M133" s="78"/>
      <c r="N133" s="78"/>
      <c r="O133" s="36"/>
      <c r="P133" s="24" t="str">
        <f t="shared" si="69"/>
        <v xml:space="preserve"> </v>
      </c>
      <c r="Q133" s="25" t="str">
        <f t="shared" si="70"/>
        <v xml:space="preserve"> </v>
      </c>
      <c r="R133" s="25" t="str">
        <f t="shared" si="71"/>
        <v xml:space="preserve"> </v>
      </c>
      <c r="S133" s="26" t="str">
        <f t="shared" si="72"/>
        <v xml:space="preserve"> </v>
      </c>
      <c r="T133" s="7" t="str">
        <f t="shared" si="73"/>
        <v xml:space="preserve"> </v>
      </c>
      <c r="U133" s="8" t="str">
        <f t="shared" si="74"/>
        <v xml:space="preserve"> </v>
      </c>
      <c r="V133" s="9" t="str">
        <f t="shared" si="66"/>
        <v xml:space="preserve"> </v>
      </c>
      <c r="W133" s="9" t="str">
        <f t="shared" si="75"/>
        <v/>
      </c>
      <c r="X133" s="32"/>
      <c r="Y133" s="36"/>
    </row>
    <row r="134" spans="1:25" s="4" customFormat="1" ht="18" customHeight="1">
      <c r="A134" s="36"/>
      <c r="B134" s="69">
        <v>99.01</v>
      </c>
      <c r="C134" s="69" t="s">
        <v>428</v>
      </c>
      <c r="D134" s="31" t="s">
        <v>778</v>
      </c>
      <c r="E134" s="29" t="s">
        <v>34</v>
      </c>
      <c r="F134" s="28">
        <v>0.46</v>
      </c>
      <c r="G134" s="29">
        <v>0.04</v>
      </c>
      <c r="H134" s="29">
        <v>-0.04</v>
      </c>
      <c r="I134" s="30" t="s">
        <v>39</v>
      </c>
      <c r="J134" s="12">
        <f t="shared" si="51"/>
        <v>0.5</v>
      </c>
      <c r="K134" s="12">
        <f t="shared" si="52"/>
        <v>0.42000000000000004</v>
      </c>
      <c r="L134" s="78"/>
      <c r="M134" s="78"/>
      <c r="N134" s="78"/>
      <c r="O134" s="36"/>
      <c r="P134" s="24" t="str">
        <f t="shared" si="69"/>
        <v xml:space="preserve"> </v>
      </c>
      <c r="Q134" s="25" t="str">
        <f t="shared" si="70"/>
        <v xml:space="preserve"> </v>
      </c>
      <c r="R134" s="25" t="str">
        <f t="shared" si="71"/>
        <v xml:space="preserve"> </v>
      </c>
      <c r="S134" s="26" t="str">
        <f t="shared" si="72"/>
        <v xml:space="preserve"> </v>
      </c>
      <c r="T134" s="7" t="str">
        <f t="shared" si="73"/>
        <v xml:space="preserve"> </v>
      </c>
      <c r="U134" s="8" t="str">
        <f t="shared" si="74"/>
        <v xml:space="preserve"> </v>
      </c>
      <c r="V134" s="9" t="str">
        <f t="shared" si="66"/>
        <v xml:space="preserve"> </v>
      </c>
      <c r="W134" s="9" t="str">
        <f t="shared" si="75"/>
        <v/>
      </c>
      <c r="X134" s="32"/>
      <c r="Y134" s="36"/>
    </row>
    <row r="135" spans="1:25" s="4" customFormat="1" ht="18" customHeight="1">
      <c r="A135" s="36"/>
      <c r="B135" s="69">
        <v>99.02</v>
      </c>
      <c r="C135" s="69" t="s">
        <v>429</v>
      </c>
      <c r="D135" s="31" t="s">
        <v>778</v>
      </c>
      <c r="E135" s="29" t="s">
        <v>34</v>
      </c>
      <c r="F135" s="28">
        <v>0.46</v>
      </c>
      <c r="G135" s="29">
        <v>0.04</v>
      </c>
      <c r="H135" s="29">
        <v>-0.04</v>
      </c>
      <c r="I135" s="30" t="s">
        <v>39</v>
      </c>
      <c r="J135" s="12">
        <f t="shared" si="51"/>
        <v>0.5</v>
      </c>
      <c r="K135" s="12">
        <f t="shared" si="52"/>
        <v>0.42000000000000004</v>
      </c>
      <c r="L135" s="78"/>
      <c r="M135" s="78"/>
      <c r="N135" s="78"/>
      <c r="O135" s="36"/>
      <c r="P135" s="24" t="str">
        <f t="shared" si="69"/>
        <v xml:space="preserve"> </v>
      </c>
      <c r="Q135" s="25" t="str">
        <f t="shared" si="70"/>
        <v xml:space="preserve"> </v>
      </c>
      <c r="R135" s="25" t="str">
        <f t="shared" si="71"/>
        <v xml:space="preserve"> </v>
      </c>
      <c r="S135" s="26" t="str">
        <f t="shared" si="72"/>
        <v xml:space="preserve"> </v>
      </c>
      <c r="T135" s="7" t="str">
        <f t="shared" si="73"/>
        <v xml:space="preserve"> </v>
      </c>
      <c r="U135" s="8" t="str">
        <f t="shared" si="74"/>
        <v xml:space="preserve"> </v>
      </c>
      <c r="V135" s="9" t="str">
        <f t="shared" si="66"/>
        <v xml:space="preserve"> </v>
      </c>
      <c r="W135" s="9" t="str">
        <f t="shared" si="75"/>
        <v/>
      </c>
      <c r="X135" s="32"/>
      <c r="Y135" s="36"/>
    </row>
    <row r="136" spans="1:25" s="4" customFormat="1" ht="18" customHeight="1">
      <c r="A136" s="36"/>
      <c r="B136" s="69">
        <v>100.01</v>
      </c>
      <c r="C136" s="69" t="s">
        <v>405</v>
      </c>
      <c r="D136" s="31" t="s">
        <v>776</v>
      </c>
      <c r="E136" s="29" t="s">
        <v>34</v>
      </c>
      <c r="F136" s="28">
        <v>0.49</v>
      </c>
      <c r="G136" s="29">
        <v>0.04</v>
      </c>
      <c r="H136" s="29">
        <v>-0.04</v>
      </c>
      <c r="I136" s="30" t="s">
        <v>39</v>
      </c>
      <c r="J136" s="12">
        <f t="shared" si="51"/>
        <v>0.53</v>
      </c>
      <c r="K136" s="12">
        <f t="shared" si="52"/>
        <v>0.45</v>
      </c>
      <c r="L136" s="78"/>
      <c r="M136" s="78"/>
      <c r="N136" s="78"/>
      <c r="O136" s="36"/>
      <c r="P136" s="24" t="str">
        <f t="shared" si="69"/>
        <v xml:space="preserve"> </v>
      </c>
      <c r="Q136" s="25" t="str">
        <f t="shared" si="70"/>
        <v xml:space="preserve"> </v>
      </c>
      <c r="R136" s="25" t="str">
        <f t="shared" si="71"/>
        <v xml:space="preserve"> </v>
      </c>
      <c r="S136" s="26" t="str">
        <f t="shared" si="72"/>
        <v xml:space="preserve"> </v>
      </c>
      <c r="T136" s="7" t="str">
        <f t="shared" si="73"/>
        <v xml:space="preserve"> </v>
      </c>
      <c r="U136" s="8" t="str">
        <f t="shared" si="74"/>
        <v xml:space="preserve"> </v>
      </c>
      <c r="V136" s="9" t="str">
        <f t="shared" si="66"/>
        <v xml:space="preserve"> </v>
      </c>
      <c r="W136" s="9" t="str">
        <f t="shared" si="75"/>
        <v/>
      </c>
      <c r="X136" s="32"/>
      <c r="Y136" s="36"/>
    </row>
    <row r="137" spans="1:25" s="4" customFormat="1" ht="18" customHeight="1">
      <c r="A137" s="36"/>
      <c r="B137" s="69">
        <v>100.02</v>
      </c>
      <c r="C137" s="69" t="s">
        <v>407</v>
      </c>
      <c r="D137" s="31" t="s">
        <v>776</v>
      </c>
      <c r="E137" s="29" t="s">
        <v>34</v>
      </c>
      <c r="F137" s="28">
        <v>0.49</v>
      </c>
      <c r="G137" s="29">
        <v>0.04</v>
      </c>
      <c r="H137" s="29">
        <v>-0.04</v>
      </c>
      <c r="I137" s="30" t="s">
        <v>39</v>
      </c>
      <c r="J137" s="12">
        <f t="shared" si="51"/>
        <v>0.53</v>
      </c>
      <c r="K137" s="12">
        <f t="shared" si="52"/>
        <v>0.45</v>
      </c>
      <c r="L137" s="78"/>
      <c r="M137" s="78"/>
      <c r="N137" s="78"/>
      <c r="O137" s="36"/>
      <c r="P137" s="24" t="str">
        <f t="shared" si="69"/>
        <v xml:space="preserve"> </v>
      </c>
      <c r="Q137" s="25" t="str">
        <f t="shared" si="70"/>
        <v xml:space="preserve"> </v>
      </c>
      <c r="R137" s="25" t="str">
        <f t="shared" si="71"/>
        <v xml:space="preserve"> </v>
      </c>
      <c r="S137" s="26" t="str">
        <f t="shared" si="72"/>
        <v xml:space="preserve"> </v>
      </c>
      <c r="T137" s="7" t="str">
        <f t="shared" si="73"/>
        <v xml:space="preserve"> </v>
      </c>
      <c r="U137" s="8" t="str">
        <f t="shared" si="74"/>
        <v xml:space="preserve"> </v>
      </c>
      <c r="V137" s="9" t="str">
        <f t="shared" si="66"/>
        <v xml:space="preserve"> </v>
      </c>
      <c r="W137" s="9" t="str">
        <f t="shared" si="75"/>
        <v/>
      </c>
      <c r="X137" s="32"/>
      <c r="Y137" s="36"/>
    </row>
    <row r="138" spans="1:25" s="4" customFormat="1" ht="18" customHeight="1">
      <c r="A138" s="36"/>
      <c r="B138" s="69">
        <v>101.01</v>
      </c>
      <c r="C138" s="69" t="s">
        <v>430</v>
      </c>
      <c r="D138" s="31" t="s">
        <v>777</v>
      </c>
      <c r="E138" s="29" t="s">
        <v>34</v>
      </c>
      <c r="F138" s="28">
        <v>0.47</v>
      </c>
      <c r="G138" s="29">
        <v>0.04</v>
      </c>
      <c r="H138" s="29">
        <v>-0.04</v>
      </c>
      <c r="I138" s="30" t="s">
        <v>39</v>
      </c>
      <c r="J138" s="12">
        <f t="shared" si="51"/>
        <v>0.51</v>
      </c>
      <c r="K138" s="12">
        <f t="shared" si="52"/>
        <v>0.43</v>
      </c>
      <c r="L138" s="78"/>
      <c r="M138" s="78"/>
      <c r="N138" s="78"/>
      <c r="O138" s="36"/>
      <c r="P138" s="24" t="str">
        <f t="shared" si="69"/>
        <v xml:space="preserve"> </v>
      </c>
      <c r="Q138" s="25" t="str">
        <f t="shared" si="70"/>
        <v xml:space="preserve"> </v>
      </c>
      <c r="R138" s="25" t="str">
        <f t="shared" si="71"/>
        <v xml:space="preserve"> </v>
      </c>
      <c r="S138" s="26" t="str">
        <f t="shared" si="72"/>
        <v xml:space="preserve"> </v>
      </c>
      <c r="T138" s="7" t="str">
        <f t="shared" si="73"/>
        <v xml:space="preserve"> </v>
      </c>
      <c r="U138" s="8" t="str">
        <f t="shared" si="74"/>
        <v xml:space="preserve"> </v>
      </c>
      <c r="V138" s="9" t="str">
        <f t="shared" si="66"/>
        <v xml:space="preserve"> </v>
      </c>
      <c r="W138" s="9" t="str">
        <f t="shared" si="75"/>
        <v/>
      </c>
      <c r="X138" s="32"/>
      <c r="Y138" s="36"/>
    </row>
    <row r="139" spans="1:25" s="4" customFormat="1" ht="18" customHeight="1">
      <c r="A139" s="36"/>
      <c r="B139" s="69">
        <v>101.02</v>
      </c>
      <c r="C139" s="69" t="s">
        <v>431</v>
      </c>
      <c r="D139" s="31" t="s">
        <v>777</v>
      </c>
      <c r="E139" s="29" t="s">
        <v>34</v>
      </c>
      <c r="F139" s="28">
        <v>0.47</v>
      </c>
      <c r="G139" s="29">
        <v>0.04</v>
      </c>
      <c r="H139" s="29">
        <v>-0.04</v>
      </c>
      <c r="I139" s="30" t="s">
        <v>39</v>
      </c>
      <c r="J139" s="12">
        <f t="shared" si="51"/>
        <v>0.51</v>
      </c>
      <c r="K139" s="12">
        <f t="shared" si="52"/>
        <v>0.43</v>
      </c>
      <c r="L139" s="78"/>
      <c r="M139" s="78"/>
      <c r="N139" s="78"/>
      <c r="O139" s="36"/>
      <c r="P139" s="24" t="str">
        <f t="shared" si="69"/>
        <v xml:space="preserve"> </v>
      </c>
      <c r="Q139" s="25" t="str">
        <f t="shared" si="70"/>
        <v xml:space="preserve"> </v>
      </c>
      <c r="R139" s="25" t="str">
        <f t="shared" si="71"/>
        <v xml:space="preserve"> </v>
      </c>
      <c r="S139" s="26" t="str">
        <f t="shared" si="72"/>
        <v xml:space="preserve"> </v>
      </c>
      <c r="T139" s="7" t="str">
        <f t="shared" si="73"/>
        <v xml:space="preserve"> </v>
      </c>
      <c r="U139" s="8" t="str">
        <f t="shared" si="74"/>
        <v xml:space="preserve"> </v>
      </c>
      <c r="V139" s="9" t="str">
        <f t="shared" si="66"/>
        <v xml:space="preserve"> </v>
      </c>
      <c r="W139" s="9" t="str">
        <f t="shared" si="75"/>
        <v/>
      </c>
      <c r="X139" s="32"/>
      <c r="Y139" s="36"/>
    </row>
    <row r="140" spans="1:25" s="4" customFormat="1" ht="18" customHeight="1">
      <c r="A140" s="36"/>
      <c r="B140" s="69">
        <v>102.01</v>
      </c>
      <c r="C140" s="69" t="s">
        <v>432</v>
      </c>
      <c r="D140" s="31" t="s">
        <v>778</v>
      </c>
      <c r="E140" s="29" t="s">
        <v>34</v>
      </c>
      <c r="F140" s="28">
        <v>0.46</v>
      </c>
      <c r="G140" s="29">
        <v>0.04</v>
      </c>
      <c r="H140" s="29">
        <v>-0.04</v>
      </c>
      <c r="I140" s="30" t="s">
        <v>39</v>
      </c>
      <c r="J140" s="12">
        <f t="shared" si="51"/>
        <v>0.5</v>
      </c>
      <c r="K140" s="12">
        <f t="shared" si="52"/>
        <v>0.42000000000000004</v>
      </c>
      <c r="L140" s="78"/>
      <c r="M140" s="78"/>
      <c r="N140" s="78"/>
      <c r="O140" s="36"/>
      <c r="P140" s="24" t="str">
        <f t="shared" si="69"/>
        <v xml:space="preserve"> </v>
      </c>
      <c r="Q140" s="25" t="str">
        <f t="shared" si="70"/>
        <v xml:space="preserve"> </v>
      </c>
      <c r="R140" s="25" t="str">
        <f t="shared" si="71"/>
        <v xml:space="preserve"> </v>
      </c>
      <c r="S140" s="26" t="str">
        <f t="shared" si="72"/>
        <v xml:space="preserve"> </v>
      </c>
      <c r="T140" s="7" t="str">
        <f t="shared" si="73"/>
        <v xml:space="preserve"> </v>
      </c>
      <c r="U140" s="8" t="str">
        <f t="shared" si="74"/>
        <v xml:space="preserve"> </v>
      </c>
      <c r="V140" s="9" t="str">
        <f t="shared" si="66"/>
        <v xml:space="preserve"> </v>
      </c>
      <c r="W140" s="9" t="str">
        <f t="shared" si="75"/>
        <v/>
      </c>
      <c r="X140" s="32"/>
      <c r="Y140" s="36"/>
    </row>
    <row r="141" spans="1:25" s="4" customFormat="1" ht="18" customHeight="1">
      <c r="A141" s="36"/>
      <c r="B141" s="69">
        <v>102.02</v>
      </c>
      <c r="C141" s="69" t="s">
        <v>433</v>
      </c>
      <c r="D141" s="31" t="s">
        <v>778</v>
      </c>
      <c r="E141" s="29" t="s">
        <v>34</v>
      </c>
      <c r="F141" s="28">
        <v>0.46</v>
      </c>
      <c r="G141" s="29">
        <v>0.04</v>
      </c>
      <c r="H141" s="29">
        <v>-0.04</v>
      </c>
      <c r="I141" s="30" t="s">
        <v>39</v>
      </c>
      <c r="J141" s="12">
        <f t="shared" si="51"/>
        <v>0.5</v>
      </c>
      <c r="K141" s="12">
        <f t="shared" si="52"/>
        <v>0.42000000000000004</v>
      </c>
      <c r="L141" s="78"/>
      <c r="M141" s="78"/>
      <c r="N141" s="78"/>
      <c r="O141" s="36"/>
      <c r="P141" s="24" t="str">
        <f t="shared" si="69"/>
        <v xml:space="preserve"> </v>
      </c>
      <c r="Q141" s="25" t="str">
        <f t="shared" si="70"/>
        <v xml:space="preserve"> </v>
      </c>
      <c r="R141" s="25" t="str">
        <f t="shared" si="71"/>
        <v xml:space="preserve"> </v>
      </c>
      <c r="S141" s="26" t="str">
        <f t="shared" si="72"/>
        <v xml:space="preserve"> </v>
      </c>
      <c r="T141" s="7" t="str">
        <f t="shared" si="73"/>
        <v xml:space="preserve"> </v>
      </c>
      <c r="U141" s="8" t="str">
        <f t="shared" si="74"/>
        <v xml:space="preserve"> </v>
      </c>
      <c r="V141" s="9" t="str">
        <f t="shared" si="66"/>
        <v xml:space="preserve"> </v>
      </c>
      <c r="W141" s="9" t="str">
        <f t="shared" si="75"/>
        <v/>
      </c>
      <c r="X141" s="32"/>
      <c r="Y141" s="36"/>
    </row>
    <row r="142" spans="1:25" s="4" customFormat="1" ht="18" customHeight="1">
      <c r="A142" s="36"/>
      <c r="B142" s="69">
        <v>103.01</v>
      </c>
      <c r="C142" s="69" t="s">
        <v>434</v>
      </c>
      <c r="D142" s="31" t="s">
        <v>777</v>
      </c>
      <c r="E142" s="29" t="s">
        <v>34</v>
      </c>
      <c r="F142" s="28">
        <v>0.46</v>
      </c>
      <c r="G142" s="29">
        <v>0.04</v>
      </c>
      <c r="H142" s="29">
        <v>-0.04</v>
      </c>
      <c r="I142" s="30" t="s">
        <v>39</v>
      </c>
      <c r="J142" s="12">
        <f t="shared" si="51"/>
        <v>0.5</v>
      </c>
      <c r="K142" s="12">
        <f t="shared" si="52"/>
        <v>0.42000000000000004</v>
      </c>
      <c r="L142" s="78"/>
      <c r="M142" s="78"/>
      <c r="N142" s="78"/>
      <c r="O142" s="36"/>
      <c r="P142" s="24" t="str">
        <f t="shared" si="69"/>
        <v xml:space="preserve"> </v>
      </c>
      <c r="Q142" s="25" t="str">
        <f t="shared" si="70"/>
        <v xml:space="preserve"> </v>
      </c>
      <c r="R142" s="25" t="str">
        <f t="shared" si="71"/>
        <v xml:space="preserve"> </v>
      </c>
      <c r="S142" s="26" t="str">
        <f t="shared" si="72"/>
        <v xml:space="preserve"> </v>
      </c>
      <c r="T142" s="7" t="str">
        <f t="shared" si="73"/>
        <v xml:space="preserve"> </v>
      </c>
      <c r="U142" s="8" t="str">
        <f t="shared" si="74"/>
        <v xml:space="preserve"> </v>
      </c>
      <c r="V142" s="9" t="str">
        <f t="shared" si="66"/>
        <v xml:space="preserve"> </v>
      </c>
      <c r="W142" s="9" t="str">
        <f t="shared" si="75"/>
        <v/>
      </c>
      <c r="X142" s="32"/>
      <c r="Y142" s="36"/>
    </row>
    <row r="143" spans="1:25" s="4" customFormat="1" ht="18" customHeight="1">
      <c r="A143" s="36"/>
      <c r="B143" s="69">
        <v>103.02</v>
      </c>
      <c r="C143" s="69" t="s">
        <v>435</v>
      </c>
      <c r="D143" s="31" t="s">
        <v>777</v>
      </c>
      <c r="E143" s="29" t="s">
        <v>34</v>
      </c>
      <c r="F143" s="28">
        <v>0.46</v>
      </c>
      <c r="G143" s="29">
        <v>0.04</v>
      </c>
      <c r="H143" s="29">
        <v>-0.04</v>
      </c>
      <c r="I143" s="30" t="s">
        <v>39</v>
      </c>
      <c r="J143" s="12">
        <f t="shared" si="51"/>
        <v>0.5</v>
      </c>
      <c r="K143" s="12">
        <f t="shared" si="52"/>
        <v>0.42000000000000004</v>
      </c>
      <c r="L143" s="78"/>
      <c r="M143" s="78"/>
      <c r="N143" s="78"/>
      <c r="O143" s="36"/>
      <c r="P143" s="24" t="str">
        <f t="shared" si="69"/>
        <v xml:space="preserve"> </v>
      </c>
      <c r="Q143" s="25" t="str">
        <f t="shared" si="70"/>
        <v xml:space="preserve"> </v>
      </c>
      <c r="R143" s="25" t="str">
        <f t="shared" si="71"/>
        <v xml:space="preserve"> </v>
      </c>
      <c r="S143" s="26" t="str">
        <f t="shared" si="72"/>
        <v xml:space="preserve"> </v>
      </c>
      <c r="T143" s="7" t="str">
        <f t="shared" si="73"/>
        <v xml:space="preserve"> </v>
      </c>
      <c r="U143" s="8" t="str">
        <f t="shared" si="74"/>
        <v xml:space="preserve"> </v>
      </c>
      <c r="V143" s="9" t="str">
        <f t="shared" si="66"/>
        <v xml:space="preserve"> </v>
      </c>
      <c r="W143" s="9" t="str">
        <f t="shared" si="75"/>
        <v/>
      </c>
      <c r="X143" s="32"/>
      <c r="Y143" s="36"/>
    </row>
    <row r="144" spans="1:25" s="4" customFormat="1" ht="18" customHeight="1">
      <c r="A144" s="36"/>
      <c r="B144" s="69">
        <v>104.01</v>
      </c>
      <c r="C144" s="69" t="s">
        <v>436</v>
      </c>
      <c r="D144" s="31" t="s">
        <v>776</v>
      </c>
      <c r="E144" s="29" t="s">
        <v>34</v>
      </c>
      <c r="F144" s="28">
        <v>0.49</v>
      </c>
      <c r="G144" s="29">
        <v>0.04</v>
      </c>
      <c r="H144" s="29">
        <v>-0.04</v>
      </c>
      <c r="I144" s="30" t="s">
        <v>39</v>
      </c>
      <c r="J144" s="12">
        <f t="shared" si="51"/>
        <v>0.53</v>
      </c>
      <c r="K144" s="12">
        <f t="shared" si="52"/>
        <v>0.45</v>
      </c>
      <c r="L144" s="78"/>
      <c r="M144" s="78"/>
      <c r="N144" s="78"/>
      <c r="O144" s="36"/>
      <c r="P144" s="24" t="str">
        <f t="shared" si="69"/>
        <v xml:space="preserve"> </v>
      </c>
      <c r="Q144" s="25" t="str">
        <f t="shared" si="70"/>
        <v xml:space="preserve"> </v>
      </c>
      <c r="R144" s="25" t="str">
        <f t="shared" si="71"/>
        <v xml:space="preserve"> </v>
      </c>
      <c r="S144" s="26" t="str">
        <f t="shared" si="72"/>
        <v xml:space="preserve"> </v>
      </c>
      <c r="T144" s="7" t="str">
        <f t="shared" si="73"/>
        <v xml:space="preserve"> </v>
      </c>
      <c r="U144" s="8" t="str">
        <f t="shared" si="74"/>
        <v xml:space="preserve"> </v>
      </c>
      <c r="V144" s="9" t="str">
        <f t="shared" si="66"/>
        <v xml:space="preserve"> </v>
      </c>
      <c r="W144" s="9" t="str">
        <f t="shared" si="75"/>
        <v/>
      </c>
      <c r="X144" s="32"/>
      <c r="Y144" s="36"/>
    </row>
    <row r="145" spans="1:25" s="4" customFormat="1" ht="18" customHeight="1">
      <c r="A145" s="36"/>
      <c r="B145" s="69">
        <v>104.02</v>
      </c>
      <c r="C145" s="69" t="s">
        <v>437</v>
      </c>
      <c r="D145" s="31" t="s">
        <v>776</v>
      </c>
      <c r="E145" s="29" t="s">
        <v>34</v>
      </c>
      <c r="F145" s="28">
        <v>0.49</v>
      </c>
      <c r="G145" s="29">
        <v>0.04</v>
      </c>
      <c r="H145" s="29">
        <v>-0.04</v>
      </c>
      <c r="I145" s="30" t="s">
        <v>39</v>
      </c>
      <c r="J145" s="12">
        <f t="shared" si="51"/>
        <v>0.53</v>
      </c>
      <c r="K145" s="12">
        <f t="shared" si="52"/>
        <v>0.45</v>
      </c>
      <c r="L145" s="78"/>
      <c r="M145" s="78"/>
      <c r="N145" s="78"/>
      <c r="O145" s="36"/>
      <c r="P145" s="24" t="str">
        <f t="shared" si="69"/>
        <v xml:space="preserve"> </v>
      </c>
      <c r="Q145" s="25" t="str">
        <f t="shared" si="70"/>
        <v xml:space="preserve"> </v>
      </c>
      <c r="R145" s="25" t="str">
        <f t="shared" si="71"/>
        <v xml:space="preserve"> </v>
      </c>
      <c r="S145" s="26" t="str">
        <f t="shared" si="72"/>
        <v xml:space="preserve"> </v>
      </c>
      <c r="T145" s="7" t="str">
        <f t="shared" si="73"/>
        <v xml:space="preserve"> </v>
      </c>
      <c r="U145" s="8" t="str">
        <f t="shared" si="74"/>
        <v xml:space="preserve"> </v>
      </c>
      <c r="V145" s="9" t="str">
        <f t="shared" si="66"/>
        <v xml:space="preserve"> </v>
      </c>
      <c r="W145" s="9" t="str">
        <f t="shared" si="75"/>
        <v/>
      </c>
      <c r="X145" s="32"/>
      <c r="Y145" s="36"/>
    </row>
    <row r="146" spans="1:25" s="4" customFormat="1" ht="18" customHeight="1">
      <c r="A146" s="36"/>
      <c r="B146" s="69">
        <v>105.01</v>
      </c>
      <c r="C146" s="69" t="s">
        <v>438</v>
      </c>
      <c r="D146" s="31" t="s">
        <v>709</v>
      </c>
      <c r="E146" s="29" t="s">
        <v>34</v>
      </c>
      <c r="F146" s="28">
        <v>0.48</v>
      </c>
      <c r="G146" s="29">
        <v>0.04</v>
      </c>
      <c r="H146" s="29">
        <v>-0.04</v>
      </c>
      <c r="I146" s="30" t="s">
        <v>39</v>
      </c>
      <c r="J146" s="12">
        <f t="shared" si="51"/>
        <v>0.52</v>
      </c>
      <c r="K146" s="12">
        <f t="shared" si="52"/>
        <v>0.44</v>
      </c>
      <c r="L146" s="78"/>
      <c r="M146" s="78"/>
      <c r="N146" s="78"/>
      <c r="O146" s="36"/>
      <c r="P146" s="24" t="str">
        <f t="shared" si="69"/>
        <v xml:space="preserve"> </v>
      </c>
      <c r="Q146" s="25" t="str">
        <f t="shared" si="70"/>
        <v xml:space="preserve"> </v>
      </c>
      <c r="R146" s="25" t="str">
        <f t="shared" si="71"/>
        <v xml:space="preserve"> </v>
      </c>
      <c r="S146" s="26" t="str">
        <f t="shared" si="72"/>
        <v xml:space="preserve"> </v>
      </c>
      <c r="T146" s="7" t="str">
        <f t="shared" si="73"/>
        <v xml:space="preserve"> </v>
      </c>
      <c r="U146" s="8" t="str">
        <f t="shared" si="74"/>
        <v xml:space="preserve"> </v>
      </c>
      <c r="V146" s="9" t="str">
        <f t="shared" si="66"/>
        <v xml:space="preserve"> </v>
      </c>
      <c r="W146" s="9" t="str">
        <f t="shared" si="75"/>
        <v/>
      </c>
      <c r="X146" s="32"/>
      <c r="Y146" s="36"/>
    </row>
    <row r="147" spans="1:25" s="4" customFormat="1" ht="18" customHeight="1">
      <c r="A147" s="36"/>
      <c r="B147" s="69">
        <v>105.02</v>
      </c>
      <c r="C147" s="69" t="s">
        <v>439</v>
      </c>
      <c r="D147" s="31" t="s">
        <v>709</v>
      </c>
      <c r="E147" s="29" t="s">
        <v>34</v>
      </c>
      <c r="F147" s="28">
        <v>0.48</v>
      </c>
      <c r="G147" s="29">
        <v>0.04</v>
      </c>
      <c r="H147" s="29">
        <v>-0.04</v>
      </c>
      <c r="I147" s="30" t="s">
        <v>39</v>
      </c>
      <c r="J147" s="12">
        <f t="shared" si="51"/>
        <v>0.52</v>
      </c>
      <c r="K147" s="12">
        <f t="shared" si="52"/>
        <v>0.44</v>
      </c>
      <c r="L147" s="78"/>
      <c r="M147" s="78"/>
      <c r="N147" s="78"/>
      <c r="O147" s="36"/>
      <c r="P147" s="24" t="str">
        <f t="shared" si="69"/>
        <v xml:space="preserve"> </v>
      </c>
      <c r="Q147" s="25" t="str">
        <f t="shared" si="70"/>
        <v xml:space="preserve"> </v>
      </c>
      <c r="R147" s="25" t="str">
        <f t="shared" si="71"/>
        <v xml:space="preserve"> </v>
      </c>
      <c r="S147" s="26" t="str">
        <f t="shared" si="72"/>
        <v xml:space="preserve"> </v>
      </c>
      <c r="T147" s="7" t="str">
        <f t="shared" si="73"/>
        <v xml:space="preserve"> </v>
      </c>
      <c r="U147" s="8" t="str">
        <f t="shared" si="74"/>
        <v xml:space="preserve"> </v>
      </c>
      <c r="V147" s="9" t="str">
        <f t="shared" si="66"/>
        <v xml:space="preserve"> </v>
      </c>
      <c r="W147" s="9" t="str">
        <f t="shared" si="75"/>
        <v/>
      </c>
      <c r="X147" s="32"/>
      <c r="Y147" s="36"/>
    </row>
    <row r="148" spans="1:25" s="4" customFormat="1" ht="18" customHeight="1">
      <c r="A148" s="36"/>
      <c r="B148" s="69">
        <v>106.01</v>
      </c>
      <c r="C148" s="69" t="s">
        <v>440</v>
      </c>
      <c r="D148" s="31" t="s">
        <v>776</v>
      </c>
      <c r="E148" s="29" t="s">
        <v>34</v>
      </c>
      <c r="F148" s="28">
        <v>0.48</v>
      </c>
      <c r="G148" s="29">
        <v>0.04</v>
      </c>
      <c r="H148" s="29">
        <v>-0.04</v>
      </c>
      <c r="I148" s="30" t="s">
        <v>39</v>
      </c>
      <c r="J148" s="12">
        <f t="shared" si="51"/>
        <v>0.52</v>
      </c>
      <c r="K148" s="12">
        <f t="shared" si="52"/>
        <v>0.44</v>
      </c>
      <c r="L148" s="78"/>
      <c r="M148" s="78"/>
      <c r="N148" s="78"/>
      <c r="O148" s="36"/>
      <c r="P148" s="24" t="str">
        <f t="shared" si="69"/>
        <v xml:space="preserve"> </v>
      </c>
      <c r="Q148" s="25" t="str">
        <f t="shared" si="70"/>
        <v xml:space="preserve"> </v>
      </c>
      <c r="R148" s="25" t="str">
        <f t="shared" si="71"/>
        <v xml:space="preserve"> </v>
      </c>
      <c r="S148" s="26" t="str">
        <f t="shared" si="72"/>
        <v xml:space="preserve"> </v>
      </c>
      <c r="T148" s="7" t="str">
        <f t="shared" si="73"/>
        <v xml:space="preserve"> </v>
      </c>
      <c r="U148" s="8" t="str">
        <f t="shared" si="74"/>
        <v xml:space="preserve"> </v>
      </c>
      <c r="V148" s="9" t="str">
        <f t="shared" si="66"/>
        <v xml:space="preserve"> </v>
      </c>
      <c r="W148" s="9" t="str">
        <f t="shared" si="75"/>
        <v/>
      </c>
      <c r="X148" s="32"/>
      <c r="Y148" s="36"/>
    </row>
    <row r="149" spans="1:25" s="4" customFormat="1" ht="18" customHeight="1">
      <c r="A149" s="36"/>
      <c r="B149" s="69">
        <v>106.02</v>
      </c>
      <c r="C149" s="69" t="s">
        <v>441</v>
      </c>
      <c r="D149" s="31" t="s">
        <v>776</v>
      </c>
      <c r="E149" s="29" t="s">
        <v>34</v>
      </c>
      <c r="F149" s="28">
        <v>0.48</v>
      </c>
      <c r="G149" s="29">
        <v>0.04</v>
      </c>
      <c r="H149" s="29">
        <v>-0.04</v>
      </c>
      <c r="I149" s="30" t="s">
        <v>39</v>
      </c>
      <c r="J149" s="12">
        <f t="shared" si="51"/>
        <v>0.52</v>
      </c>
      <c r="K149" s="12">
        <f t="shared" si="52"/>
        <v>0.44</v>
      </c>
      <c r="L149" s="78"/>
      <c r="M149" s="78"/>
      <c r="N149" s="78"/>
      <c r="O149" s="36"/>
      <c r="P149" s="24" t="str">
        <f t="shared" si="69"/>
        <v xml:space="preserve"> </v>
      </c>
      <c r="Q149" s="25" t="str">
        <f t="shared" si="70"/>
        <v xml:space="preserve"> </v>
      </c>
      <c r="R149" s="25" t="str">
        <f t="shared" si="71"/>
        <v xml:space="preserve"> </v>
      </c>
      <c r="S149" s="26" t="str">
        <f t="shared" si="72"/>
        <v xml:space="preserve"> </v>
      </c>
      <c r="T149" s="7" t="str">
        <f t="shared" si="73"/>
        <v xml:space="preserve"> </v>
      </c>
      <c r="U149" s="8" t="str">
        <f t="shared" si="74"/>
        <v xml:space="preserve"> </v>
      </c>
      <c r="V149" s="9" t="str">
        <f t="shared" si="66"/>
        <v xml:space="preserve"> </v>
      </c>
      <c r="W149" s="9" t="str">
        <f t="shared" si="75"/>
        <v/>
      </c>
      <c r="X149" s="32"/>
      <c r="Y149" s="36"/>
    </row>
    <row r="150" spans="1:25" s="4" customFormat="1" ht="18" customHeight="1">
      <c r="A150" s="36"/>
      <c r="B150" s="69">
        <v>107.01</v>
      </c>
      <c r="C150" s="69" t="s">
        <v>442</v>
      </c>
      <c r="D150" s="31" t="s">
        <v>775</v>
      </c>
      <c r="E150" s="29" t="s">
        <v>34</v>
      </c>
      <c r="F150" s="28">
        <v>0.49</v>
      </c>
      <c r="G150" s="29">
        <v>0.04</v>
      </c>
      <c r="H150" s="29">
        <v>-0.04</v>
      </c>
      <c r="I150" s="30" t="s">
        <v>39</v>
      </c>
      <c r="J150" s="12">
        <f t="shared" si="51"/>
        <v>0.53</v>
      </c>
      <c r="K150" s="12">
        <f t="shared" si="52"/>
        <v>0.45</v>
      </c>
      <c r="L150" s="78"/>
      <c r="M150" s="78"/>
      <c r="N150" s="78"/>
      <c r="O150" s="36"/>
      <c r="P150" s="24" t="str">
        <f t="shared" si="69"/>
        <v xml:space="preserve"> </v>
      </c>
      <c r="Q150" s="25" t="str">
        <f t="shared" si="70"/>
        <v xml:space="preserve"> </v>
      </c>
      <c r="R150" s="25" t="str">
        <f t="shared" si="71"/>
        <v xml:space="preserve"> </v>
      </c>
      <c r="S150" s="26" t="str">
        <f t="shared" si="72"/>
        <v xml:space="preserve"> </v>
      </c>
      <c r="T150" s="7" t="str">
        <f t="shared" si="73"/>
        <v xml:space="preserve"> </v>
      </c>
      <c r="U150" s="8" t="str">
        <f t="shared" si="74"/>
        <v xml:space="preserve"> </v>
      </c>
      <c r="V150" s="9" t="str">
        <f t="shared" si="66"/>
        <v xml:space="preserve"> </v>
      </c>
      <c r="W150" s="9" t="str">
        <f t="shared" si="75"/>
        <v/>
      </c>
      <c r="X150" s="32"/>
      <c r="Y150" s="36"/>
    </row>
    <row r="151" spans="1:25" s="4" customFormat="1" ht="18" customHeight="1">
      <c r="A151" s="36"/>
      <c r="B151" s="69">
        <v>107.02</v>
      </c>
      <c r="C151" s="69" t="s">
        <v>443</v>
      </c>
      <c r="D151" s="31" t="s">
        <v>775</v>
      </c>
      <c r="E151" s="29" t="s">
        <v>34</v>
      </c>
      <c r="F151" s="28">
        <v>0.49</v>
      </c>
      <c r="G151" s="29">
        <v>0.04</v>
      </c>
      <c r="H151" s="29">
        <v>-0.04</v>
      </c>
      <c r="I151" s="30" t="s">
        <v>39</v>
      </c>
      <c r="J151" s="12">
        <f t="shared" si="51"/>
        <v>0.53</v>
      </c>
      <c r="K151" s="12">
        <f t="shared" si="52"/>
        <v>0.45</v>
      </c>
      <c r="L151" s="78"/>
      <c r="M151" s="78"/>
      <c r="N151" s="78"/>
      <c r="O151" s="36"/>
      <c r="P151" s="24" t="str">
        <f t="shared" si="69"/>
        <v xml:space="preserve"> </v>
      </c>
      <c r="Q151" s="25" t="str">
        <f t="shared" si="70"/>
        <v xml:space="preserve"> </v>
      </c>
      <c r="R151" s="25" t="str">
        <f t="shared" si="71"/>
        <v xml:space="preserve"> </v>
      </c>
      <c r="S151" s="26" t="str">
        <f t="shared" si="72"/>
        <v xml:space="preserve"> </v>
      </c>
      <c r="T151" s="7" t="str">
        <f t="shared" si="73"/>
        <v xml:space="preserve"> </v>
      </c>
      <c r="U151" s="8" t="str">
        <f t="shared" si="74"/>
        <v xml:space="preserve"> </v>
      </c>
      <c r="V151" s="9" t="str">
        <f t="shared" si="66"/>
        <v xml:space="preserve"> </v>
      </c>
      <c r="W151" s="9" t="str">
        <f t="shared" si="75"/>
        <v/>
      </c>
      <c r="X151" s="32"/>
      <c r="Y151" s="36"/>
    </row>
    <row r="152" spans="1:25" s="4" customFormat="1" ht="18" customHeight="1">
      <c r="A152" s="36"/>
      <c r="B152" s="69">
        <v>108.01</v>
      </c>
      <c r="C152" s="69" t="s">
        <v>444</v>
      </c>
      <c r="D152" s="31" t="s">
        <v>709</v>
      </c>
      <c r="E152" s="29" t="s">
        <v>34</v>
      </c>
      <c r="F152" s="28">
        <v>0.49</v>
      </c>
      <c r="G152" s="29">
        <v>0.04</v>
      </c>
      <c r="H152" s="29">
        <v>-0.04</v>
      </c>
      <c r="I152" s="30" t="s">
        <v>39</v>
      </c>
      <c r="J152" s="12">
        <f t="shared" si="51"/>
        <v>0.53</v>
      </c>
      <c r="K152" s="12">
        <f t="shared" si="52"/>
        <v>0.45</v>
      </c>
      <c r="L152" s="78"/>
      <c r="M152" s="78"/>
      <c r="N152" s="78"/>
      <c r="O152" s="36"/>
      <c r="P152" s="24" t="str">
        <f t="shared" si="69"/>
        <v xml:space="preserve"> </v>
      </c>
      <c r="Q152" s="25" t="str">
        <f t="shared" si="70"/>
        <v xml:space="preserve"> </v>
      </c>
      <c r="R152" s="25" t="str">
        <f t="shared" si="71"/>
        <v xml:space="preserve"> </v>
      </c>
      <c r="S152" s="26" t="str">
        <f t="shared" si="72"/>
        <v xml:space="preserve"> </v>
      </c>
      <c r="T152" s="7" t="str">
        <f t="shared" si="73"/>
        <v xml:space="preserve"> </v>
      </c>
      <c r="U152" s="8" t="str">
        <f t="shared" si="74"/>
        <v xml:space="preserve"> </v>
      </c>
      <c r="V152" s="9" t="str">
        <f t="shared" si="66"/>
        <v xml:space="preserve"> </v>
      </c>
      <c r="W152" s="9" t="str">
        <f t="shared" si="75"/>
        <v/>
      </c>
      <c r="X152" s="32"/>
      <c r="Y152" s="36"/>
    </row>
    <row r="153" spans="1:25" s="4" customFormat="1" ht="18" customHeight="1">
      <c r="A153" s="36"/>
      <c r="B153" s="69">
        <v>108.02</v>
      </c>
      <c r="C153" s="69" t="s">
        <v>445</v>
      </c>
      <c r="D153" s="31" t="s">
        <v>709</v>
      </c>
      <c r="E153" s="29" t="s">
        <v>34</v>
      </c>
      <c r="F153" s="28">
        <v>0.49</v>
      </c>
      <c r="G153" s="29">
        <v>0.04</v>
      </c>
      <c r="H153" s="29">
        <v>-0.04</v>
      </c>
      <c r="I153" s="30" t="s">
        <v>39</v>
      </c>
      <c r="J153" s="12">
        <f t="shared" si="51"/>
        <v>0.53</v>
      </c>
      <c r="K153" s="12">
        <f t="shared" si="52"/>
        <v>0.45</v>
      </c>
      <c r="L153" s="78"/>
      <c r="M153" s="78"/>
      <c r="N153" s="78"/>
      <c r="O153" s="36"/>
      <c r="P153" s="24" t="str">
        <f t="shared" si="69"/>
        <v xml:space="preserve"> </v>
      </c>
      <c r="Q153" s="25" t="str">
        <f t="shared" si="70"/>
        <v xml:space="preserve"> </v>
      </c>
      <c r="R153" s="25" t="str">
        <f t="shared" si="71"/>
        <v xml:space="preserve"> </v>
      </c>
      <c r="S153" s="26" t="str">
        <f t="shared" si="72"/>
        <v xml:space="preserve"> </v>
      </c>
      <c r="T153" s="7" t="str">
        <f t="shared" si="73"/>
        <v xml:space="preserve"> </v>
      </c>
      <c r="U153" s="8" t="str">
        <f t="shared" si="74"/>
        <v xml:space="preserve"> </v>
      </c>
      <c r="V153" s="9" t="str">
        <f t="shared" si="66"/>
        <v xml:space="preserve"> </v>
      </c>
      <c r="W153" s="9" t="str">
        <f t="shared" si="75"/>
        <v/>
      </c>
      <c r="X153" s="32"/>
      <c r="Y153" s="36"/>
    </row>
    <row r="154" spans="1:25" s="4" customFormat="1" ht="18" customHeight="1">
      <c r="A154" s="36"/>
      <c r="B154" s="69">
        <v>109.01</v>
      </c>
      <c r="C154" s="69" t="s">
        <v>446</v>
      </c>
      <c r="D154" s="31" t="s">
        <v>775</v>
      </c>
      <c r="E154" s="29" t="s">
        <v>34</v>
      </c>
      <c r="F154" s="28">
        <v>0.47</v>
      </c>
      <c r="G154" s="29">
        <v>0.04</v>
      </c>
      <c r="H154" s="29">
        <v>-0.04</v>
      </c>
      <c r="I154" s="30" t="s">
        <v>39</v>
      </c>
      <c r="J154" s="12">
        <f t="shared" si="51"/>
        <v>0.51</v>
      </c>
      <c r="K154" s="12">
        <f t="shared" si="52"/>
        <v>0.43</v>
      </c>
      <c r="L154" s="78"/>
      <c r="M154" s="78"/>
      <c r="N154" s="78"/>
      <c r="O154" s="36"/>
      <c r="P154" s="24" t="str">
        <f t="shared" si="69"/>
        <v xml:space="preserve"> </v>
      </c>
      <c r="Q154" s="25" t="str">
        <f t="shared" si="70"/>
        <v xml:space="preserve"> </v>
      </c>
      <c r="R154" s="25" t="str">
        <f t="shared" si="71"/>
        <v xml:space="preserve"> </v>
      </c>
      <c r="S154" s="26" t="str">
        <f t="shared" si="72"/>
        <v xml:space="preserve"> </v>
      </c>
      <c r="T154" s="7" t="str">
        <f t="shared" si="73"/>
        <v xml:space="preserve"> </v>
      </c>
      <c r="U154" s="8" t="str">
        <f t="shared" si="74"/>
        <v xml:space="preserve"> </v>
      </c>
      <c r="V154" s="9" t="str">
        <f t="shared" si="66"/>
        <v xml:space="preserve"> </v>
      </c>
      <c r="W154" s="9" t="str">
        <f t="shared" si="75"/>
        <v/>
      </c>
      <c r="X154" s="32"/>
      <c r="Y154" s="36"/>
    </row>
    <row r="155" spans="1:25" s="4" customFormat="1" ht="18" customHeight="1">
      <c r="A155" s="36"/>
      <c r="B155" s="69">
        <v>109.02</v>
      </c>
      <c r="C155" s="69" t="s">
        <v>447</v>
      </c>
      <c r="D155" s="31" t="s">
        <v>775</v>
      </c>
      <c r="E155" s="29" t="s">
        <v>34</v>
      </c>
      <c r="F155" s="28">
        <v>0.47</v>
      </c>
      <c r="G155" s="29">
        <v>0.04</v>
      </c>
      <c r="H155" s="29">
        <v>-0.04</v>
      </c>
      <c r="I155" s="30" t="s">
        <v>39</v>
      </c>
      <c r="J155" s="12">
        <f t="shared" si="51"/>
        <v>0.51</v>
      </c>
      <c r="K155" s="12">
        <f t="shared" si="52"/>
        <v>0.43</v>
      </c>
      <c r="L155" s="78"/>
      <c r="M155" s="78"/>
      <c r="N155" s="78"/>
      <c r="O155" s="36"/>
      <c r="P155" s="24" t="str">
        <f t="shared" si="69"/>
        <v xml:space="preserve"> </v>
      </c>
      <c r="Q155" s="25" t="str">
        <f t="shared" si="70"/>
        <v xml:space="preserve"> </v>
      </c>
      <c r="R155" s="25" t="str">
        <f t="shared" si="71"/>
        <v xml:space="preserve"> </v>
      </c>
      <c r="S155" s="26" t="str">
        <f t="shared" si="72"/>
        <v xml:space="preserve"> </v>
      </c>
      <c r="T155" s="7" t="str">
        <f t="shared" si="73"/>
        <v xml:space="preserve"> </v>
      </c>
      <c r="U155" s="8" t="str">
        <f t="shared" si="74"/>
        <v xml:space="preserve"> </v>
      </c>
      <c r="V155" s="9" t="str">
        <f t="shared" si="66"/>
        <v xml:space="preserve"> </v>
      </c>
      <c r="W155" s="9" t="str">
        <f t="shared" si="75"/>
        <v/>
      </c>
      <c r="X155" s="32"/>
      <c r="Y155" s="36"/>
    </row>
    <row r="156" spans="1:25" s="4" customFormat="1" ht="18" customHeight="1">
      <c r="A156" s="36"/>
      <c r="B156" s="69">
        <v>110.01</v>
      </c>
      <c r="C156" s="69" t="s">
        <v>448</v>
      </c>
      <c r="D156" s="31" t="s">
        <v>709</v>
      </c>
      <c r="E156" s="29" t="s">
        <v>34</v>
      </c>
      <c r="F156" s="28">
        <v>0.48</v>
      </c>
      <c r="G156" s="29">
        <v>0.04</v>
      </c>
      <c r="H156" s="29">
        <v>-0.04</v>
      </c>
      <c r="I156" s="30" t="s">
        <v>39</v>
      </c>
      <c r="J156" s="12">
        <f t="shared" si="51"/>
        <v>0.52</v>
      </c>
      <c r="K156" s="12">
        <f t="shared" si="52"/>
        <v>0.44</v>
      </c>
      <c r="L156" s="78"/>
      <c r="M156" s="78"/>
      <c r="N156" s="78"/>
      <c r="O156" s="36"/>
      <c r="P156" s="24" t="str">
        <f t="shared" si="69"/>
        <v xml:space="preserve"> </v>
      </c>
      <c r="Q156" s="25" t="str">
        <f t="shared" si="70"/>
        <v xml:space="preserve"> </v>
      </c>
      <c r="R156" s="25" t="str">
        <f t="shared" si="71"/>
        <v xml:space="preserve"> </v>
      </c>
      <c r="S156" s="26" t="str">
        <f t="shared" si="72"/>
        <v xml:space="preserve"> </v>
      </c>
      <c r="T156" s="7" t="str">
        <f t="shared" si="73"/>
        <v xml:space="preserve"> </v>
      </c>
      <c r="U156" s="8" t="str">
        <f t="shared" si="74"/>
        <v xml:space="preserve"> </v>
      </c>
      <c r="V156" s="9" t="str">
        <f t="shared" si="66"/>
        <v xml:space="preserve"> </v>
      </c>
      <c r="W156" s="9" t="str">
        <f t="shared" si="75"/>
        <v/>
      </c>
      <c r="X156" s="32"/>
      <c r="Y156" s="36"/>
    </row>
    <row r="157" spans="1:25" s="4" customFormat="1" ht="18" customHeight="1">
      <c r="A157" s="36"/>
      <c r="B157" s="69">
        <v>110.02</v>
      </c>
      <c r="C157" s="69" t="s">
        <v>449</v>
      </c>
      <c r="D157" s="31" t="s">
        <v>709</v>
      </c>
      <c r="E157" s="29" t="s">
        <v>34</v>
      </c>
      <c r="F157" s="28">
        <v>0.48</v>
      </c>
      <c r="G157" s="29">
        <v>0.04</v>
      </c>
      <c r="H157" s="29">
        <v>-0.04</v>
      </c>
      <c r="I157" s="30" t="s">
        <v>39</v>
      </c>
      <c r="J157" s="12">
        <f t="shared" si="51"/>
        <v>0.52</v>
      </c>
      <c r="K157" s="12">
        <f t="shared" si="52"/>
        <v>0.44</v>
      </c>
      <c r="L157" s="78"/>
      <c r="M157" s="78"/>
      <c r="N157" s="78"/>
      <c r="O157" s="36"/>
      <c r="P157" s="24" t="str">
        <f t="shared" si="69"/>
        <v xml:space="preserve"> </v>
      </c>
      <c r="Q157" s="25" t="str">
        <f t="shared" si="70"/>
        <v xml:space="preserve"> </v>
      </c>
      <c r="R157" s="25" t="str">
        <f t="shared" si="71"/>
        <v xml:space="preserve"> </v>
      </c>
      <c r="S157" s="26" t="str">
        <f t="shared" si="72"/>
        <v xml:space="preserve"> </v>
      </c>
      <c r="T157" s="7" t="str">
        <f t="shared" si="73"/>
        <v xml:space="preserve"> </v>
      </c>
      <c r="U157" s="8" t="str">
        <f t="shared" si="74"/>
        <v xml:space="preserve"> </v>
      </c>
      <c r="V157" s="9" t="str">
        <f t="shared" si="66"/>
        <v xml:space="preserve"> </v>
      </c>
      <c r="W157" s="9" t="str">
        <f t="shared" si="75"/>
        <v/>
      </c>
      <c r="X157" s="32"/>
      <c r="Y157" s="36"/>
    </row>
    <row r="158" spans="1:25" s="4" customFormat="1" ht="18" customHeight="1">
      <c r="A158" s="36"/>
      <c r="B158" s="69">
        <v>111.01</v>
      </c>
      <c r="C158" s="69" t="s">
        <v>450</v>
      </c>
      <c r="D158" s="31" t="s">
        <v>709</v>
      </c>
      <c r="E158" s="29" t="s">
        <v>34</v>
      </c>
      <c r="F158" s="28">
        <v>0.47</v>
      </c>
      <c r="G158" s="29">
        <v>0.04</v>
      </c>
      <c r="H158" s="29">
        <v>-0.04</v>
      </c>
      <c r="I158" s="30" t="s">
        <v>39</v>
      </c>
      <c r="J158" s="12">
        <f t="shared" si="51"/>
        <v>0.51</v>
      </c>
      <c r="K158" s="12">
        <f t="shared" si="52"/>
        <v>0.43</v>
      </c>
      <c r="L158" s="78"/>
      <c r="M158" s="78"/>
      <c r="N158" s="78"/>
      <c r="O158" s="36"/>
      <c r="P158" s="24" t="str">
        <f t="shared" si="69"/>
        <v xml:space="preserve"> </v>
      </c>
      <c r="Q158" s="25" t="str">
        <f t="shared" si="70"/>
        <v xml:space="preserve"> </v>
      </c>
      <c r="R158" s="25" t="str">
        <f t="shared" si="71"/>
        <v xml:space="preserve"> </v>
      </c>
      <c r="S158" s="26" t="str">
        <f t="shared" si="72"/>
        <v xml:space="preserve"> </v>
      </c>
      <c r="T158" s="7" t="str">
        <f t="shared" si="73"/>
        <v xml:space="preserve"> </v>
      </c>
      <c r="U158" s="8" t="str">
        <f t="shared" si="74"/>
        <v xml:space="preserve"> </v>
      </c>
      <c r="V158" s="9" t="str">
        <f t="shared" si="66"/>
        <v xml:space="preserve"> </v>
      </c>
      <c r="W158" s="9" t="str">
        <f t="shared" si="75"/>
        <v/>
      </c>
      <c r="X158" s="32"/>
      <c r="Y158" s="36"/>
    </row>
    <row r="159" spans="1:25" s="4" customFormat="1" ht="18" customHeight="1">
      <c r="A159" s="36"/>
      <c r="B159" s="69">
        <v>111.02</v>
      </c>
      <c r="C159" s="69" t="s">
        <v>451</v>
      </c>
      <c r="D159" s="31" t="s">
        <v>709</v>
      </c>
      <c r="E159" s="29" t="s">
        <v>34</v>
      </c>
      <c r="F159" s="28">
        <v>0.47</v>
      </c>
      <c r="G159" s="29">
        <v>0.04</v>
      </c>
      <c r="H159" s="29">
        <v>-0.04</v>
      </c>
      <c r="I159" s="30" t="s">
        <v>39</v>
      </c>
      <c r="J159" s="12">
        <f t="shared" si="51"/>
        <v>0.51</v>
      </c>
      <c r="K159" s="12">
        <f t="shared" si="52"/>
        <v>0.43</v>
      </c>
      <c r="L159" s="78"/>
      <c r="M159" s="78"/>
      <c r="N159" s="78"/>
      <c r="O159" s="36"/>
      <c r="P159" s="24" t="str">
        <f t="shared" si="69"/>
        <v xml:space="preserve"> </v>
      </c>
      <c r="Q159" s="25" t="str">
        <f t="shared" si="70"/>
        <v xml:space="preserve"> </v>
      </c>
      <c r="R159" s="25" t="str">
        <f t="shared" si="71"/>
        <v xml:space="preserve"> </v>
      </c>
      <c r="S159" s="26" t="str">
        <f t="shared" si="72"/>
        <v xml:space="preserve"> </v>
      </c>
      <c r="T159" s="7" t="str">
        <f t="shared" si="73"/>
        <v xml:space="preserve"> </v>
      </c>
      <c r="U159" s="8" t="str">
        <f t="shared" si="74"/>
        <v xml:space="preserve"> </v>
      </c>
      <c r="V159" s="9" t="str">
        <f t="shared" si="66"/>
        <v xml:space="preserve"> </v>
      </c>
      <c r="W159" s="9" t="str">
        <f t="shared" si="75"/>
        <v/>
      </c>
      <c r="X159" s="32"/>
      <c r="Y159" s="36"/>
    </row>
    <row r="160" spans="1:25" s="4" customFormat="1" ht="18" customHeight="1">
      <c r="A160" s="36"/>
      <c r="B160" s="69">
        <v>112.01</v>
      </c>
      <c r="C160" s="69" t="s">
        <v>452</v>
      </c>
      <c r="D160" s="31" t="s">
        <v>709</v>
      </c>
      <c r="E160" s="29" t="s">
        <v>34</v>
      </c>
      <c r="F160" s="28">
        <v>0.46</v>
      </c>
      <c r="G160" s="29">
        <v>0.04</v>
      </c>
      <c r="H160" s="29">
        <v>-0.04</v>
      </c>
      <c r="I160" s="30" t="s">
        <v>39</v>
      </c>
      <c r="J160" s="12">
        <f t="shared" si="51"/>
        <v>0.5</v>
      </c>
      <c r="K160" s="12">
        <f t="shared" si="52"/>
        <v>0.42000000000000004</v>
      </c>
      <c r="L160" s="78"/>
      <c r="M160" s="78"/>
      <c r="N160" s="78"/>
      <c r="O160" s="36"/>
      <c r="P160" s="24" t="str">
        <f t="shared" si="69"/>
        <v xml:space="preserve"> </v>
      </c>
      <c r="Q160" s="25" t="str">
        <f t="shared" si="70"/>
        <v xml:space="preserve"> </v>
      </c>
      <c r="R160" s="25" t="str">
        <f t="shared" si="71"/>
        <v xml:space="preserve"> </v>
      </c>
      <c r="S160" s="26" t="str">
        <f t="shared" si="72"/>
        <v xml:space="preserve"> </v>
      </c>
      <c r="T160" s="7" t="str">
        <f t="shared" si="73"/>
        <v xml:space="preserve"> </v>
      </c>
      <c r="U160" s="8" t="str">
        <f t="shared" si="74"/>
        <v xml:space="preserve"> </v>
      </c>
      <c r="V160" s="9" t="str">
        <f t="shared" si="66"/>
        <v xml:space="preserve"> </v>
      </c>
      <c r="W160" s="9" t="str">
        <f t="shared" si="75"/>
        <v/>
      </c>
      <c r="X160" s="32"/>
      <c r="Y160" s="36"/>
    </row>
    <row r="161" spans="1:25" s="4" customFormat="1" ht="18" customHeight="1">
      <c r="A161" s="36"/>
      <c r="B161" s="69">
        <v>112.02</v>
      </c>
      <c r="C161" s="69" t="s">
        <v>453</v>
      </c>
      <c r="D161" s="31" t="s">
        <v>709</v>
      </c>
      <c r="E161" s="29" t="s">
        <v>34</v>
      </c>
      <c r="F161" s="28">
        <v>0.46</v>
      </c>
      <c r="G161" s="29">
        <v>0.04</v>
      </c>
      <c r="H161" s="29">
        <v>-0.04</v>
      </c>
      <c r="I161" s="30" t="s">
        <v>39</v>
      </c>
      <c r="J161" s="12">
        <f t="shared" si="51"/>
        <v>0.5</v>
      </c>
      <c r="K161" s="12">
        <f t="shared" si="52"/>
        <v>0.42000000000000004</v>
      </c>
      <c r="L161" s="78"/>
      <c r="M161" s="78"/>
      <c r="N161" s="78"/>
      <c r="O161" s="36"/>
      <c r="P161" s="24" t="str">
        <f t="shared" si="69"/>
        <v xml:space="preserve"> </v>
      </c>
      <c r="Q161" s="25" t="str">
        <f t="shared" si="70"/>
        <v xml:space="preserve"> </v>
      </c>
      <c r="R161" s="25" t="str">
        <f t="shared" si="71"/>
        <v xml:space="preserve"> </v>
      </c>
      <c r="S161" s="26" t="str">
        <f t="shared" si="72"/>
        <v xml:space="preserve"> </v>
      </c>
      <c r="T161" s="7" t="str">
        <f t="shared" si="73"/>
        <v xml:space="preserve"> </v>
      </c>
      <c r="U161" s="8" t="str">
        <f t="shared" si="74"/>
        <v xml:space="preserve"> </v>
      </c>
      <c r="V161" s="9" t="str">
        <f t="shared" si="66"/>
        <v xml:space="preserve"> </v>
      </c>
      <c r="W161" s="9" t="str">
        <f t="shared" si="75"/>
        <v/>
      </c>
      <c r="X161" s="32"/>
      <c r="Y161" s="36"/>
    </row>
    <row r="162" spans="1:25" s="4" customFormat="1" ht="18" customHeight="1">
      <c r="A162" s="36"/>
      <c r="B162" s="69">
        <v>113.01</v>
      </c>
      <c r="C162" s="69" t="s">
        <v>454</v>
      </c>
      <c r="D162" s="31" t="s">
        <v>775</v>
      </c>
      <c r="E162" s="29" t="s">
        <v>34</v>
      </c>
      <c r="F162" s="28">
        <v>0.46</v>
      </c>
      <c r="G162" s="29">
        <v>0.04</v>
      </c>
      <c r="H162" s="29">
        <v>-0.04</v>
      </c>
      <c r="I162" s="30" t="s">
        <v>39</v>
      </c>
      <c r="J162" s="12">
        <f t="shared" si="51"/>
        <v>0.5</v>
      </c>
      <c r="K162" s="12">
        <f t="shared" si="52"/>
        <v>0.42000000000000004</v>
      </c>
      <c r="L162" s="78"/>
      <c r="M162" s="78"/>
      <c r="N162" s="78"/>
      <c r="O162" s="36"/>
      <c r="P162" s="24" t="str">
        <f t="shared" si="69"/>
        <v xml:space="preserve"> </v>
      </c>
      <c r="Q162" s="25" t="str">
        <f t="shared" si="70"/>
        <v xml:space="preserve"> </v>
      </c>
      <c r="R162" s="25" t="str">
        <f t="shared" si="71"/>
        <v xml:space="preserve"> </v>
      </c>
      <c r="S162" s="26" t="str">
        <f t="shared" si="72"/>
        <v xml:space="preserve"> </v>
      </c>
      <c r="T162" s="7" t="str">
        <f t="shared" si="73"/>
        <v xml:space="preserve"> </v>
      </c>
      <c r="U162" s="8" t="str">
        <f t="shared" si="74"/>
        <v xml:space="preserve"> </v>
      </c>
      <c r="V162" s="9" t="str">
        <f t="shared" si="66"/>
        <v xml:space="preserve"> </v>
      </c>
      <c r="W162" s="9" t="str">
        <f t="shared" si="75"/>
        <v/>
      </c>
      <c r="X162" s="32"/>
      <c r="Y162" s="36"/>
    </row>
    <row r="163" spans="1:25" s="4" customFormat="1" ht="18" customHeight="1">
      <c r="A163" s="36"/>
      <c r="B163" s="69">
        <v>113.02</v>
      </c>
      <c r="C163" s="69" t="s">
        <v>455</v>
      </c>
      <c r="D163" s="31" t="s">
        <v>775</v>
      </c>
      <c r="E163" s="29" t="s">
        <v>34</v>
      </c>
      <c r="F163" s="28">
        <v>0.46</v>
      </c>
      <c r="G163" s="29">
        <v>0.04</v>
      </c>
      <c r="H163" s="29">
        <v>-0.04</v>
      </c>
      <c r="I163" s="30" t="s">
        <v>39</v>
      </c>
      <c r="J163" s="12">
        <f t="shared" si="51"/>
        <v>0.5</v>
      </c>
      <c r="K163" s="12">
        <f t="shared" si="52"/>
        <v>0.42000000000000004</v>
      </c>
      <c r="L163" s="78"/>
      <c r="M163" s="78"/>
      <c r="N163" s="78"/>
      <c r="O163" s="36"/>
      <c r="P163" s="24" t="str">
        <f t="shared" si="69"/>
        <v xml:space="preserve"> </v>
      </c>
      <c r="Q163" s="25" t="str">
        <f t="shared" si="70"/>
        <v xml:space="preserve"> </v>
      </c>
      <c r="R163" s="25" t="str">
        <f t="shared" si="71"/>
        <v xml:space="preserve"> </v>
      </c>
      <c r="S163" s="26" t="str">
        <f t="shared" si="72"/>
        <v xml:space="preserve"> </v>
      </c>
      <c r="T163" s="7" t="str">
        <f t="shared" si="73"/>
        <v xml:space="preserve"> </v>
      </c>
      <c r="U163" s="8" t="str">
        <f t="shared" si="74"/>
        <v xml:space="preserve"> </v>
      </c>
      <c r="V163" s="9" t="str">
        <f t="shared" si="66"/>
        <v xml:space="preserve"> </v>
      </c>
      <c r="W163" s="9" t="str">
        <f t="shared" si="75"/>
        <v/>
      </c>
      <c r="X163" s="32"/>
      <c r="Y163" s="36"/>
    </row>
    <row r="164" spans="1:25" s="4" customFormat="1" ht="18" customHeight="1">
      <c r="A164" s="36"/>
      <c r="B164" s="69">
        <v>114.01</v>
      </c>
      <c r="C164" s="69" t="s">
        <v>456</v>
      </c>
      <c r="D164" s="31" t="s">
        <v>775</v>
      </c>
      <c r="E164" s="29" t="s">
        <v>34</v>
      </c>
      <c r="F164" s="28">
        <v>0.45</v>
      </c>
      <c r="G164" s="29">
        <v>0.04</v>
      </c>
      <c r="H164" s="29">
        <v>-0.04</v>
      </c>
      <c r="I164" s="30" t="s">
        <v>39</v>
      </c>
      <c r="J164" s="12">
        <f t="shared" si="51"/>
        <v>0.49</v>
      </c>
      <c r="K164" s="12">
        <f t="shared" si="52"/>
        <v>0.41000000000000003</v>
      </c>
      <c r="L164" s="78"/>
      <c r="M164" s="78"/>
      <c r="N164" s="78"/>
      <c r="O164" s="36"/>
      <c r="P164" s="24" t="str">
        <f t="shared" si="69"/>
        <v xml:space="preserve"> </v>
      </c>
      <c r="Q164" s="25" t="str">
        <f t="shared" si="70"/>
        <v xml:space="preserve"> </v>
      </c>
      <c r="R164" s="25" t="str">
        <f t="shared" si="71"/>
        <v xml:space="preserve"> </v>
      </c>
      <c r="S164" s="26" t="str">
        <f t="shared" si="72"/>
        <v xml:space="preserve"> </v>
      </c>
      <c r="T164" s="7" t="str">
        <f t="shared" si="73"/>
        <v xml:space="preserve"> </v>
      </c>
      <c r="U164" s="8" t="str">
        <f t="shared" si="74"/>
        <v xml:space="preserve"> </v>
      </c>
      <c r="V164" s="9" t="str">
        <f t="shared" si="66"/>
        <v xml:space="preserve"> </v>
      </c>
      <c r="W164" s="9" t="str">
        <f t="shared" si="75"/>
        <v/>
      </c>
      <c r="X164" s="32"/>
      <c r="Y164" s="36"/>
    </row>
    <row r="165" spans="1:25" s="4" customFormat="1" ht="18" customHeight="1">
      <c r="A165" s="36"/>
      <c r="B165" s="69">
        <v>114.02</v>
      </c>
      <c r="C165" s="69" t="s">
        <v>457</v>
      </c>
      <c r="D165" s="31" t="s">
        <v>775</v>
      </c>
      <c r="E165" s="29" t="s">
        <v>34</v>
      </c>
      <c r="F165" s="28">
        <v>0.45</v>
      </c>
      <c r="G165" s="29">
        <v>0.04</v>
      </c>
      <c r="H165" s="29">
        <v>-0.04</v>
      </c>
      <c r="I165" s="30" t="s">
        <v>39</v>
      </c>
      <c r="J165" s="12">
        <f t="shared" si="51"/>
        <v>0.49</v>
      </c>
      <c r="K165" s="12">
        <f t="shared" si="52"/>
        <v>0.41000000000000003</v>
      </c>
      <c r="L165" s="78"/>
      <c r="M165" s="78"/>
      <c r="N165" s="78"/>
      <c r="O165" s="36"/>
      <c r="P165" s="24" t="str">
        <f t="shared" si="69"/>
        <v xml:space="preserve"> </v>
      </c>
      <c r="Q165" s="25" t="str">
        <f t="shared" si="70"/>
        <v xml:space="preserve"> </v>
      </c>
      <c r="R165" s="25" t="str">
        <f t="shared" si="71"/>
        <v xml:space="preserve"> </v>
      </c>
      <c r="S165" s="26" t="str">
        <f t="shared" si="72"/>
        <v xml:space="preserve"> </v>
      </c>
      <c r="T165" s="7" t="str">
        <f t="shared" si="73"/>
        <v xml:space="preserve"> </v>
      </c>
      <c r="U165" s="8" t="str">
        <f t="shared" si="74"/>
        <v xml:space="preserve"> </v>
      </c>
      <c r="V165" s="9" t="str">
        <f t="shared" si="66"/>
        <v xml:space="preserve"> </v>
      </c>
      <c r="W165" s="9" t="str">
        <f t="shared" si="75"/>
        <v/>
      </c>
      <c r="X165" s="32"/>
      <c r="Y165" s="36"/>
    </row>
    <row r="166" spans="1:25" s="4" customFormat="1" ht="18" customHeight="1">
      <c r="A166" s="36"/>
      <c r="B166" s="69">
        <v>115.01</v>
      </c>
      <c r="C166" s="69" t="s">
        <v>458</v>
      </c>
      <c r="D166" s="31" t="s">
        <v>709</v>
      </c>
      <c r="E166" s="29" t="s">
        <v>34</v>
      </c>
      <c r="F166" s="28">
        <v>0.43</v>
      </c>
      <c r="G166" s="29">
        <v>0.04</v>
      </c>
      <c r="H166" s="29">
        <v>-0.04</v>
      </c>
      <c r="I166" s="30" t="s">
        <v>39</v>
      </c>
      <c r="J166" s="12">
        <f t="shared" ref="J166:J229" si="76">IF(AND(F166="",G166=""),"",IF(F166="",G166,F166+G166))</f>
        <v>0.47</v>
      </c>
      <c r="K166" s="12">
        <f t="shared" ref="K166:K229" si="77">IF(AND(F166="",H166=""),"",IF(F166="",H166,F166+H166))</f>
        <v>0.39</v>
      </c>
      <c r="L166" s="78"/>
      <c r="M166" s="78"/>
      <c r="N166" s="78"/>
      <c r="O166" s="36"/>
      <c r="P166" s="24" t="str">
        <f t="shared" si="69"/>
        <v xml:space="preserve"> </v>
      </c>
      <c r="Q166" s="25" t="str">
        <f t="shared" si="70"/>
        <v xml:space="preserve"> </v>
      </c>
      <c r="R166" s="25" t="str">
        <f t="shared" si="71"/>
        <v xml:space="preserve"> </v>
      </c>
      <c r="S166" s="26" t="str">
        <f t="shared" si="72"/>
        <v xml:space="preserve"> </v>
      </c>
      <c r="T166" s="7" t="str">
        <f t="shared" si="73"/>
        <v xml:space="preserve"> </v>
      </c>
      <c r="U166" s="8" t="str">
        <f t="shared" si="74"/>
        <v xml:space="preserve"> </v>
      </c>
      <c r="V166" s="9" t="str">
        <f t="shared" si="66"/>
        <v xml:space="preserve"> </v>
      </c>
      <c r="W166" s="9" t="str">
        <f t="shared" si="75"/>
        <v/>
      </c>
      <c r="X166" s="32"/>
      <c r="Y166" s="36"/>
    </row>
    <row r="167" spans="1:25" s="4" customFormat="1" ht="18" customHeight="1">
      <c r="A167" s="36"/>
      <c r="B167" s="69">
        <v>115.02</v>
      </c>
      <c r="C167" s="69" t="s">
        <v>459</v>
      </c>
      <c r="D167" s="31" t="s">
        <v>709</v>
      </c>
      <c r="E167" s="29" t="s">
        <v>34</v>
      </c>
      <c r="F167" s="28">
        <v>0.43</v>
      </c>
      <c r="G167" s="29">
        <v>0.04</v>
      </c>
      <c r="H167" s="29">
        <v>-0.04</v>
      </c>
      <c r="I167" s="30" t="s">
        <v>39</v>
      </c>
      <c r="J167" s="12">
        <f t="shared" si="76"/>
        <v>0.47</v>
      </c>
      <c r="K167" s="12">
        <f t="shared" si="77"/>
        <v>0.39</v>
      </c>
      <c r="L167" s="78"/>
      <c r="M167" s="78"/>
      <c r="N167" s="78"/>
      <c r="O167" s="36"/>
      <c r="P167" s="24" t="str">
        <f t="shared" si="69"/>
        <v xml:space="preserve"> </v>
      </c>
      <c r="Q167" s="25" t="str">
        <f t="shared" si="70"/>
        <v xml:space="preserve"> </v>
      </c>
      <c r="R167" s="25" t="str">
        <f t="shared" si="71"/>
        <v xml:space="preserve"> </v>
      </c>
      <c r="S167" s="26" t="str">
        <f t="shared" si="72"/>
        <v xml:space="preserve"> </v>
      </c>
      <c r="T167" s="7" t="str">
        <f t="shared" si="73"/>
        <v xml:space="preserve"> </v>
      </c>
      <c r="U167" s="8" t="str">
        <f t="shared" si="74"/>
        <v xml:space="preserve"> </v>
      </c>
      <c r="V167" s="9" t="str">
        <f t="shared" si="66"/>
        <v xml:space="preserve"> </v>
      </c>
      <c r="W167" s="9" t="str">
        <f t="shared" si="75"/>
        <v/>
      </c>
      <c r="X167" s="32"/>
      <c r="Y167" s="36"/>
    </row>
    <row r="168" spans="1:25" s="4" customFormat="1" ht="18" customHeight="1">
      <c r="A168" s="36"/>
      <c r="B168" s="69">
        <v>116.01</v>
      </c>
      <c r="C168" s="69" t="s">
        <v>460</v>
      </c>
      <c r="D168" s="31" t="s">
        <v>709</v>
      </c>
      <c r="E168" s="29" t="s">
        <v>34</v>
      </c>
      <c r="F168" s="28">
        <v>0.43</v>
      </c>
      <c r="G168" s="29">
        <v>0.04</v>
      </c>
      <c r="H168" s="29">
        <v>-0.04</v>
      </c>
      <c r="I168" s="30" t="s">
        <v>39</v>
      </c>
      <c r="J168" s="12">
        <f t="shared" si="76"/>
        <v>0.47</v>
      </c>
      <c r="K168" s="12">
        <f t="shared" si="77"/>
        <v>0.39</v>
      </c>
      <c r="L168" s="78"/>
      <c r="M168" s="78"/>
      <c r="N168" s="78"/>
      <c r="O168" s="36"/>
      <c r="P168" s="24" t="str">
        <f t="shared" si="69"/>
        <v xml:space="preserve"> </v>
      </c>
      <c r="Q168" s="25" t="str">
        <f t="shared" si="70"/>
        <v xml:space="preserve"> </v>
      </c>
      <c r="R168" s="25" t="str">
        <f t="shared" si="71"/>
        <v xml:space="preserve"> </v>
      </c>
      <c r="S168" s="26" t="str">
        <f t="shared" si="72"/>
        <v xml:space="preserve"> </v>
      </c>
      <c r="T168" s="7" t="str">
        <f t="shared" si="73"/>
        <v xml:space="preserve"> </v>
      </c>
      <c r="U168" s="8" t="str">
        <f t="shared" si="74"/>
        <v xml:space="preserve"> </v>
      </c>
      <c r="V168" s="9" t="str">
        <f t="shared" si="66"/>
        <v xml:space="preserve"> </v>
      </c>
      <c r="W168" s="9" t="str">
        <f t="shared" si="75"/>
        <v/>
      </c>
      <c r="X168" s="32"/>
      <c r="Y168" s="36"/>
    </row>
    <row r="169" spans="1:25" s="4" customFormat="1" ht="18" customHeight="1">
      <c r="A169" s="36"/>
      <c r="B169" s="69">
        <v>116.02</v>
      </c>
      <c r="C169" s="69" t="s">
        <v>461</v>
      </c>
      <c r="D169" s="31" t="s">
        <v>709</v>
      </c>
      <c r="E169" s="29" t="s">
        <v>34</v>
      </c>
      <c r="F169" s="28">
        <v>0.43</v>
      </c>
      <c r="G169" s="29">
        <v>0.04</v>
      </c>
      <c r="H169" s="29">
        <v>-0.04</v>
      </c>
      <c r="I169" s="30" t="s">
        <v>39</v>
      </c>
      <c r="J169" s="12">
        <f t="shared" si="76"/>
        <v>0.47</v>
      </c>
      <c r="K169" s="12">
        <f t="shared" si="77"/>
        <v>0.39</v>
      </c>
      <c r="L169" s="78"/>
      <c r="M169" s="78"/>
      <c r="N169" s="78"/>
      <c r="O169" s="36"/>
      <c r="P169" s="24" t="str">
        <f t="shared" si="69"/>
        <v xml:space="preserve"> </v>
      </c>
      <c r="Q169" s="25" t="str">
        <f t="shared" si="70"/>
        <v xml:space="preserve"> </v>
      </c>
      <c r="R169" s="25" t="str">
        <f t="shared" si="71"/>
        <v xml:space="preserve"> </v>
      </c>
      <c r="S169" s="26" t="str">
        <f t="shared" si="72"/>
        <v xml:space="preserve"> </v>
      </c>
      <c r="T169" s="7" t="str">
        <f t="shared" si="73"/>
        <v xml:space="preserve"> </v>
      </c>
      <c r="U169" s="8" t="str">
        <f t="shared" si="74"/>
        <v xml:space="preserve"> </v>
      </c>
      <c r="V169" s="9" t="str">
        <f t="shared" si="66"/>
        <v xml:space="preserve"> </v>
      </c>
      <c r="W169" s="9" t="str">
        <f t="shared" si="75"/>
        <v/>
      </c>
      <c r="X169" s="32"/>
      <c r="Y169" s="36"/>
    </row>
    <row r="170" spans="1:25" s="4" customFormat="1" ht="18" customHeight="1">
      <c r="A170" s="36"/>
      <c r="B170" s="69">
        <v>117.01</v>
      </c>
      <c r="C170" s="69" t="s">
        <v>462</v>
      </c>
      <c r="D170" s="31" t="s">
        <v>708</v>
      </c>
      <c r="E170" s="29" t="s">
        <v>34</v>
      </c>
      <c r="F170" s="28">
        <v>0.7</v>
      </c>
      <c r="G170" s="29">
        <v>0.04</v>
      </c>
      <c r="H170" s="29">
        <v>-0.04</v>
      </c>
      <c r="I170" s="30" t="s">
        <v>39</v>
      </c>
      <c r="J170" s="12">
        <f t="shared" si="76"/>
        <v>0.74</v>
      </c>
      <c r="K170" s="12">
        <f t="shared" si="77"/>
        <v>0.65999999999999992</v>
      </c>
      <c r="L170" s="78"/>
      <c r="M170" s="78"/>
      <c r="N170" s="78"/>
      <c r="O170" s="36"/>
      <c r="P170" s="24" t="str">
        <f t="shared" si="69"/>
        <v xml:space="preserve"> </v>
      </c>
      <c r="Q170" s="25" t="str">
        <f t="shared" si="70"/>
        <v xml:space="preserve"> </v>
      </c>
      <c r="R170" s="25" t="str">
        <f t="shared" si="71"/>
        <v xml:space="preserve"> </v>
      </c>
      <c r="S170" s="26" t="str">
        <f t="shared" si="72"/>
        <v xml:space="preserve"> </v>
      </c>
      <c r="T170" s="7" t="str">
        <f t="shared" si="73"/>
        <v xml:space="preserve"> </v>
      </c>
      <c r="U170" s="8" t="str">
        <f t="shared" si="74"/>
        <v xml:space="preserve"> </v>
      </c>
      <c r="V170" s="9" t="str">
        <f t="shared" si="66"/>
        <v xml:space="preserve"> </v>
      </c>
      <c r="W170" s="9" t="str">
        <f t="shared" si="75"/>
        <v/>
      </c>
      <c r="X170" s="32"/>
      <c r="Y170" s="36"/>
    </row>
    <row r="171" spans="1:25" s="4" customFormat="1" ht="18" customHeight="1">
      <c r="A171" s="36"/>
      <c r="B171" s="69">
        <v>117.02</v>
      </c>
      <c r="C171" s="69" t="s">
        <v>463</v>
      </c>
      <c r="D171" s="31" t="s">
        <v>708</v>
      </c>
      <c r="E171" s="29" t="s">
        <v>34</v>
      </c>
      <c r="F171" s="28">
        <v>0.7</v>
      </c>
      <c r="G171" s="29">
        <v>0.04</v>
      </c>
      <c r="H171" s="29">
        <v>-0.04</v>
      </c>
      <c r="I171" s="30" t="s">
        <v>39</v>
      </c>
      <c r="J171" s="12">
        <f t="shared" si="76"/>
        <v>0.74</v>
      </c>
      <c r="K171" s="12">
        <f t="shared" si="77"/>
        <v>0.65999999999999992</v>
      </c>
      <c r="L171" s="78"/>
      <c r="M171" s="78"/>
      <c r="N171" s="78"/>
      <c r="O171" s="36"/>
      <c r="P171" s="24" t="str">
        <f t="shared" si="69"/>
        <v xml:space="preserve"> </v>
      </c>
      <c r="Q171" s="25" t="str">
        <f t="shared" si="70"/>
        <v xml:space="preserve"> </v>
      </c>
      <c r="R171" s="25" t="str">
        <f t="shared" si="71"/>
        <v xml:space="preserve"> </v>
      </c>
      <c r="S171" s="26" t="str">
        <f t="shared" si="72"/>
        <v xml:space="preserve"> </v>
      </c>
      <c r="T171" s="7" t="str">
        <f t="shared" si="73"/>
        <v xml:space="preserve"> </v>
      </c>
      <c r="U171" s="8" t="str">
        <f t="shared" si="74"/>
        <v xml:space="preserve"> </v>
      </c>
      <c r="V171" s="9" t="str">
        <f t="shared" si="66"/>
        <v xml:space="preserve"> </v>
      </c>
      <c r="W171" s="9" t="str">
        <f t="shared" si="75"/>
        <v/>
      </c>
      <c r="X171" s="32"/>
      <c r="Y171" s="36"/>
    </row>
    <row r="172" spans="1:25" s="4" customFormat="1" ht="18" customHeight="1">
      <c r="A172" s="36"/>
      <c r="B172" s="69">
        <v>117.03</v>
      </c>
      <c r="C172" s="69" t="s">
        <v>464</v>
      </c>
      <c r="D172" s="31" t="s">
        <v>708</v>
      </c>
      <c r="E172" s="29" t="s">
        <v>34</v>
      </c>
      <c r="F172" s="28">
        <v>0.7</v>
      </c>
      <c r="G172" s="29">
        <v>0.04</v>
      </c>
      <c r="H172" s="29">
        <v>-0.04</v>
      </c>
      <c r="I172" s="30" t="s">
        <v>39</v>
      </c>
      <c r="J172" s="12">
        <f t="shared" si="76"/>
        <v>0.74</v>
      </c>
      <c r="K172" s="12">
        <f t="shared" si="77"/>
        <v>0.65999999999999992</v>
      </c>
      <c r="L172" s="78"/>
      <c r="M172" s="78"/>
      <c r="N172" s="78"/>
      <c r="O172" s="36"/>
      <c r="P172" s="24" t="str">
        <f t="shared" si="69"/>
        <v xml:space="preserve"> </v>
      </c>
      <c r="Q172" s="25" t="str">
        <f t="shared" si="70"/>
        <v xml:space="preserve"> </v>
      </c>
      <c r="R172" s="25" t="str">
        <f t="shared" si="71"/>
        <v xml:space="preserve"> </v>
      </c>
      <c r="S172" s="26" t="str">
        <f t="shared" si="72"/>
        <v xml:space="preserve"> </v>
      </c>
      <c r="T172" s="7" t="str">
        <f t="shared" si="73"/>
        <v xml:space="preserve"> </v>
      </c>
      <c r="U172" s="8" t="str">
        <f t="shared" si="74"/>
        <v xml:space="preserve"> </v>
      </c>
      <c r="V172" s="9" t="str">
        <f t="shared" si="66"/>
        <v xml:space="preserve"> </v>
      </c>
      <c r="W172" s="9" t="str">
        <f t="shared" si="75"/>
        <v/>
      </c>
      <c r="X172" s="32"/>
      <c r="Y172" s="36"/>
    </row>
    <row r="173" spans="1:25" s="4" customFormat="1" ht="18" customHeight="1">
      <c r="A173" s="36"/>
      <c r="B173" s="69">
        <v>117.04</v>
      </c>
      <c r="C173" s="69" t="s">
        <v>465</v>
      </c>
      <c r="D173" s="31" t="s">
        <v>708</v>
      </c>
      <c r="E173" s="29" t="s">
        <v>34</v>
      </c>
      <c r="F173" s="28">
        <v>0.7</v>
      </c>
      <c r="G173" s="29">
        <v>0.04</v>
      </c>
      <c r="H173" s="29">
        <v>-0.04</v>
      </c>
      <c r="I173" s="30" t="s">
        <v>39</v>
      </c>
      <c r="J173" s="12">
        <f t="shared" si="76"/>
        <v>0.74</v>
      </c>
      <c r="K173" s="12">
        <f t="shared" si="77"/>
        <v>0.65999999999999992</v>
      </c>
      <c r="L173" s="78"/>
      <c r="M173" s="78"/>
      <c r="N173" s="78"/>
      <c r="O173" s="36"/>
      <c r="P173" s="24" t="str">
        <f t="shared" si="69"/>
        <v xml:space="preserve"> </v>
      </c>
      <c r="Q173" s="25" t="str">
        <f t="shared" si="70"/>
        <v xml:space="preserve"> </v>
      </c>
      <c r="R173" s="25" t="str">
        <f t="shared" si="71"/>
        <v xml:space="preserve"> </v>
      </c>
      <c r="S173" s="26" t="str">
        <f t="shared" si="72"/>
        <v xml:space="preserve"> </v>
      </c>
      <c r="T173" s="7" t="str">
        <f t="shared" si="73"/>
        <v xml:space="preserve"> </v>
      </c>
      <c r="U173" s="8" t="str">
        <f t="shared" si="74"/>
        <v xml:space="preserve"> </v>
      </c>
      <c r="V173" s="9" t="str">
        <f t="shared" si="66"/>
        <v xml:space="preserve"> </v>
      </c>
      <c r="W173" s="9" t="str">
        <f t="shared" si="75"/>
        <v/>
      </c>
      <c r="X173" s="32"/>
      <c r="Y173" s="36"/>
    </row>
    <row r="174" spans="1:25" s="4" customFormat="1" ht="18" customHeight="1">
      <c r="A174" s="36"/>
      <c r="B174" s="69">
        <v>117.05</v>
      </c>
      <c r="C174" s="69" t="s">
        <v>466</v>
      </c>
      <c r="D174" s="31" t="s">
        <v>708</v>
      </c>
      <c r="E174" s="29" t="s">
        <v>34</v>
      </c>
      <c r="F174" s="28">
        <v>0.7</v>
      </c>
      <c r="G174" s="29">
        <v>0.04</v>
      </c>
      <c r="H174" s="29">
        <v>-0.04</v>
      </c>
      <c r="I174" s="30" t="s">
        <v>39</v>
      </c>
      <c r="J174" s="12">
        <f t="shared" si="76"/>
        <v>0.74</v>
      </c>
      <c r="K174" s="12">
        <f t="shared" si="77"/>
        <v>0.65999999999999992</v>
      </c>
      <c r="L174" s="78"/>
      <c r="M174" s="78"/>
      <c r="N174" s="78"/>
      <c r="O174" s="36"/>
      <c r="P174" s="24" t="str">
        <f t="shared" si="69"/>
        <v xml:space="preserve"> </v>
      </c>
      <c r="Q174" s="25" t="str">
        <f t="shared" si="70"/>
        <v xml:space="preserve"> </v>
      </c>
      <c r="R174" s="25" t="str">
        <f t="shared" si="71"/>
        <v xml:space="preserve"> </v>
      </c>
      <c r="S174" s="26" t="str">
        <f t="shared" si="72"/>
        <v xml:space="preserve"> </v>
      </c>
      <c r="T174" s="7" t="str">
        <f t="shared" si="73"/>
        <v xml:space="preserve"> </v>
      </c>
      <c r="U174" s="8" t="str">
        <f t="shared" si="74"/>
        <v xml:space="preserve"> </v>
      </c>
      <c r="V174" s="9" t="str">
        <f t="shared" si="66"/>
        <v xml:space="preserve"> </v>
      </c>
      <c r="W174" s="9" t="str">
        <f t="shared" si="75"/>
        <v/>
      </c>
      <c r="X174" s="32"/>
      <c r="Y174" s="36"/>
    </row>
    <row r="175" spans="1:25" s="4" customFormat="1" ht="18" customHeight="1">
      <c r="A175" s="36"/>
      <c r="B175" s="69">
        <v>117.06</v>
      </c>
      <c r="C175" s="69" t="s">
        <v>467</v>
      </c>
      <c r="D175" s="31" t="s">
        <v>708</v>
      </c>
      <c r="E175" s="29" t="s">
        <v>34</v>
      </c>
      <c r="F175" s="28">
        <v>0.7</v>
      </c>
      <c r="G175" s="29">
        <v>0.04</v>
      </c>
      <c r="H175" s="29">
        <v>-0.04</v>
      </c>
      <c r="I175" s="30" t="s">
        <v>39</v>
      </c>
      <c r="J175" s="12">
        <f t="shared" si="76"/>
        <v>0.74</v>
      </c>
      <c r="K175" s="12">
        <f t="shared" si="77"/>
        <v>0.65999999999999992</v>
      </c>
      <c r="L175" s="78"/>
      <c r="M175" s="78"/>
      <c r="N175" s="78"/>
      <c r="O175" s="36"/>
      <c r="P175" s="24" t="str">
        <f t="shared" si="69"/>
        <v xml:space="preserve"> </v>
      </c>
      <c r="Q175" s="25" t="str">
        <f t="shared" si="70"/>
        <v xml:space="preserve"> </v>
      </c>
      <c r="R175" s="25" t="str">
        <f t="shared" si="71"/>
        <v xml:space="preserve"> </v>
      </c>
      <c r="S175" s="26" t="str">
        <f t="shared" si="72"/>
        <v xml:space="preserve"> </v>
      </c>
      <c r="T175" s="7" t="str">
        <f t="shared" si="73"/>
        <v xml:space="preserve"> </v>
      </c>
      <c r="U175" s="8" t="str">
        <f t="shared" si="74"/>
        <v xml:space="preserve"> </v>
      </c>
      <c r="V175" s="9" t="str">
        <f t="shared" si="66"/>
        <v xml:space="preserve"> </v>
      </c>
      <c r="W175" s="9" t="str">
        <f t="shared" si="75"/>
        <v/>
      </c>
      <c r="X175" s="32"/>
      <c r="Y175" s="36"/>
    </row>
    <row r="176" spans="1:25" s="4" customFormat="1" ht="18" customHeight="1">
      <c r="A176" s="36"/>
      <c r="B176" s="69">
        <v>117.07</v>
      </c>
      <c r="C176" s="69" t="s">
        <v>468</v>
      </c>
      <c r="D176" s="31" t="s">
        <v>708</v>
      </c>
      <c r="E176" s="29" t="s">
        <v>34</v>
      </c>
      <c r="F176" s="28">
        <v>0.7</v>
      </c>
      <c r="G176" s="29">
        <v>0.04</v>
      </c>
      <c r="H176" s="29">
        <v>-0.04</v>
      </c>
      <c r="I176" s="30" t="s">
        <v>39</v>
      </c>
      <c r="J176" s="12">
        <f t="shared" si="76"/>
        <v>0.74</v>
      </c>
      <c r="K176" s="12">
        <f t="shared" si="77"/>
        <v>0.65999999999999992</v>
      </c>
      <c r="L176" s="78"/>
      <c r="M176" s="78"/>
      <c r="N176" s="78"/>
      <c r="O176" s="36"/>
      <c r="P176" s="24" t="str">
        <f t="shared" si="69"/>
        <v xml:space="preserve"> </v>
      </c>
      <c r="Q176" s="25" t="str">
        <f t="shared" si="70"/>
        <v xml:space="preserve"> </v>
      </c>
      <c r="R176" s="25" t="str">
        <f t="shared" si="71"/>
        <v xml:space="preserve"> </v>
      </c>
      <c r="S176" s="26" t="str">
        <f t="shared" si="72"/>
        <v xml:space="preserve"> </v>
      </c>
      <c r="T176" s="7" t="str">
        <f t="shared" si="73"/>
        <v xml:space="preserve"> </v>
      </c>
      <c r="U176" s="8" t="str">
        <f t="shared" si="74"/>
        <v xml:space="preserve"> </v>
      </c>
      <c r="V176" s="9" t="str">
        <f t="shared" si="66"/>
        <v xml:space="preserve"> </v>
      </c>
      <c r="W176" s="9" t="str">
        <f t="shared" si="75"/>
        <v/>
      </c>
      <c r="X176" s="32"/>
      <c r="Y176" s="36"/>
    </row>
    <row r="177" spans="1:25" s="4" customFormat="1" ht="18" customHeight="1">
      <c r="A177" s="36"/>
      <c r="B177" s="69">
        <v>117.08</v>
      </c>
      <c r="C177" s="69" t="s">
        <v>469</v>
      </c>
      <c r="D177" s="31" t="s">
        <v>708</v>
      </c>
      <c r="E177" s="29" t="s">
        <v>34</v>
      </c>
      <c r="F177" s="28">
        <v>0.7</v>
      </c>
      <c r="G177" s="29">
        <v>0.04</v>
      </c>
      <c r="H177" s="29">
        <v>-0.04</v>
      </c>
      <c r="I177" s="30" t="s">
        <v>39</v>
      </c>
      <c r="J177" s="12">
        <f t="shared" si="76"/>
        <v>0.74</v>
      </c>
      <c r="K177" s="12">
        <f t="shared" si="77"/>
        <v>0.65999999999999992</v>
      </c>
      <c r="L177" s="78"/>
      <c r="M177" s="78"/>
      <c r="N177" s="78"/>
      <c r="O177" s="36"/>
      <c r="P177" s="24" t="str">
        <f t="shared" si="69"/>
        <v xml:space="preserve"> </v>
      </c>
      <c r="Q177" s="25" t="str">
        <f t="shared" si="70"/>
        <v xml:space="preserve"> </v>
      </c>
      <c r="R177" s="25" t="str">
        <f t="shared" si="71"/>
        <v xml:space="preserve"> </v>
      </c>
      <c r="S177" s="26" t="str">
        <f t="shared" si="72"/>
        <v xml:space="preserve"> </v>
      </c>
      <c r="T177" s="7" t="str">
        <f t="shared" si="73"/>
        <v xml:space="preserve"> </v>
      </c>
      <c r="U177" s="8" t="str">
        <f t="shared" si="74"/>
        <v xml:space="preserve"> </v>
      </c>
      <c r="V177" s="9" t="str">
        <f t="shared" si="66"/>
        <v xml:space="preserve"> </v>
      </c>
      <c r="W177" s="9" t="str">
        <f t="shared" si="75"/>
        <v/>
      </c>
      <c r="X177" s="32"/>
      <c r="Y177" s="36"/>
    </row>
    <row r="178" spans="1:25" s="4" customFormat="1" ht="18" customHeight="1">
      <c r="A178" s="36"/>
      <c r="B178" s="69">
        <v>117.09</v>
      </c>
      <c r="C178" s="69" t="s">
        <v>470</v>
      </c>
      <c r="D178" s="31" t="s">
        <v>708</v>
      </c>
      <c r="E178" s="29" t="s">
        <v>34</v>
      </c>
      <c r="F178" s="28">
        <v>0.7</v>
      </c>
      <c r="G178" s="29">
        <v>0.04</v>
      </c>
      <c r="H178" s="29">
        <v>-0.04</v>
      </c>
      <c r="I178" s="30" t="s">
        <v>39</v>
      </c>
      <c r="J178" s="12">
        <f t="shared" si="76"/>
        <v>0.74</v>
      </c>
      <c r="K178" s="12">
        <f t="shared" si="77"/>
        <v>0.65999999999999992</v>
      </c>
      <c r="L178" s="78"/>
      <c r="M178" s="78"/>
      <c r="N178" s="78"/>
      <c r="O178" s="36"/>
      <c r="P178" s="24" t="str">
        <f t="shared" si="69"/>
        <v xml:space="preserve"> </v>
      </c>
      <c r="Q178" s="25" t="str">
        <f t="shared" si="70"/>
        <v xml:space="preserve"> </v>
      </c>
      <c r="R178" s="25" t="str">
        <f t="shared" si="71"/>
        <v xml:space="preserve"> </v>
      </c>
      <c r="S178" s="26" t="str">
        <f t="shared" si="72"/>
        <v xml:space="preserve"> </v>
      </c>
      <c r="T178" s="7" t="str">
        <f t="shared" si="73"/>
        <v xml:space="preserve"> </v>
      </c>
      <c r="U178" s="8" t="str">
        <f t="shared" si="74"/>
        <v xml:space="preserve"> </v>
      </c>
      <c r="V178" s="9" t="str">
        <f t="shared" si="66"/>
        <v xml:space="preserve"> </v>
      </c>
      <c r="W178" s="9" t="str">
        <f t="shared" si="75"/>
        <v/>
      </c>
      <c r="X178" s="32"/>
      <c r="Y178" s="36"/>
    </row>
    <row r="179" spans="1:25" s="4" customFormat="1" ht="18" customHeight="1">
      <c r="A179" s="36"/>
      <c r="B179" s="69" t="s">
        <v>872</v>
      </c>
      <c r="C179" s="69" t="s">
        <v>471</v>
      </c>
      <c r="D179" s="31" t="s">
        <v>708</v>
      </c>
      <c r="E179" s="29" t="s">
        <v>34</v>
      </c>
      <c r="F179" s="28">
        <v>0.7</v>
      </c>
      <c r="G179" s="29">
        <v>0.04</v>
      </c>
      <c r="H179" s="29">
        <v>-0.04</v>
      </c>
      <c r="I179" s="30" t="s">
        <v>39</v>
      </c>
      <c r="J179" s="12">
        <f t="shared" si="76"/>
        <v>0.74</v>
      </c>
      <c r="K179" s="12">
        <f t="shared" si="77"/>
        <v>0.65999999999999992</v>
      </c>
      <c r="L179" s="78"/>
      <c r="M179" s="78"/>
      <c r="N179" s="78"/>
      <c r="O179" s="36"/>
      <c r="P179" s="24" t="str">
        <f t="shared" si="69"/>
        <v xml:space="preserve"> </v>
      </c>
      <c r="Q179" s="25" t="str">
        <f t="shared" si="70"/>
        <v xml:space="preserve"> </v>
      </c>
      <c r="R179" s="25" t="str">
        <f t="shared" si="71"/>
        <v xml:space="preserve"> </v>
      </c>
      <c r="S179" s="26" t="str">
        <f t="shared" si="72"/>
        <v xml:space="preserve"> </v>
      </c>
      <c r="T179" s="7" t="str">
        <f t="shared" si="73"/>
        <v xml:space="preserve"> </v>
      </c>
      <c r="U179" s="8" t="str">
        <f t="shared" si="74"/>
        <v xml:space="preserve"> </v>
      </c>
      <c r="V179" s="9" t="str">
        <f t="shared" si="66"/>
        <v xml:space="preserve"> </v>
      </c>
      <c r="W179" s="9" t="str">
        <f t="shared" si="75"/>
        <v/>
      </c>
      <c r="X179" s="32"/>
      <c r="Y179" s="36"/>
    </row>
    <row r="180" spans="1:25" s="4" customFormat="1" ht="18" customHeight="1">
      <c r="A180" s="36"/>
      <c r="B180" s="69">
        <v>117.11</v>
      </c>
      <c r="C180" s="69" t="s">
        <v>472</v>
      </c>
      <c r="D180" s="31" t="s">
        <v>708</v>
      </c>
      <c r="E180" s="29" t="s">
        <v>34</v>
      </c>
      <c r="F180" s="28">
        <v>0.7</v>
      </c>
      <c r="G180" s="29">
        <v>0.04</v>
      </c>
      <c r="H180" s="29">
        <v>-0.04</v>
      </c>
      <c r="I180" s="30" t="s">
        <v>39</v>
      </c>
      <c r="J180" s="12">
        <f t="shared" si="76"/>
        <v>0.74</v>
      </c>
      <c r="K180" s="12">
        <f t="shared" si="77"/>
        <v>0.65999999999999992</v>
      </c>
      <c r="L180" s="78"/>
      <c r="M180" s="78"/>
      <c r="N180" s="78"/>
      <c r="O180" s="36"/>
      <c r="P180" s="24" t="str">
        <f t="shared" si="69"/>
        <v xml:space="preserve"> </v>
      </c>
      <c r="Q180" s="25" t="str">
        <f t="shared" si="70"/>
        <v xml:space="preserve"> </v>
      </c>
      <c r="R180" s="25" t="str">
        <f t="shared" si="71"/>
        <v xml:space="preserve"> </v>
      </c>
      <c r="S180" s="26" t="str">
        <f t="shared" si="72"/>
        <v xml:space="preserve"> </v>
      </c>
      <c r="T180" s="7" t="str">
        <f t="shared" si="73"/>
        <v xml:space="preserve"> </v>
      </c>
      <c r="U180" s="8" t="str">
        <f t="shared" si="74"/>
        <v xml:space="preserve"> </v>
      </c>
      <c r="V180" s="9" t="str">
        <f t="shared" si="66"/>
        <v xml:space="preserve"> </v>
      </c>
      <c r="W180" s="9" t="str">
        <f t="shared" si="75"/>
        <v/>
      </c>
      <c r="X180" s="32"/>
      <c r="Y180" s="36"/>
    </row>
    <row r="181" spans="1:25" s="4" customFormat="1" ht="18" customHeight="1">
      <c r="A181" s="36"/>
      <c r="B181" s="69">
        <v>117.12</v>
      </c>
      <c r="C181" s="69" t="s">
        <v>473</v>
      </c>
      <c r="D181" s="31" t="s">
        <v>708</v>
      </c>
      <c r="E181" s="29" t="s">
        <v>34</v>
      </c>
      <c r="F181" s="28">
        <v>0.7</v>
      </c>
      <c r="G181" s="29">
        <v>0.04</v>
      </c>
      <c r="H181" s="29">
        <v>-0.04</v>
      </c>
      <c r="I181" s="30" t="s">
        <v>39</v>
      </c>
      <c r="J181" s="12">
        <f t="shared" si="76"/>
        <v>0.74</v>
      </c>
      <c r="K181" s="12">
        <f t="shared" si="77"/>
        <v>0.65999999999999992</v>
      </c>
      <c r="L181" s="78"/>
      <c r="M181" s="78"/>
      <c r="N181" s="78"/>
      <c r="O181" s="36"/>
      <c r="P181" s="24" t="str">
        <f t="shared" si="69"/>
        <v xml:space="preserve"> </v>
      </c>
      <c r="Q181" s="25" t="str">
        <f t="shared" si="70"/>
        <v xml:space="preserve"> </v>
      </c>
      <c r="R181" s="25" t="str">
        <f t="shared" si="71"/>
        <v xml:space="preserve"> </v>
      </c>
      <c r="S181" s="26" t="str">
        <f t="shared" si="72"/>
        <v xml:space="preserve"> </v>
      </c>
      <c r="T181" s="7" t="str">
        <f t="shared" si="73"/>
        <v xml:space="preserve"> </v>
      </c>
      <c r="U181" s="8" t="str">
        <f t="shared" si="74"/>
        <v xml:space="preserve"> </v>
      </c>
      <c r="V181" s="9" t="str">
        <f t="shared" si="66"/>
        <v xml:space="preserve"> </v>
      </c>
      <c r="W181" s="9" t="str">
        <f t="shared" si="75"/>
        <v/>
      </c>
      <c r="X181" s="32"/>
      <c r="Y181" s="36"/>
    </row>
    <row r="182" spans="1:25" s="4" customFormat="1" ht="18" customHeight="1">
      <c r="A182" s="36"/>
      <c r="B182" s="69">
        <v>117.13000000000001</v>
      </c>
      <c r="C182" s="69" t="s">
        <v>474</v>
      </c>
      <c r="D182" s="31" t="s">
        <v>708</v>
      </c>
      <c r="E182" s="29" t="s">
        <v>34</v>
      </c>
      <c r="F182" s="28">
        <v>0.7</v>
      </c>
      <c r="G182" s="29">
        <v>0.04</v>
      </c>
      <c r="H182" s="29">
        <v>-0.04</v>
      </c>
      <c r="I182" s="30" t="s">
        <v>39</v>
      </c>
      <c r="J182" s="12">
        <f t="shared" si="76"/>
        <v>0.74</v>
      </c>
      <c r="K182" s="12">
        <f t="shared" si="77"/>
        <v>0.65999999999999992</v>
      </c>
      <c r="L182" s="78"/>
      <c r="M182" s="78"/>
      <c r="N182" s="78"/>
      <c r="O182" s="36"/>
      <c r="P182" s="24" t="str">
        <f t="shared" si="69"/>
        <v xml:space="preserve"> </v>
      </c>
      <c r="Q182" s="25" t="str">
        <f t="shared" si="70"/>
        <v xml:space="preserve"> </v>
      </c>
      <c r="R182" s="25" t="str">
        <f t="shared" si="71"/>
        <v xml:space="preserve"> </v>
      </c>
      <c r="S182" s="26" t="str">
        <f t="shared" si="72"/>
        <v xml:space="preserve"> </v>
      </c>
      <c r="T182" s="7" t="str">
        <f t="shared" si="73"/>
        <v xml:space="preserve"> </v>
      </c>
      <c r="U182" s="8" t="str">
        <f t="shared" si="74"/>
        <v xml:space="preserve"> </v>
      </c>
      <c r="V182" s="9" t="str">
        <f t="shared" si="66"/>
        <v xml:space="preserve"> </v>
      </c>
      <c r="W182" s="9" t="str">
        <f t="shared" si="75"/>
        <v/>
      </c>
      <c r="X182" s="32"/>
      <c r="Y182" s="36"/>
    </row>
    <row r="183" spans="1:25" s="4" customFormat="1" ht="18" customHeight="1">
      <c r="A183" s="36"/>
      <c r="B183" s="69">
        <v>117.14000000000001</v>
      </c>
      <c r="C183" s="69" t="s">
        <v>475</v>
      </c>
      <c r="D183" s="31" t="s">
        <v>708</v>
      </c>
      <c r="E183" s="29" t="s">
        <v>34</v>
      </c>
      <c r="F183" s="28">
        <v>0.7</v>
      </c>
      <c r="G183" s="29">
        <v>0.04</v>
      </c>
      <c r="H183" s="29">
        <v>-0.04</v>
      </c>
      <c r="I183" s="30" t="s">
        <v>39</v>
      </c>
      <c r="J183" s="12">
        <f t="shared" si="76"/>
        <v>0.74</v>
      </c>
      <c r="K183" s="12">
        <f t="shared" si="77"/>
        <v>0.65999999999999992</v>
      </c>
      <c r="L183" s="78"/>
      <c r="M183" s="78"/>
      <c r="N183" s="78"/>
      <c r="O183" s="36"/>
      <c r="P183" s="24" t="str">
        <f t="shared" si="69"/>
        <v xml:space="preserve"> </v>
      </c>
      <c r="Q183" s="25" t="str">
        <f t="shared" si="70"/>
        <v xml:space="preserve"> </v>
      </c>
      <c r="R183" s="25" t="str">
        <f t="shared" si="71"/>
        <v xml:space="preserve"> </v>
      </c>
      <c r="S183" s="26" t="str">
        <f t="shared" si="72"/>
        <v xml:space="preserve"> </v>
      </c>
      <c r="T183" s="7" t="str">
        <f t="shared" si="73"/>
        <v xml:space="preserve"> </v>
      </c>
      <c r="U183" s="8" t="str">
        <f t="shared" si="74"/>
        <v xml:space="preserve"> </v>
      </c>
      <c r="V183" s="9" t="str">
        <f t="shared" si="66"/>
        <v xml:space="preserve"> </v>
      </c>
      <c r="W183" s="9" t="str">
        <f t="shared" si="75"/>
        <v/>
      </c>
      <c r="X183" s="32"/>
      <c r="Y183" s="36"/>
    </row>
    <row r="184" spans="1:25" s="4" customFormat="1" ht="18" customHeight="1">
      <c r="A184" s="36"/>
      <c r="B184" s="69">
        <v>117.15000000000002</v>
      </c>
      <c r="C184" s="69" t="s">
        <v>476</v>
      </c>
      <c r="D184" s="31" t="s">
        <v>708</v>
      </c>
      <c r="E184" s="29" t="s">
        <v>34</v>
      </c>
      <c r="F184" s="28">
        <v>0.7</v>
      </c>
      <c r="G184" s="29">
        <v>0.04</v>
      </c>
      <c r="H184" s="29">
        <v>-0.04</v>
      </c>
      <c r="I184" s="30" t="s">
        <v>39</v>
      </c>
      <c r="J184" s="12">
        <f t="shared" si="76"/>
        <v>0.74</v>
      </c>
      <c r="K184" s="12">
        <f t="shared" si="77"/>
        <v>0.65999999999999992</v>
      </c>
      <c r="L184" s="78"/>
      <c r="M184" s="78"/>
      <c r="N184" s="78"/>
      <c r="O184" s="36"/>
      <c r="P184" s="24" t="str">
        <f t="shared" si="69"/>
        <v xml:space="preserve"> </v>
      </c>
      <c r="Q184" s="25" t="str">
        <f t="shared" si="70"/>
        <v xml:space="preserve"> </v>
      </c>
      <c r="R184" s="25" t="str">
        <f t="shared" si="71"/>
        <v xml:space="preserve"> </v>
      </c>
      <c r="S184" s="26" t="str">
        <f t="shared" si="72"/>
        <v xml:space="preserve"> </v>
      </c>
      <c r="T184" s="7" t="str">
        <f t="shared" si="73"/>
        <v xml:space="preserve"> </v>
      </c>
      <c r="U184" s="8" t="str">
        <f t="shared" si="74"/>
        <v xml:space="preserve"> </v>
      </c>
      <c r="V184" s="9" t="str">
        <f t="shared" si="66"/>
        <v xml:space="preserve"> </v>
      </c>
      <c r="W184" s="9" t="str">
        <f t="shared" si="75"/>
        <v/>
      </c>
      <c r="X184" s="32"/>
      <c r="Y184" s="36"/>
    </row>
    <row r="185" spans="1:25" s="4" customFormat="1" ht="18" customHeight="1">
      <c r="A185" s="36"/>
      <c r="B185" s="69">
        <v>117.16000000000003</v>
      </c>
      <c r="C185" s="69" t="s">
        <v>477</v>
      </c>
      <c r="D185" s="31" t="s">
        <v>708</v>
      </c>
      <c r="E185" s="29" t="s">
        <v>34</v>
      </c>
      <c r="F185" s="28">
        <v>0.7</v>
      </c>
      <c r="G185" s="29">
        <v>0.04</v>
      </c>
      <c r="H185" s="29">
        <v>-0.04</v>
      </c>
      <c r="I185" s="30" t="s">
        <v>39</v>
      </c>
      <c r="J185" s="12">
        <f t="shared" si="76"/>
        <v>0.74</v>
      </c>
      <c r="K185" s="12">
        <f t="shared" si="77"/>
        <v>0.65999999999999992</v>
      </c>
      <c r="L185" s="78"/>
      <c r="M185" s="78"/>
      <c r="N185" s="78"/>
      <c r="O185" s="36"/>
      <c r="P185" s="24" t="str">
        <f t="shared" si="69"/>
        <v xml:space="preserve"> </v>
      </c>
      <c r="Q185" s="25" t="str">
        <f t="shared" si="70"/>
        <v xml:space="preserve"> </v>
      </c>
      <c r="R185" s="25" t="str">
        <f t="shared" si="71"/>
        <v xml:space="preserve"> </v>
      </c>
      <c r="S185" s="26" t="str">
        <f t="shared" si="72"/>
        <v xml:space="preserve"> </v>
      </c>
      <c r="T185" s="7" t="str">
        <f t="shared" si="73"/>
        <v xml:space="preserve"> </v>
      </c>
      <c r="U185" s="8" t="str">
        <f t="shared" si="74"/>
        <v xml:space="preserve"> </v>
      </c>
      <c r="V185" s="9" t="str">
        <f t="shared" si="66"/>
        <v xml:space="preserve"> </v>
      </c>
      <c r="W185" s="9" t="str">
        <f t="shared" si="75"/>
        <v/>
      </c>
      <c r="X185" s="32"/>
      <c r="Y185" s="36"/>
    </row>
    <row r="186" spans="1:25" s="4" customFormat="1" ht="18" customHeight="1">
      <c r="A186" s="36"/>
      <c r="B186" s="69">
        <v>117.17000000000003</v>
      </c>
      <c r="C186" s="69" t="s">
        <v>478</v>
      </c>
      <c r="D186" s="31" t="s">
        <v>708</v>
      </c>
      <c r="E186" s="29" t="s">
        <v>34</v>
      </c>
      <c r="F186" s="28">
        <v>0.7</v>
      </c>
      <c r="G186" s="29">
        <v>0.04</v>
      </c>
      <c r="H186" s="29">
        <v>-0.04</v>
      </c>
      <c r="I186" s="30" t="s">
        <v>39</v>
      </c>
      <c r="J186" s="12">
        <f t="shared" si="76"/>
        <v>0.74</v>
      </c>
      <c r="K186" s="12">
        <f t="shared" si="77"/>
        <v>0.65999999999999992</v>
      </c>
      <c r="L186" s="78"/>
      <c r="M186" s="78"/>
      <c r="N186" s="78"/>
      <c r="O186" s="36"/>
      <c r="P186" s="24" t="str">
        <f t="shared" si="69"/>
        <v xml:space="preserve"> </v>
      </c>
      <c r="Q186" s="25" t="str">
        <f t="shared" si="70"/>
        <v xml:space="preserve"> </v>
      </c>
      <c r="R186" s="25" t="str">
        <f t="shared" si="71"/>
        <v xml:space="preserve"> </v>
      </c>
      <c r="S186" s="26" t="str">
        <f t="shared" si="72"/>
        <v xml:space="preserve"> </v>
      </c>
      <c r="T186" s="7" t="str">
        <f t="shared" si="73"/>
        <v xml:space="preserve"> </v>
      </c>
      <c r="U186" s="8" t="str">
        <f t="shared" si="74"/>
        <v xml:space="preserve"> </v>
      </c>
      <c r="V186" s="9" t="str">
        <f t="shared" si="66"/>
        <v xml:space="preserve"> </v>
      </c>
      <c r="W186" s="9" t="str">
        <f t="shared" si="75"/>
        <v/>
      </c>
      <c r="X186" s="32"/>
      <c r="Y186" s="36"/>
    </row>
    <row r="187" spans="1:25" s="4" customFormat="1" ht="18" customHeight="1">
      <c r="A187" s="36"/>
      <c r="B187" s="69">
        <v>117.18000000000004</v>
      </c>
      <c r="C187" s="69" t="s">
        <v>479</v>
      </c>
      <c r="D187" s="31" t="s">
        <v>708</v>
      </c>
      <c r="E187" s="29" t="s">
        <v>34</v>
      </c>
      <c r="F187" s="28">
        <v>0.7</v>
      </c>
      <c r="G187" s="29">
        <v>0.04</v>
      </c>
      <c r="H187" s="29">
        <v>-0.04</v>
      </c>
      <c r="I187" s="30" t="s">
        <v>39</v>
      </c>
      <c r="J187" s="12">
        <f t="shared" si="76"/>
        <v>0.74</v>
      </c>
      <c r="K187" s="12">
        <f t="shared" si="77"/>
        <v>0.65999999999999992</v>
      </c>
      <c r="L187" s="78"/>
      <c r="M187" s="78"/>
      <c r="N187" s="78"/>
      <c r="O187" s="36"/>
      <c r="P187" s="24" t="str">
        <f t="shared" si="69"/>
        <v xml:space="preserve"> </v>
      </c>
      <c r="Q187" s="25" t="str">
        <f t="shared" si="70"/>
        <v xml:space="preserve"> </v>
      </c>
      <c r="R187" s="25" t="str">
        <f t="shared" si="71"/>
        <v xml:space="preserve"> </v>
      </c>
      <c r="S187" s="26" t="str">
        <f t="shared" si="72"/>
        <v xml:space="preserve"> </v>
      </c>
      <c r="T187" s="7" t="str">
        <f t="shared" si="73"/>
        <v xml:space="preserve"> </v>
      </c>
      <c r="U187" s="8" t="str">
        <f t="shared" si="74"/>
        <v xml:space="preserve"> </v>
      </c>
      <c r="V187" s="9" t="str">
        <f t="shared" si="66"/>
        <v xml:space="preserve"> </v>
      </c>
      <c r="W187" s="9" t="str">
        <f t="shared" si="75"/>
        <v/>
      </c>
      <c r="X187" s="32"/>
      <c r="Y187" s="36"/>
    </row>
    <row r="188" spans="1:25" s="4" customFormat="1" ht="18" customHeight="1">
      <c r="A188" s="36"/>
      <c r="B188" s="69">
        <v>117.19000000000004</v>
      </c>
      <c r="C188" s="69" t="s">
        <v>480</v>
      </c>
      <c r="D188" s="31" t="s">
        <v>708</v>
      </c>
      <c r="E188" s="29" t="s">
        <v>34</v>
      </c>
      <c r="F188" s="28">
        <v>0.7</v>
      </c>
      <c r="G188" s="29">
        <v>0.04</v>
      </c>
      <c r="H188" s="29">
        <v>-0.04</v>
      </c>
      <c r="I188" s="30" t="s">
        <v>39</v>
      </c>
      <c r="J188" s="12">
        <f t="shared" si="76"/>
        <v>0.74</v>
      </c>
      <c r="K188" s="12">
        <f t="shared" si="77"/>
        <v>0.65999999999999992</v>
      </c>
      <c r="L188" s="78"/>
      <c r="M188" s="78"/>
      <c r="N188" s="78"/>
      <c r="O188" s="36"/>
      <c r="P188" s="24" t="str">
        <f t="shared" si="69"/>
        <v xml:space="preserve"> </v>
      </c>
      <c r="Q188" s="25" t="str">
        <f t="shared" si="70"/>
        <v xml:space="preserve"> </v>
      </c>
      <c r="R188" s="25" t="str">
        <f t="shared" si="71"/>
        <v xml:space="preserve"> </v>
      </c>
      <c r="S188" s="26" t="str">
        <f t="shared" si="72"/>
        <v xml:space="preserve"> </v>
      </c>
      <c r="T188" s="7" t="str">
        <f t="shared" si="73"/>
        <v xml:space="preserve"> </v>
      </c>
      <c r="U188" s="8" t="str">
        <f t="shared" si="74"/>
        <v xml:space="preserve"> </v>
      </c>
      <c r="V188" s="9" t="str">
        <f t="shared" si="66"/>
        <v xml:space="preserve"> </v>
      </c>
      <c r="W188" s="9" t="str">
        <f t="shared" si="75"/>
        <v/>
      </c>
      <c r="X188" s="32"/>
      <c r="Y188" s="36"/>
    </row>
    <row r="189" spans="1:25" s="4" customFormat="1" ht="18" customHeight="1">
      <c r="A189" s="36"/>
      <c r="B189" s="69" t="s">
        <v>873</v>
      </c>
      <c r="C189" s="69" t="s">
        <v>481</v>
      </c>
      <c r="D189" s="31" t="s">
        <v>708</v>
      </c>
      <c r="E189" s="29" t="s">
        <v>34</v>
      </c>
      <c r="F189" s="28">
        <v>0.7</v>
      </c>
      <c r="G189" s="29">
        <v>0.04</v>
      </c>
      <c r="H189" s="29">
        <v>-0.04</v>
      </c>
      <c r="I189" s="30" t="s">
        <v>39</v>
      </c>
      <c r="J189" s="12">
        <f t="shared" si="76"/>
        <v>0.74</v>
      </c>
      <c r="K189" s="12">
        <f t="shared" si="77"/>
        <v>0.65999999999999992</v>
      </c>
      <c r="L189" s="78"/>
      <c r="M189" s="78"/>
      <c r="N189" s="78"/>
      <c r="O189" s="36"/>
      <c r="P189" s="24" t="str">
        <f t="shared" si="69"/>
        <v xml:space="preserve"> </v>
      </c>
      <c r="Q189" s="25" t="str">
        <f t="shared" si="70"/>
        <v xml:space="preserve"> </v>
      </c>
      <c r="R189" s="25" t="str">
        <f t="shared" si="71"/>
        <v xml:space="preserve"> </v>
      </c>
      <c r="S189" s="26" t="str">
        <f t="shared" si="72"/>
        <v xml:space="preserve"> </v>
      </c>
      <c r="T189" s="7" t="str">
        <f t="shared" si="73"/>
        <v xml:space="preserve"> </v>
      </c>
      <c r="U189" s="8" t="str">
        <f t="shared" si="74"/>
        <v xml:space="preserve"> </v>
      </c>
      <c r="V189" s="9" t="str">
        <f t="shared" si="66"/>
        <v xml:space="preserve"> </v>
      </c>
      <c r="W189" s="9" t="str">
        <f t="shared" si="75"/>
        <v/>
      </c>
      <c r="X189" s="32"/>
      <c r="Y189" s="36"/>
    </row>
    <row r="190" spans="1:25" s="4" customFormat="1" ht="18" customHeight="1">
      <c r="A190" s="36"/>
      <c r="B190" s="69">
        <v>117.21000000000005</v>
      </c>
      <c r="C190" s="69" t="s">
        <v>482</v>
      </c>
      <c r="D190" s="31" t="s">
        <v>708</v>
      </c>
      <c r="E190" s="29" t="s">
        <v>34</v>
      </c>
      <c r="F190" s="28">
        <v>0.7</v>
      </c>
      <c r="G190" s="29">
        <v>0.04</v>
      </c>
      <c r="H190" s="29">
        <v>-0.04</v>
      </c>
      <c r="I190" s="30" t="s">
        <v>39</v>
      </c>
      <c r="J190" s="12">
        <f t="shared" si="76"/>
        <v>0.74</v>
      </c>
      <c r="K190" s="12">
        <f t="shared" si="77"/>
        <v>0.65999999999999992</v>
      </c>
      <c r="L190" s="78"/>
      <c r="M190" s="78"/>
      <c r="N190" s="78"/>
      <c r="O190" s="36"/>
      <c r="P190" s="24" t="str">
        <f t="shared" si="69"/>
        <v xml:space="preserve"> </v>
      </c>
      <c r="Q190" s="25" t="str">
        <f t="shared" si="70"/>
        <v xml:space="preserve"> </v>
      </c>
      <c r="R190" s="25" t="str">
        <f t="shared" si="71"/>
        <v xml:space="preserve"> </v>
      </c>
      <c r="S190" s="26" t="str">
        <f t="shared" si="72"/>
        <v xml:space="preserve"> </v>
      </c>
      <c r="T190" s="7" t="str">
        <f t="shared" si="73"/>
        <v xml:space="preserve"> </v>
      </c>
      <c r="U190" s="8" t="str">
        <f t="shared" si="74"/>
        <v xml:space="preserve"> </v>
      </c>
      <c r="V190" s="9" t="str">
        <f t="shared" si="66"/>
        <v xml:space="preserve"> </v>
      </c>
      <c r="W190" s="9" t="str">
        <f t="shared" si="75"/>
        <v/>
      </c>
      <c r="X190" s="32"/>
      <c r="Y190" s="36"/>
    </row>
    <row r="191" spans="1:25" s="4" customFormat="1" ht="18" customHeight="1">
      <c r="A191" s="36"/>
      <c r="B191" s="69">
        <v>117.22000000000006</v>
      </c>
      <c r="C191" s="69" t="s">
        <v>483</v>
      </c>
      <c r="D191" s="31" t="s">
        <v>708</v>
      </c>
      <c r="E191" s="29" t="s">
        <v>34</v>
      </c>
      <c r="F191" s="28">
        <v>0.7</v>
      </c>
      <c r="G191" s="29">
        <v>0.04</v>
      </c>
      <c r="H191" s="29">
        <v>-0.04</v>
      </c>
      <c r="I191" s="30" t="s">
        <v>39</v>
      </c>
      <c r="J191" s="12">
        <f t="shared" si="76"/>
        <v>0.74</v>
      </c>
      <c r="K191" s="12">
        <f t="shared" si="77"/>
        <v>0.65999999999999992</v>
      </c>
      <c r="L191" s="78"/>
      <c r="M191" s="78"/>
      <c r="N191" s="78"/>
      <c r="O191" s="36"/>
      <c r="P191" s="24" t="str">
        <f t="shared" si="69"/>
        <v xml:space="preserve"> </v>
      </c>
      <c r="Q191" s="25" t="str">
        <f t="shared" si="70"/>
        <v xml:space="preserve"> </v>
      </c>
      <c r="R191" s="25" t="str">
        <f t="shared" si="71"/>
        <v xml:space="preserve"> </v>
      </c>
      <c r="S191" s="26" t="str">
        <f t="shared" si="72"/>
        <v xml:space="preserve"> </v>
      </c>
      <c r="T191" s="7" t="str">
        <f t="shared" si="73"/>
        <v xml:space="preserve"> </v>
      </c>
      <c r="U191" s="8" t="str">
        <f t="shared" si="74"/>
        <v xml:space="preserve"> </v>
      </c>
      <c r="V191" s="9" t="str">
        <f t="shared" si="66"/>
        <v xml:space="preserve"> </v>
      </c>
      <c r="W191" s="9" t="str">
        <f t="shared" si="75"/>
        <v/>
      </c>
      <c r="X191" s="32"/>
      <c r="Y191" s="36"/>
    </row>
    <row r="192" spans="1:25" s="4" customFormat="1" ht="18" customHeight="1">
      <c r="A192" s="36"/>
      <c r="B192" s="69">
        <v>117.23000000000006</v>
      </c>
      <c r="C192" s="69" t="s">
        <v>484</v>
      </c>
      <c r="D192" s="31" t="s">
        <v>708</v>
      </c>
      <c r="E192" s="29" t="s">
        <v>34</v>
      </c>
      <c r="F192" s="28">
        <v>0.7</v>
      </c>
      <c r="G192" s="29">
        <v>0.04</v>
      </c>
      <c r="H192" s="29">
        <v>-0.04</v>
      </c>
      <c r="I192" s="30" t="s">
        <v>39</v>
      </c>
      <c r="J192" s="12">
        <f t="shared" si="76"/>
        <v>0.74</v>
      </c>
      <c r="K192" s="12">
        <f t="shared" si="77"/>
        <v>0.65999999999999992</v>
      </c>
      <c r="L192" s="78"/>
      <c r="M192" s="78"/>
      <c r="N192" s="78"/>
      <c r="O192" s="36"/>
      <c r="P192" s="24" t="str">
        <f t="shared" si="69"/>
        <v xml:space="preserve"> </v>
      </c>
      <c r="Q192" s="25" t="str">
        <f t="shared" si="70"/>
        <v xml:space="preserve"> </v>
      </c>
      <c r="R192" s="25" t="str">
        <f t="shared" si="71"/>
        <v xml:space="preserve"> </v>
      </c>
      <c r="S192" s="26" t="str">
        <f t="shared" si="72"/>
        <v xml:space="preserve"> </v>
      </c>
      <c r="T192" s="7" t="str">
        <f t="shared" si="73"/>
        <v xml:space="preserve"> </v>
      </c>
      <c r="U192" s="8" t="str">
        <f t="shared" si="74"/>
        <v xml:space="preserve"> </v>
      </c>
      <c r="V192" s="9" t="str">
        <f t="shared" si="66"/>
        <v xml:space="preserve"> </v>
      </c>
      <c r="W192" s="9" t="str">
        <f t="shared" si="75"/>
        <v/>
      </c>
      <c r="X192" s="32"/>
      <c r="Y192" s="36"/>
    </row>
    <row r="193" spans="1:25" s="4" customFormat="1" ht="18" customHeight="1">
      <c r="A193" s="36"/>
      <c r="B193" s="69">
        <v>117.24000000000007</v>
      </c>
      <c r="C193" s="69" t="s">
        <v>485</v>
      </c>
      <c r="D193" s="31" t="s">
        <v>708</v>
      </c>
      <c r="E193" s="29" t="s">
        <v>34</v>
      </c>
      <c r="F193" s="28">
        <v>0.7</v>
      </c>
      <c r="G193" s="29">
        <v>0.04</v>
      </c>
      <c r="H193" s="29">
        <v>-0.04</v>
      </c>
      <c r="I193" s="30" t="s">
        <v>39</v>
      </c>
      <c r="J193" s="12">
        <f t="shared" si="76"/>
        <v>0.74</v>
      </c>
      <c r="K193" s="12">
        <f t="shared" si="77"/>
        <v>0.65999999999999992</v>
      </c>
      <c r="L193" s="78"/>
      <c r="M193" s="78"/>
      <c r="N193" s="78"/>
      <c r="O193" s="36"/>
      <c r="P193" s="24" t="str">
        <f t="shared" si="69"/>
        <v xml:space="preserve"> </v>
      </c>
      <c r="Q193" s="25" t="str">
        <f t="shared" si="70"/>
        <v xml:space="preserve"> </v>
      </c>
      <c r="R193" s="25" t="str">
        <f t="shared" si="71"/>
        <v xml:space="preserve"> </v>
      </c>
      <c r="S193" s="26" t="str">
        <f t="shared" si="72"/>
        <v xml:space="preserve"> </v>
      </c>
      <c r="T193" s="7" t="str">
        <f t="shared" si="73"/>
        <v xml:space="preserve"> </v>
      </c>
      <c r="U193" s="8" t="str">
        <f t="shared" si="74"/>
        <v xml:space="preserve"> </v>
      </c>
      <c r="V193" s="9" t="str">
        <f t="shared" si="66"/>
        <v xml:space="preserve"> </v>
      </c>
      <c r="W193" s="9" t="str">
        <f t="shared" si="75"/>
        <v/>
      </c>
      <c r="X193" s="32"/>
      <c r="Y193" s="36"/>
    </row>
    <row r="194" spans="1:25" s="4" customFormat="1" ht="18" customHeight="1">
      <c r="A194" s="36"/>
      <c r="B194" s="69">
        <v>117.25000000000007</v>
      </c>
      <c r="C194" s="69" t="s">
        <v>486</v>
      </c>
      <c r="D194" s="31" t="s">
        <v>708</v>
      </c>
      <c r="E194" s="29" t="s">
        <v>34</v>
      </c>
      <c r="F194" s="28">
        <v>0.7</v>
      </c>
      <c r="G194" s="29">
        <v>0.04</v>
      </c>
      <c r="H194" s="29">
        <v>-0.04</v>
      </c>
      <c r="I194" s="30" t="s">
        <v>39</v>
      </c>
      <c r="J194" s="12">
        <f t="shared" si="76"/>
        <v>0.74</v>
      </c>
      <c r="K194" s="12">
        <f t="shared" si="77"/>
        <v>0.65999999999999992</v>
      </c>
      <c r="L194" s="78"/>
      <c r="M194" s="78"/>
      <c r="N194" s="78"/>
      <c r="O194" s="36"/>
      <c r="P194" s="24" t="str">
        <f t="shared" si="69"/>
        <v xml:space="preserve"> </v>
      </c>
      <c r="Q194" s="25" t="str">
        <f t="shared" si="70"/>
        <v xml:space="preserve"> </v>
      </c>
      <c r="R194" s="25" t="str">
        <f t="shared" si="71"/>
        <v xml:space="preserve"> </v>
      </c>
      <c r="S194" s="26" t="str">
        <f t="shared" si="72"/>
        <v xml:space="preserve"> </v>
      </c>
      <c r="T194" s="7" t="str">
        <f t="shared" si="73"/>
        <v xml:space="preserve"> </v>
      </c>
      <c r="U194" s="8" t="str">
        <f t="shared" si="74"/>
        <v xml:space="preserve"> </v>
      </c>
      <c r="V194" s="9" t="str">
        <f t="shared" si="66"/>
        <v xml:space="preserve"> </v>
      </c>
      <c r="W194" s="9" t="str">
        <f t="shared" si="75"/>
        <v/>
      </c>
      <c r="X194" s="32"/>
      <c r="Y194" s="36"/>
    </row>
    <row r="195" spans="1:25" s="4" customFormat="1" ht="18" customHeight="1">
      <c r="A195" s="36"/>
      <c r="B195" s="69">
        <v>117.26000000000008</v>
      </c>
      <c r="C195" s="69" t="s">
        <v>487</v>
      </c>
      <c r="D195" s="31" t="s">
        <v>708</v>
      </c>
      <c r="E195" s="29" t="s">
        <v>34</v>
      </c>
      <c r="F195" s="28">
        <v>0.7</v>
      </c>
      <c r="G195" s="29">
        <v>0.04</v>
      </c>
      <c r="H195" s="29">
        <v>-0.04</v>
      </c>
      <c r="I195" s="30" t="s">
        <v>39</v>
      </c>
      <c r="J195" s="12">
        <f t="shared" si="76"/>
        <v>0.74</v>
      </c>
      <c r="K195" s="12">
        <f t="shared" si="77"/>
        <v>0.65999999999999992</v>
      </c>
      <c r="L195" s="78"/>
      <c r="M195" s="78"/>
      <c r="N195" s="78"/>
      <c r="O195" s="36"/>
      <c r="P195" s="24" t="str">
        <f t="shared" si="69"/>
        <v xml:space="preserve"> </v>
      </c>
      <c r="Q195" s="25" t="str">
        <f t="shared" si="70"/>
        <v xml:space="preserve"> </v>
      </c>
      <c r="R195" s="25" t="str">
        <f t="shared" si="71"/>
        <v xml:space="preserve"> </v>
      </c>
      <c r="S195" s="26" t="str">
        <f t="shared" si="72"/>
        <v xml:space="preserve"> </v>
      </c>
      <c r="T195" s="7" t="str">
        <f t="shared" si="73"/>
        <v xml:space="preserve"> </v>
      </c>
      <c r="U195" s="8" t="str">
        <f t="shared" si="74"/>
        <v xml:space="preserve"> </v>
      </c>
      <c r="V195" s="9" t="str">
        <f t="shared" si="66"/>
        <v xml:space="preserve"> </v>
      </c>
      <c r="W195" s="9" t="str">
        <f t="shared" si="75"/>
        <v/>
      </c>
      <c r="X195" s="32"/>
      <c r="Y195" s="36"/>
    </row>
    <row r="196" spans="1:25" s="4" customFormat="1" ht="18" customHeight="1">
      <c r="A196" s="36"/>
      <c r="B196" s="69">
        <v>117.27000000000008</v>
      </c>
      <c r="C196" s="69" t="s">
        <v>488</v>
      </c>
      <c r="D196" s="31" t="s">
        <v>708</v>
      </c>
      <c r="E196" s="29" t="s">
        <v>34</v>
      </c>
      <c r="F196" s="28">
        <v>0.7</v>
      </c>
      <c r="G196" s="29">
        <v>0.04</v>
      </c>
      <c r="H196" s="29">
        <v>-0.04</v>
      </c>
      <c r="I196" s="30" t="s">
        <v>39</v>
      </c>
      <c r="J196" s="12">
        <f t="shared" si="76"/>
        <v>0.74</v>
      </c>
      <c r="K196" s="12">
        <f t="shared" si="77"/>
        <v>0.65999999999999992</v>
      </c>
      <c r="L196" s="78"/>
      <c r="M196" s="78"/>
      <c r="N196" s="78"/>
      <c r="O196" s="36"/>
      <c r="P196" s="24" t="str">
        <f t="shared" si="69"/>
        <v xml:space="preserve"> </v>
      </c>
      <c r="Q196" s="25" t="str">
        <f t="shared" si="70"/>
        <v xml:space="preserve"> </v>
      </c>
      <c r="R196" s="25" t="str">
        <f t="shared" si="71"/>
        <v xml:space="preserve"> </v>
      </c>
      <c r="S196" s="26" t="str">
        <f t="shared" si="72"/>
        <v xml:space="preserve"> </v>
      </c>
      <c r="T196" s="7" t="str">
        <f t="shared" si="73"/>
        <v xml:space="preserve"> </v>
      </c>
      <c r="U196" s="8" t="str">
        <f t="shared" si="74"/>
        <v xml:space="preserve"> </v>
      </c>
      <c r="V196" s="9" t="str">
        <f t="shared" si="66"/>
        <v xml:space="preserve"> </v>
      </c>
      <c r="W196" s="9" t="str">
        <f t="shared" si="75"/>
        <v/>
      </c>
      <c r="X196" s="32"/>
      <c r="Y196" s="36"/>
    </row>
    <row r="197" spans="1:25" s="4" customFormat="1" ht="18" customHeight="1">
      <c r="A197" s="36"/>
      <c r="B197" s="69">
        <v>117.28000000000009</v>
      </c>
      <c r="C197" s="69" t="s">
        <v>489</v>
      </c>
      <c r="D197" s="31" t="s">
        <v>708</v>
      </c>
      <c r="E197" s="29" t="s">
        <v>34</v>
      </c>
      <c r="F197" s="28">
        <v>0.7</v>
      </c>
      <c r="G197" s="29">
        <v>0.04</v>
      </c>
      <c r="H197" s="29">
        <v>-0.04</v>
      </c>
      <c r="I197" s="30" t="s">
        <v>39</v>
      </c>
      <c r="J197" s="12">
        <f t="shared" si="76"/>
        <v>0.74</v>
      </c>
      <c r="K197" s="12">
        <f t="shared" si="77"/>
        <v>0.65999999999999992</v>
      </c>
      <c r="L197" s="78"/>
      <c r="M197" s="78"/>
      <c r="N197" s="78"/>
      <c r="O197" s="36"/>
      <c r="P197" s="24" t="str">
        <f t="shared" si="69"/>
        <v xml:space="preserve"> </v>
      </c>
      <c r="Q197" s="25" t="str">
        <f t="shared" si="70"/>
        <v xml:space="preserve"> </v>
      </c>
      <c r="R197" s="25" t="str">
        <f t="shared" si="71"/>
        <v xml:space="preserve"> </v>
      </c>
      <c r="S197" s="26" t="str">
        <f t="shared" si="72"/>
        <v xml:space="preserve"> </v>
      </c>
      <c r="T197" s="7" t="str">
        <f t="shared" si="73"/>
        <v xml:space="preserve"> </v>
      </c>
      <c r="U197" s="8" t="str">
        <f t="shared" si="74"/>
        <v xml:space="preserve"> </v>
      </c>
      <c r="V197" s="9" t="str">
        <f t="shared" si="66"/>
        <v xml:space="preserve"> </v>
      </c>
      <c r="W197" s="9" t="str">
        <f t="shared" si="75"/>
        <v/>
      </c>
      <c r="X197" s="32"/>
      <c r="Y197" s="36"/>
    </row>
    <row r="198" spans="1:25" s="4" customFormat="1" ht="18" customHeight="1">
      <c r="A198" s="36"/>
      <c r="B198" s="69">
        <v>117.29000000000009</v>
      </c>
      <c r="C198" s="69" t="s">
        <v>490</v>
      </c>
      <c r="D198" s="31" t="s">
        <v>708</v>
      </c>
      <c r="E198" s="29" t="s">
        <v>34</v>
      </c>
      <c r="F198" s="28">
        <v>0.7</v>
      </c>
      <c r="G198" s="29">
        <v>0.04</v>
      </c>
      <c r="H198" s="29">
        <v>-0.04</v>
      </c>
      <c r="I198" s="30" t="s">
        <v>39</v>
      </c>
      <c r="J198" s="12">
        <f t="shared" si="76"/>
        <v>0.74</v>
      </c>
      <c r="K198" s="12">
        <f t="shared" si="77"/>
        <v>0.65999999999999992</v>
      </c>
      <c r="L198" s="78"/>
      <c r="M198" s="78"/>
      <c r="N198" s="78"/>
      <c r="O198" s="36"/>
      <c r="P198" s="24" t="str">
        <f t="shared" si="69"/>
        <v xml:space="preserve"> </v>
      </c>
      <c r="Q198" s="25" t="str">
        <f t="shared" si="70"/>
        <v xml:space="preserve"> </v>
      </c>
      <c r="R198" s="25" t="str">
        <f t="shared" si="71"/>
        <v xml:space="preserve"> </v>
      </c>
      <c r="S198" s="26" t="str">
        <f t="shared" si="72"/>
        <v xml:space="preserve"> </v>
      </c>
      <c r="T198" s="7" t="str">
        <f t="shared" si="73"/>
        <v xml:space="preserve"> </v>
      </c>
      <c r="U198" s="8" t="str">
        <f t="shared" si="74"/>
        <v xml:space="preserve"> </v>
      </c>
      <c r="V198" s="9" t="str">
        <f t="shared" si="66"/>
        <v xml:space="preserve"> </v>
      </c>
      <c r="W198" s="9" t="str">
        <f t="shared" si="75"/>
        <v/>
      </c>
      <c r="X198" s="32"/>
      <c r="Y198" s="36"/>
    </row>
    <row r="199" spans="1:25" s="4" customFormat="1" ht="18" customHeight="1">
      <c r="A199" s="36"/>
      <c r="B199" s="69" t="s">
        <v>874</v>
      </c>
      <c r="C199" s="69" t="s">
        <v>491</v>
      </c>
      <c r="D199" s="31" t="s">
        <v>708</v>
      </c>
      <c r="E199" s="29" t="s">
        <v>34</v>
      </c>
      <c r="F199" s="28">
        <v>0.7</v>
      </c>
      <c r="G199" s="29">
        <v>0.04</v>
      </c>
      <c r="H199" s="29">
        <v>-0.04</v>
      </c>
      <c r="I199" s="30" t="s">
        <v>39</v>
      </c>
      <c r="J199" s="12">
        <f t="shared" si="76"/>
        <v>0.74</v>
      </c>
      <c r="K199" s="12">
        <f t="shared" si="77"/>
        <v>0.65999999999999992</v>
      </c>
      <c r="L199" s="78"/>
      <c r="M199" s="78"/>
      <c r="N199" s="78"/>
      <c r="O199" s="36"/>
      <c r="P199" s="24" t="str">
        <f t="shared" si="69"/>
        <v xml:space="preserve"> </v>
      </c>
      <c r="Q199" s="25" t="str">
        <f t="shared" si="70"/>
        <v xml:space="preserve"> </v>
      </c>
      <c r="R199" s="25" t="str">
        <f t="shared" si="71"/>
        <v xml:space="preserve"> </v>
      </c>
      <c r="S199" s="26" t="str">
        <f t="shared" si="72"/>
        <v xml:space="preserve"> </v>
      </c>
      <c r="T199" s="7" t="str">
        <f t="shared" si="73"/>
        <v xml:space="preserve"> </v>
      </c>
      <c r="U199" s="8" t="str">
        <f t="shared" si="74"/>
        <v xml:space="preserve"> </v>
      </c>
      <c r="V199" s="9" t="str">
        <f t="shared" si="66"/>
        <v xml:space="preserve"> </v>
      </c>
      <c r="W199" s="9" t="str">
        <f t="shared" si="75"/>
        <v/>
      </c>
      <c r="X199" s="32"/>
      <c r="Y199" s="36"/>
    </row>
    <row r="200" spans="1:25" s="4" customFormat="1" ht="18" customHeight="1">
      <c r="A200" s="36"/>
      <c r="B200" s="69">
        <v>117.3100000000001</v>
      </c>
      <c r="C200" s="69" t="s">
        <v>492</v>
      </c>
      <c r="D200" s="31" t="s">
        <v>708</v>
      </c>
      <c r="E200" s="29" t="s">
        <v>34</v>
      </c>
      <c r="F200" s="28">
        <v>0.7</v>
      </c>
      <c r="G200" s="29">
        <v>0.04</v>
      </c>
      <c r="H200" s="29">
        <v>-0.04</v>
      </c>
      <c r="I200" s="30" t="s">
        <v>39</v>
      </c>
      <c r="J200" s="12">
        <f t="shared" si="76"/>
        <v>0.74</v>
      </c>
      <c r="K200" s="12">
        <f t="shared" si="77"/>
        <v>0.65999999999999992</v>
      </c>
      <c r="L200" s="78"/>
      <c r="M200" s="78"/>
      <c r="N200" s="78"/>
      <c r="O200" s="36"/>
      <c r="P200" s="24" t="str">
        <f t="shared" si="69"/>
        <v xml:space="preserve"> </v>
      </c>
      <c r="Q200" s="25" t="str">
        <f t="shared" si="70"/>
        <v xml:space="preserve"> </v>
      </c>
      <c r="R200" s="25" t="str">
        <f t="shared" si="71"/>
        <v xml:space="preserve"> </v>
      </c>
      <c r="S200" s="26" t="str">
        <f t="shared" si="72"/>
        <v xml:space="preserve"> </v>
      </c>
      <c r="T200" s="7" t="str">
        <f t="shared" si="73"/>
        <v xml:space="preserve"> </v>
      </c>
      <c r="U200" s="8" t="str">
        <f t="shared" si="74"/>
        <v xml:space="preserve"> </v>
      </c>
      <c r="V200" s="9" t="str">
        <f t="shared" si="66"/>
        <v xml:space="preserve"> </v>
      </c>
      <c r="W200" s="9" t="str">
        <f t="shared" si="75"/>
        <v/>
      </c>
      <c r="X200" s="32"/>
      <c r="Y200" s="36"/>
    </row>
    <row r="201" spans="1:25" s="4" customFormat="1" ht="18" customHeight="1">
      <c r="A201" s="36"/>
      <c r="B201" s="69">
        <v>117.32000000000011</v>
      </c>
      <c r="C201" s="69" t="s">
        <v>493</v>
      </c>
      <c r="D201" s="31" t="s">
        <v>708</v>
      </c>
      <c r="E201" s="29" t="s">
        <v>34</v>
      </c>
      <c r="F201" s="28">
        <v>0.7</v>
      </c>
      <c r="G201" s="29">
        <v>0.04</v>
      </c>
      <c r="H201" s="29">
        <v>-0.04</v>
      </c>
      <c r="I201" s="30" t="s">
        <v>39</v>
      </c>
      <c r="J201" s="12">
        <f t="shared" si="76"/>
        <v>0.74</v>
      </c>
      <c r="K201" s="12">
        <f t="shared" si="77"/>
        <v>0.65999999999999992</v>
      </c>
      <c r="L201" s="78"/>
      <c r="M201" s="78"/>
      <c r="N201" s="78"/>
      <c r="O201" s="36"/>
      <c r="P201" s="24" t="str">
        <f t="shared" si="69"/>
        <v xml:space="preserve"> </v>
      </c>
      <c r="Q201" s="25" t="str">
        <f t="shared" si="70"/>
        <v xml:space="preserve"> </v>
      </c>
      <c r="R201" s="25" t="str">
        <f t="shared" si="71"/>
        <v xml:space="preserve"> </v>
      </c>
      <c r="S201" s="26" t="str">
        <f t="shared" si="72"/>
        <v xml:space="preserve"> </v>
      </c>
      <c r="T201" s="7" t="str">
        <f t="shared" si="73"/>
        <v xml:space="preserve"> </v>
      </c>
      <c r="U201" s="8" t="str">
        <f t="shared" si="74"/>
        <v xml:space="preserve"> </v>
      </c>
      <c r="V201" s="9" t="str">
        <f t="shared" si="66"/>
        <v xml:space="preserve"> </v>
      </c>
      <c r="W201" s="9" t="str">
        <f t="shared" si="75"/>
        <v/>
      </c>
      <c r="X201" s="32"/>
      <c r="Y201" s="36"/>
    </row>
    <row r="202" spans="1:25" s="4" customFormat="1" ht="18" customHeight="1">
      <c r="A202" s="36"/>
      <c r="B202" s="69">
        <v>117.33000000000011</v>
      </c>
      <c r="C202" s="69" t="s">
        <v>494</v>
      </c>
      <c r="D202" s="31" t="s">
        <v>708</v>
      </c>
      <c r="E202" s="29" t="s">
        <v>34</v>
      </c>
      <c r="F202" s="28">
        <v>0.7</v>
      </c>
      <c r="G202" s="29">
        <v>0.04</v>
      </c>
      <c r="H202" s="29">
        <v>-0.04</v>
      </c>
      <c r="I202" s="30" t="s">
        <v>39</v>
      </c>
      <c r="J202" s="12">
        <f t="shared" si="76"/>
        <v>0.74</v>
      </c>
      <c r="K202" s="12">
        <f t="shared" si="77"/>
        <v>0.65999999999999992</v>
      </c>
      <c r="L202" s="78"/>
      <c r="M202" s="78"/>
      <c r="N202" s="78"/>
      <c r="O202" s="36"/>
      <c r="P202" s="24" t="str">
        <f t="shared" si="69"/>
        <v xml:space="preserve"> </v>
      </c>
      <c r="Q202" s="25" t="str">
        <f t="shared" si="70"/>
        <v xml:space="preserve"> </v>
      </c>
      <c r="R202" s="25" t="str">
        <f t="shared" si="71"/>
        <v xml:space="preserve"> </v>
      </c>
      <c r="S202" s="26" t="str">
        <f t="shared" si="72"/>
        <v xml:space="preserve"> </v>
      </c>
      <c r="T202" s="7" t="str">
        <f t="shared" si="73"/>
        <v xml:space="preserve"> </v>
      </c>
      <c r="U202" s="8" t="str">
        <f t="shared" si="74"/>
        <v xml:space="preserve"> </v>
      </c>
      <c r="V202" s="9" t="str">
        <f t="shared" si="66"/>
        <v xml:space="preserve"> </v>
      </c>
      <c r="W202" s="9" t="str">
        <f t="shared" si="75"/>
        <v/>
      </c>
      <c r="X202" s="32"/>
      <c r="Y202" s="36"/>
    </row>
    <row r="203" spans="1:25" s="4" customFormat="1" ht="18" customHeight="1">
      <c r="A203" s="36"/>
      <c r="B203" s="69">
        <v>117.34000000000012</v>
      </c>
      <c r="C203" s="69" t="s">
        <v>495</v>
      </c>
      <c r="D203" s="31" t="s">
        <v>708</v>
      </c>
      <c r="E203" s="29" t="s">
        <v>34</v>
      </c>
      <c r="F203" s="28">
        <v>0.7</v>
      </c>
      <c r="G203" s="29">
        <v>0.04</v>
      </c>
      <c r="H203" s="29">
        <v>-0.04</v>
      </c>
      <c r="I203" s="30" t="s">
        <v>39</v>
      </c>
      <c r="J203" s="12">
        <f t="shared" si="76"/>
        <v>0.74</v>
      </c>
      <c r="K203" s="12">
        <f t="shared" si="77"/>
        <v>0.65999999999999992</v>
      </c>
      <c r="L203" s="78"/>
      <c r="M203" s="78"/>
      <c r="N203" s="78"/>
      <c r="O203" s="36"/>
      <c r="P203" s="24" t="str">
        <f t="shared" si="69"/>
        <v xml:space="preserve"> </v>
      </c>
      <c r="Q203" s="25" t="str">
        <f t="shared" si="70"/>
        <v xml:space="preserve"> </v>
      </c>
      <c r="R203" s="25" t="str">
        <f t="shared" si="71"/>
        <v xml:space="preserve"> </v>
      </c>
      <c r="S203" s="26" t="str">
        <f t="shared" si="72"/>
        <v xml:space="preserve"> </v>
      </c>
      <c r="T203" s="7" t="str">
        <f t="shared" si="73"/>
        <v xml:space="preserve"> </v>
      </c>
      <c r="U203" s="8" t="str">
        <f t="shared" si="74"/>
        <v xml:space="preserve"> </v>
      </c>
      <c r="V203" s="9" t="str">
        <f t="shared" si="66"/>
        <v xml:space="preserve"> </v>
      </c>
      <c r="W203" s="9" t="str">
        <f t="shared" si="75"/>
        <v/>
      </c>
      <c r="X203" s="32"/>
      <c r="Y203" s="36"/>
    </row>
    <row r="204" spans="1:25" s="4" customFormat="1" ht="18" customHeight="1">
      <c r="A204" s="36"/>
      <c r="B204" s="69">
        <v>117.35000000000012</v>
      </c>
      <c r="C204" s="69" t="s">
        <v>496</v>
      </c>
      <c r="D204" s="31" t="s">
        <v>708</v>
      </c>
      <c r="E204" s="29" t="s">
        <v>34</v>
      </c>
      <c r="F204" s="28">
        <v>0.7</v>
      </c>
      <c r="G204" s="29">
        <v>0.04</v>
      </c>
      <c r="H204" s="29">
        <v>-0.04</v>
      </c>
      <c r="I204" s="30" t="s">
        <v>39</v>
      </c>
      <c r="J204" s="12">
        <f t="shared" si="76"/>
        <v>0.74</v>
      </c>
      <c r="K204" s="12">
        <f t="shared" si="77"/>
        <v>0.65999999999999992</v>
      </c>
      <c r="L204" s="78"/>
      <c r="M204" s="78"/>
      <c r="N204" s="78"/>
      <c r="O204" s="36"/>
      <c r="P204" s="24" t="str">
        <f t="shared" si="69"/>
        <v xml:space="preserve"> </v>
      </c>
      <c r="Q204" s="25" t="str">
        <f t="shared" si="70"/>
        <v xml:space="preserve"> </v>
      </c>
      <c r="R204" s="25" t="str">
        <f t="shared" si="71"/>
        <v xml:space="preserve"> </v>
      </c>
      <c r="S204" s="26" t="str">
        <f t="shared" si="72"/>
        <v xml:space="preserve"> </v>
      </c>
      <c r="T204" s="7" t="str">
        <f t="shared" si="73"/>
        <v xml:space="preserve"> </v>
      </c>
      <c r="U204" s="8" t="str">
        <f t="shared" si="74"/>
        <v xml:space="preserve"> </v>
      </c>
      <c r="V204" s="9" t="str">
        <f t="shared" si="66"/>
        <v xml:space="preserve"> </v>
      </c>
      <c r="W204" s="9" t="str">
        <f t="shared" si="75"/>
        <v/>
      </c>
      <c r="X204" s="32"/>
      <c r="Y204" s="36"/>
    </row>
    <row r="205" spans="1:25" s="4" customFormat="1" ht="18" customHeight="1">
      <c r="A205" s="36"/>
      <c r="B205" s="69">
        <v>117.36000000000013</v>
      </c>
      <c r="C205" s="69" t="s">
        <v>497</v>
      </c>
      <c r="D205" s="31" t="s">
        <v>708</v>
      </c>
      <c r="E205" s="29" t="s">
        <v>34</v>
      </c>
      <c r="F205" s="28">
        <v>0.7</v>
      </c>
      <c r="G205" s="29">
        <v>0.04</v>
      </c>
      <c r="H205" s="29">
        <v>-0.04</v>
      </c>
      <c r="I205" s="30" t="s">
        <v>39</v>
      </c>
      <c r="J205" s="12">
        <f t="shared" si="76"/>
        <v>0.74</v>
      </c>
      <c r="K205" s="12">
        <f t="shared" si="77"/>
        <v>0.65999999999999992</v>
      </c>
      <c r="L205" s="78"/>
      <c r="M205" s="78"/>
      <c r="N205" s="78"/>
      <c r="O205" s="36"/>
      <c r="P205" s="24" t="str">
        <f t="shared" si="69"/>
        <v xml:space="preserve"> </v>
      </c>
      <c r="Q205" s="25" t="str">
        <f t="shared" si="70"/>
        <v xml:space="preserve"> </v>
      </c>
      <c r="R205" s="25" t="str">
        <f t="shared" si="71"/>
        <v xml:space="preserve"> </v>
      </c>
      <c r="S205" s="26" t="str">
        <f t="shared" si="72"/>
        <v xml:space="preserve"> </v>
      </c>
      <c r="T205" s="7" t="str">
        <f t="shared" si="73"/>
        <v xml:space="preserve"> </v>
      </c>
      <c r="U205" s="8" t="str">
        <f t="shared" si="74"/>
        <v xml:space="preserve"> </v>
      </c>
      <c r="V205" s="9" t="str">
        <f t="shared" si="66"/>
        <v xml:space="preserve"> </v>
      </c>
      <c r="W205" s="9" t="str">
        <f t="shared" si="75"/>
        <v/>
      </c>
      <c r="X205" s="32"/>
      <c r="Y205" s="36"/>
    </row>
    <row r="206" spans="1:25" s="4" customFormat="1" ht="18" customHeight="1">
      <c r="A206" s="36"/>
      <c r="B206" s="69">
        <v>117.37000000000013</v>
      </c>
      <c r="C206" s="69" t="s">
        <v>498</v>
      </c>
      <c r="D206" s="31" t="s">
        <v>708</v>
      </c>
      <c r="E206" s="29" t="s">
        <v>34</v>
      </c>
      <c r="F206" s="28">
        <v>0.7</v>
      </c>
      <c r="G206" s="29">
        <v>0.04</v>
      </c>
      <c r="H206" s="29">
        <v>-0.04</v>
      </c>
      <c r="I206" s="30" t="s">
        <v>39</v>
      </c>
      <c r="J206" s="12">
        <f t="shared" si="76"/>
        <v>0.74</v>
      </c>
      <c r="K206" s="12">
        <f t="shared" si="77"/>
        <v>0.65999999999999992</v>
      </c>
      <c r="L206" s="78"/>
      <c r="M206" s="78"/>
      <c r="N206" s="78"/>
      <c r="O206" s="36"/>
      <c r="P206" s="24" t="str">
        <f t="shared" si="69"/>
        <v xml:space="preserve"> </v>
      </c>
      <c r="Q206" s="25" t="str">
        <f t="shared" si="70"/>
        <v xml:space="preserve"> </v>
      </c>
      <c r="R206" s="25" t="str">
        <f t="shared" si="71"/>
        <v xml:space="preserve"> </v>
      </c>
      <c r="S206" s="26" t="str">
        <f t="shared" si="72"/>
        <v xml:space="preserve"> </v>
      </c>
      <c r="T206" s="7" t="str">
        <f t="shared" si="73"/>
        <v xml:space="preserve"> </v>
      </c>
      <c r="U206" s="8" t="str">
        <f t="shared" si="74"/>
        <v xml:space="preserve"> </v>
      </c>
      <c r="V206" s="9" t="str">
        <f t="shared" si="66"/>
        <v xml:space="preserve"> </v>
      </c>
      <c r="W206" s="9" t="str">
        <f t="shared" si="75"/>
        <v/>
      </c>
      <c r="X206" s="32"/>
      <c r="Y206" s="36"/>
    </row>
    <row r="207" spans="1:25" s="4" customFormat="1" ht="18" customHeight="1">
      <c r="A207" s="36"/>
      <c r="B207" s="69">
        <v>117.38000000000014</v>
      </c>
      <c r="C207" s="69" t="s">
        <v>499</v>
      </c>
      <c r="D207" s="31" t="s">
        <v>708</v>
      </c>
      <c r="E207" s="29" t="s">
        <v>34</v>
      </c>
      <c r="F207" s="28">
        <v>0.7</v>
      </c>
      <c r="G207" s="29">
        <v>0.04</v>
      </c>
      <c r="H207" s="29">
        <v>-0.04</v>
      </c>
      <c r="I207" s="30" t="s">
        <v>39</v>
      </c>
      <c r="J207" s="12">
        <f t="shared" si="76"/>
        <v>0.74</v>
      </c>
      <c r="K207" s="12">
        <f t="shared" si="77"/>
        <v>0.65999999999999992</v>
      </c>
      <c r="L207" s="78"/>
      <c r="M207" s="78"/>
      <c r="N207" s="78"/>
      <c r="O207" s="36"/>
      <c r="P207" s="24" t="str">
        <f t="shared" si="69"/>
        <v xml:space="preserve"> </v>
      </c>
      <c r="Q207" s="25" t="str">
        <f t="shared" si="70"/>
        <v xml:space="preserve"> </v>
      </c>
      <c r="R207" s="25" t="str">
        <f t="shared" si="71"/>
        <v xml:space="preserve"> </v>
      </c>
      <c r="S207" s="26" t="str">
        <f t="shared" si="72"/>
        <v xml:space="preserve"> </v>
      </c>
      <c r="T207" s="7" t="str">
        <f t="shared" si="73"/>
        <v xml:space="preserve"> </v>
      </c>
      <c r="U207" s="8" t="str">
        <f t="shared" si="74"/>
        <v xml:space="preserve"> </v>
      </c>
      <c r="V207" s="9" t="str">
        <f t="shared" si="66"/>
        <v xml:space="preserve"> </v>
      </c>
      <c r="W207" s="9" t="str">
        <f t="shared" si="75"/>
        <v/>
      </c>
      <c r="X207" s="32"/>
      <c r="Y207" s="36"/>
    </row>
    <row r="208" spans="1:25" s="4" customFormat="1" ht="18" customHeight="1">
      <c r="A208" s="36"/>
      <c r="B208" s="69">
        <v>117.39000000000014</v>
      </c>
      <c r="C208" s="69" t="s">
        <v>500</v>
      </c>
      <c r="D208" s="31" t="s">
        <v>708</v>
      </c>
      <c r="E208" s="29" t="s">
        <v>34</v>
      </c>
      <c r="F208" s="28">
        <v>0.7</v>
      </c>
      <c r="G208" s="29">
        <v>0.04</v>
      </c>
      <c r="H208" s="29">
        <v>-0.04</v>
      </c>
      <c r="I208" s="30" t="s">
        <v>39</v>
      </c>
      <c r="J208" s="12">
        <f t="shared" si="76"/>
        <v>0.74</v>
      </c>
      <c r="K208" s="12">
        <f t="shared" si="77"/>
        <v>0.65999999999999992</v>
      </c>
      <c r="L208" s="78"/>
      <c r="M208" s="78"/>
      <c r="N208" s="78"/>
      <c r="O208" s="36"/>
      <c r="P208" s="24" t="str">
        <f t="shared" si="69"/>
        <v xml:space="preserve"> </v>
      </c>
      <c r="Q208" s="25" t="str">
        <f t="shared" si="70"/>
        <v xml:space="preserve"> </v>
      </c>
      <c r="R208" s="25" t="str">
        <f t="shared" si="71"/>
        <v xml:space="preserve"> </v>
      </c>
      <c r="S208" s="26" t="str">
        <f t="shared" si="72"/>
        <v xml:space="preserve"> </v>
      </c>
      <c r="T208" s="7" t="str">
        <f t="shared" si="73"/>
        <v xml:space="preserve"> </v>
      </c>
      <c r="U208" s="8" t="str">
        <f t="shared" si="74"/>
        <v xml:space="preserve"> </v>
      </c>
      <c r="V208" s="9" t="str">
        <f t="shared" si="66"/>
        <v xml:space="preserve"> </v>
      </c>
      <c r="W208" s="9" t="str">
        <f t="shared" si="75"/>
        <v/>
      </c>
      <c r="X208" s="32"/>
      <c r="Y208" s="36"/>
    </row>
    <row r="209" spans="1:25" s="4" customFormat="1" ht="18" customHeight="1">
      <c r="A209" s="36"/>
      <c r="B209" s="69" t="s">
        <v>875</v>
      </c>
      <c r="C209" s="69" t="s">
        <v>501</v>
      </c>
      <c r="D209" s="31" t="s">
        <v>708</v>
      </c>
      <c r="E209" s="29" t="s">
        <v>34</v>
      </c>
      <c r="F209" s="28">
        <v>0.7</v>
      </c>
      <c r="G209" s="29">
        <v>0.04</v>
      </c>
      <c r="H209" s="29">
        <v>-0.04</v>
      </c>
      <c r="I209" s="30" t="s">
        <v>39</v>
      </c>
      <c r="J209" s="12">
        <f t="shared" si="76"/>
        <v>0.74</v>
      </c>
      <c r="K209" s="12">
        <f t="shared" si="77"/>
        <v>0.65999999999999992</v>
      </c>
      <c r="L209" s="78"/>
      <c r="M209" s="78"/>
      <c r="N209" s="78"/>
      <c r="O209" s="36"/>
      <c r="P209" s="24" t="str">
        <f t="shared" si="69"/>
        <v xml:space="preserve"> </v>
      </c>
      <c r="Q209" s="25" t="str">
        <f t="shared" si="70"/>
        <v xml:space="preserve"> </v>
      </c>
      <c r="R209" s="25" t="str">
        <f t="shared" si="71"/>
        <v xml:space="preserve"> </v>
      </c>
      <c r="S209" s="26" t="str">
        <f t="shared" si="72"/>
        <v xml:space="preserve"> </v>
      </c>
      <c r="T209" s="7" t="str">
        <f t="shared" si="73"/>
        <v xml:space="preserve"> </v>
      </c>
      <c r="U209" s="8" t="str">
        <f t="shared" si="74"/>
        <v xml:space="preserve"> </v>
      </c>
      <c r="V209" s="9" t="str">
        <f t="shared" si="66"/>
        <v xml:space="preserve"> </v>
      </c>
      <c r="W209" s="9" t="str">
        <f t="shared" si="75"/>
        <v/>
      </c>
      <c r="X209" s="32"/>
      <c r="Y209" s="36"/>
    </row>
    <row r="210" spans="1:25" s="4" customFormat="1" ht="18" customHeight="1">
      <c r="A210" s="36"/>
      <c r="B210" s="69">
        <v>117.41000000000015</v>
      </c>
      <c r="C210" s="69" t="s">
        <v>502</v>
      </c>
      <c r="D210" s="31" t="s">
        <v>708</v>
      </c>
      <c r="E210" s="29" t="s">
        <v>34</v>
      </c>
      <c r="F210" s="28">
        <v>0.7</v>
      </c>
      <c r="G210" s="29">
        <v>0.04</v>
      </c>
      <c r="H210" s="29">
        <v>-0.04</v>
      </c>
      <c r="I210" s="30" t="s">
        <v>39</v>
      </c>
      <c r="J210" s="12">
        <f t="shared" si="76"/>
        <v>0.74</v>
      </c>
      <c r="K210" s="12">
        <f t="shared" si="77"/>
        <v>0.65999999999999992</v>
      </c>
      <c r="L210" s="78"/>
      <c r="M210" s="78"/>
      <c r="N210" s="78"/>
      <c r="O210" s="36"/>
      <c r="P210" s="24" t="str">
        <f t="shared" si="69"/>
        <v xml:space="preserve"> </v>
      </c>
      <c r="Q210" s="25" t="str">
        <f t="shared" si="70"/>
        <v xml:space="preserve"> </v>
      </c>
      <c r="R210" s="25" t="str">
        <f t="shared" si="71"/>
        <v xml:space="preserve"> </v>
      </c>
      <c r="S210" s="26" t="str">
        <f t="shared" si="72"/>
        <v xml:space="preserve"> </v>
      </c>
      <c r="T210" s="7" t="str">
        <f t="shared" si="73"/>
        <v xml:space="preserve"> </v>
      </c>
      <c r="U210" s="8" t="str">
        <f t="shared" si="74"/>
        <v xml:space="preserve"> </v>
      </c>
      <c r="V210" s="9" t="str">
        <f t="shared" si="66"/>
        <v xml:space="preserve"> </v>
      </c>
      <c r="W210" s="9" t="str">
        <f t="shared" si="75"/>
        <v/>
      </c>
      <c r="X210" s="32"/>
      <c r="Y210" s="36"/>
    </row>
    <row r="211" spans="1:25" s="4" customFormat="1" ht="18" customHeight="1">
      <c r="A211" s="36"/>
      <c r="B211" s="69">
        <v>117.42000000000016</v>
      </c>
      <c r="C211" s="69" t="s">
        <v>503</v>
      </c>
      <c r="D211" s="31" t="s">
        <v>708</v>
      </c>
      <c r="E211" s="29" t="s">
        <v>34</v>
      </c>
      <c r="F211" s="28">
        <v>0.7</v>
      </c>
      <c r="G211" s="29">
        <v>0.04</v>
      </c>
      <c r="H211" s="29">
        <v>-0.04</v>
      </c>
      <c r="I211" s="30" t="s">
        <v>39</v>
      </c>
      <c r="J211" s="12">
        <f t="shared" si="76"/>
        <v>0.74</v>
      </c>
      <c r="K211" s="12">
        <f t="shared" si="77"/>
        <v>0.65999999999999992</v>
      </c>
      <c r="L211" s="78"/>
      <c r="M211" s="78"/>
      <c r="N211" s="78"/>
      <c r="O211" s="36"/>
      <c r="P211" s="24" t="str">
        <f t="shared" si="69"/>
        <v xml:space="preserve"> </v>
      </c>
      <c r="Q211" s="25" t="str">
        <f t="shared" si="70"/>
        <v xml:space="preserve"> </v>
      </c>
      <c r="R211" s="25" t="str">
        <f t="shared" si="71"/>
        <v xml:space="preserve"> </v>
      </c>
      <c r="S211" s="26" t="str">
        <f t="shared" si="72"/>
        <v xml:space="preserve"> </v>
      </c>
      <c r="T211" s="7" t="str">
        <f t="shared" si="73"/>
        <v xml:space="preserve"> </v>
      </c>
      <c r="U211" s="8" t="str">
        <f t="shared" si="74"/>
        <v xml:space="preserve"> </v>
      </c>
      <c r="V211" s="9" t="str">
        <f t="shared" si="66"/>
        <v xml:space="preserve"> </v>
      </c>
      <c r="W211" s="9" t="str">
        <f t="shared" si="75"/>
        <v/>
      </c>
      <c r="X211" s="32"/>
      <c r="Y211" s="36"/>
    </row>
    <row r="212" spans="1:25" s="4" customFormat="1" ht="18" customHeight="1">
      <c r="A212" s="36"/>
      <c r="B212" s="69">
        <v>117.43000000000016</v>
      </c>
      <c r="C212" s="69" t="s">
        <v>504</v>
      </c>
      <c r="D212" s="31" t="s">
        <v>708</v>
      </c>
      <c r="E212" s="29" t="s">
        <v>34</v>
      </c>
      <c r="F212" s="28">
        <v>0.7</v>
      </c>
      <c r="G212" s="29">
        <v>0.04</v>
      </c>
      <c r="H212" s="29">
        <v>-0.04</v>
      </c>
      <c r="I212" s="30" t="s">
        <v>39</v>
      </c>
      <c r="J212" s="12">
        <f t="shared" si="76"/>
        <v>0.74</v>
      </c>
      <c r="K212" s="12">
        <f t="shared" si="77"/>
        <v>0.65999999999999992</v>
      </c>
      <c r="L212" s="78"/>
      <c r="M212" s="78"/>
      <c r="N212" s="78"/>
      <c r="O212" s="36"/>
      <c r="P212" s="24" t="str">
        <f t="shared" si="69"/>
        <v xml:space="preserve"> </v>
      </c>
      <c r="Q212" s="25" t="str">
        <f t="shared" si="70"/>
        <v xml:space="preserve"> </v>
      </c>
      <c r="R212" s="25" t="str">
        <f t="shared" si="71"/>
        <v xml:space="preserve"> </v>
      </c>
      <c r="S212" s="26" t="str">
        <f t="shared" si="72"/>
        <v xml:space="preserve"> </v>
      </c>
      <c r="T212" s="7" t="str">
        <f t="shared" si="73"/>
        <v xml:space="preserve"> </v>
      </c>
      <c r="U212" s="8" t="str">
        <f t="shared" si="74"/>
        <v xml:space="preserve"> </v>
      </c>
      <c r="V212" s="9" t="str">
        <f t="shared" si="66"/>
        <v xml:space="preserve"> </v>
      </c>
      <c r="W212" s="9" t="str">
        <f t="shared" si="75"/>
        <v/>
      </c>
      <c r="X212" s="32"/>
      <c r="Y212" s="36"/>
    </row>
    <row r="213" spans="1:25" s="4" customFormat="1" ht="18" customHeight="1">
      <c r="A213" s="36"/>
      <c r="B213" s="69">
        <v>117.44000000000017</v>
      </c>
      <c r="C213" s="69" t="s">
        <v>505</v>
      </c>
      <c r="D213" s="31" t="s">
        <v>708</v>
      </c>
      <c r="E213" s="29" t="s">
        <v>34</v>
      </c>
      <c r="F213" s="28">
        <v>0.7</v>
      </c>
      <c r="G213" s="29">
        <v>0.04</v>
      </c>
      <c r="H213" s="29">
        <v>-0.04</v>
      </c>
      <c r="I213" s="30" t="s">
        <v>39</v>
      </c>
      <c r="J213" s="12">
        <f t="shared" si="76"/>
        <v>0.74</v>
      </c>
      <c r="K213" s="12">
        <f t="shared" si="77"/>
        <v>0.65999999999999992</v>
      </c>
      <c r="L213" s="78"/>
      <c r="M213" s="78"/>
      <c r="N213" s="78"/>
      <c r="O213" s="36"/>
      <c r="P213" s="24" t="str">
        <f t="shared" si="69"/>
        <v xml:space="preserve"> </v>
      </c>
      <c r="Q213" s="25" t="str">
        <f t="shared" si="70"/>
        <v xml:space="preserve"> </v>
      </c>
      <c r="R213" s="25" t="str">
        <f t="shared" si="71"/>
        <v xml:space="preserve"> </v>
      </c>
      <c r="S213" s="26" t="str">
        <f t="shared" si="72"/>
        <v xml:space="preserve"> </v>
      </c>
      <c r="T213" s="7" t="str">
        <f t="shared" si="73"/>
        <v xml:space="preserve"> </v>
      </c>
      <c r="U213" s="8" t="str">
        <f t="shared" si="74"/>
        <v xml:space="preserve"> </v>
      </c>
      <c r="V213" s="9" t="str">
        <f t="shared" si="66"/>
        <v xml:space="preserve"> </v>
      </c>
      <c r="W213" s="9" t="str">
        <f t="shared" si="75"/>
        <v/>
      </c>
      <c r="X213" s="32"/>
      <c r="Y213" s="36"/>
    </row>
    <row r="214" spans="1:25" s="4" customFormat="1" ht="18" customHeight="1">
      <c r="A214" s="36"/>
      <c r="B214" s="69">
        <v>117.45000000000017</v>
      </c>
      <c r="C214" s="69" t="s">
        <v>506</v>
      </c>
      <c r="D214" s="31" t="s">
        <v>708</v>
      </c>
      <c r="E214" s="29" t="s">
        <v>34</v>
      </c>
      <c r="F214" s="28">
        <v>0.7</v>
      </c>
      <c r="G214" s="29">
        <v>0.04</v>
      </c>
      <c r="H214" s="29">
        <v>-0.04</v>
      </c>
      <c r="I214" s="30" t="s">
        <v>39</v>
      </c>
      <c r="J214" s="12">
        <f t="shared" si="76"/>
        <v>0.74</v>
      </c>
      <c r="K214" s="12">
        <f t="shared" si="77"/>
        <v>0.65999999999999992</v>
      </c>
      <c r="L214" s="78"/>
      <c r="M214" s="78"/>
      <c r="N214" s="78"/>
      <c r="O214" s="36"/>
      <c r="P214" s="24" t="str">
        <f t="shared" si="69"/>
        <v xml:space="preserve"> </v>
      </c>
      <c r="Q214" s="25" t="str">
        <f t="shared" si="70"/>
        <v xml:space="preserve"> </v>
      </c>
      <c r="R214" s="25" t="str">
        <f t="shared" si="71"/>
        <v xml:space="preserve"> </v>
      </c>
      <c r="S214" s="26" t="str">
        <f t="shared" si="72"/>
        <v xml:space="preserve"> </v>
      </c>
      <c r="T214" s="7" t="str">
        <f t="shared" si="73"/>
        <v xml:space="preserve"> </v>
      </c>
      <c r="U214" s="8" t="str">
        <f t="shared" si="74"/>
        <v xml:space="preserve"> </v>
      </c>
      <c r="V214" s="9" t="str">
        <f t="shared" si="66"/>
        <v xml:space="preserve"> </v>
      </c>
      <c r="W214" s="9" t="str">
        <f t="shared" si="75"/>
        <v/>
      </c>
      <c r="X214" s="32"/>
      <c r="Y214" s="36"/>
    </row>
    <row r="215" spans="1:25" s="4" customFormat="1" ht="18" customHeight="1">
      <c r="A215" s="36"/>
      <c r="B215" s="69">
        <v>117.46000000000018</v>
      </c>
      <c r="C215" s="69" t="s">
        <v>507</v>
      </c>
      <c r="D215" s="31" t="s">
        <v>708</v>
      </c>
      <c r="E215" s="29" t="s">
        <v>34</v>
      </c>
      <c r="F215" s="28">
        <v>0.7</v>
      </c>
      <c r="G215" s="29">
        <v>0.04</v>
      </c>
      <c r="H215" s="29">
        <v>-0.04</v>
      </c>
      <c r="I215" s="30" t="s">
        <v>39</v>
      </c>
      <c r="J215" s="12">
        <f t="shared" si="76"/>
        <v>0.74</v>
      </c>
      <c r="K215" s="12">
        <f t="shared" si="77"/>
        <v>0.65999999999999992</v>
      </c>
      <c r="L215" s="78"/>
      <c r="M215" s="78"/>
      <c r="N215" s="78"/>
      <c r="O215" s="36"/>
      <c r="P215" s="24" t="str">
        <f t="shared" si="69"/>
        <v xml:space="preserve"> </v>
      </c>
      <c r="Q215" s="25" t="str">
        <f t="shared" si="70"/>
        <v xml:space="preserve"> </v>
      </c>
      <c r="R215" s="25" t="str">
        <f t="shared" si="71"/>
        <v xml:space="preserve"> </v>
      </c>
      <c r="S215" s="26" t="str">
        <f t="shared" si="72"/>
        <v xml:space="preserve"> </v>
      </c>
      <c r="T215" s="7" t="str">
        <f t="shared" si="73"/>
        <v xml:space="preserve"> </v>
      </c>
      <c r="U215" s="8" t="str">
        <f t="shared" si="74"/>
        <v xml:space="preserve"> </v>
      </c>
      <c r="V215" s="9" t="str">
        <f t="shared" si="66"/>
        <v xml:space="preserve"> </v>
      </c>
      <c r="W215" s="9" t="str">
        <f t="shared" si="75"/>
        <v/>
      </c>
      <c r="X215" s="32"/>
      <c r="Y215" s="36"/>
    </row>
    <row r="216" spans="1:25" s="4" customFormat="1" ht="18" customHeight="1">
      <c r="A216" s="36"/>
      <c r="B216" s="69">
        <v>117.47000000000018</v>
      </c>
      <c r="C216" s="69" t="s">
        <v>508</v>
      </c>
      <c r="D216" s="31" t="s">
        <v>708</v>
      </c>
      <c r="E216" s="29" t="s">
        <v>34</v>
      </c>
      <c r="F216" s="28">
        <v>0.7</v>
      </c>
      <c r="G216" s="29">
        <v>0.04</v>
      </c>
      <c r="H216" s="29">
        <v>-0.04</v>
      </c>
      <c r="I216" s="30" t="s">
        <v>39</v>
      </c>
      <c r="J216" s="12">
        <f t="shared" si="76"/>
        <v>0.74</v>
      </c>
      <c r="K216" s="12">
        <f t="shared" si="77"/>
        <v>0.65999999999999992</v>
      </c>
      <c r="L216" s="78"/>
      <c r="M216" s="78"/>
      <c r="N216" s="78"/>
      <c r="O216" s="36"/>
      <c r="P216" s="24" t="str">
        <f t="shared" si="69"/>
        <v xml:space="preserve"> </v>
      </c>
      <c r="Q216" s="25" t="str">
        <f t="shared" si="70"/>
        <v xml:space="preserve"> </v>
      </c>
      <c r="R216" s="25" t="str">
        <f t="shared" si="71"/>
        <v xml:space="preserve"> </v>
      </c>
      <c r="S216" s="26" t="str">
        <f t="shared" si="72"/>
        <v xml:space="preserve"> </v>
      </c>
      <c r="T216" s="7" t="str">
        <f t="shared" si="73"/>
        <v xml:space="preserve"> </v>
      </c>
      <c r="U216" s="8" t="str">
        <f t="shared" si="74"/>
        <v xml:space="preserve"> </v>
      </c>
      <c r="V216" s="9" t="str">
        <f t="shared" si="66"/>
        <v xml:space="preserve"> </v>
      </c>
      <c r="W216" s="9" t="str">
        <f t="shared" si="75"/>
        <v/>
      </c>
      <c r="X216" s="32"/>
      <c r="Y216" s="36"/>
    </row>
    <row r="217" spans="1:25" s="4" customFormat="1" ht="18" customHeight="1">
      <c r="A217" s="36"/>
      <c r="B217" s="69">
        <v>117.48000000000019</v>
      </c>
      <c r="C217" s="69" t="s">
        <v>509</v>
      </c>
      <c r="D217" s="31" t="s">
        <v>708</v>
      </c>
      <c r="E217" s="29" t="s">
        <v>34</v>
      </c>
      <c r="F217" s="28">
        <v>0.7</v>
      </c>
      <c r="G217" s="29">
        <v>0.04</v>
      </c>
      <c r="H217" s="29">
        <v>-0.04</v>
      </c>
      <c r="I217" s="30" t="s">
        <v>39</v>
      </c>
      <c r="J217" s="12">
        <f t="shared" si="76"/>
        <v>0.74</v>
      </c>
      <c r="K217" s="12">
        <f t="shared" si="77"/>
        <v>0.65999999999999992</v>
      </c>
      <c r="L217" s="78"/>
      <c r="M217" s="78"/>
      <c r="N217" s="78"/>
      <c r="O217" s="36"/>
      <c r="P217" s="24" t="str">
        <f t="shared" si="69"/>
        <v xml:space="preserve"> </v>
      </c>
      <c r="Q217" s="25" t="str">
        <f t="shared" si="70"/>
        <v xml:space="preserve"> </v>
      </c>
      <c r="R217" s="25" t="str">
        <f t="shared" si="71"/>
        <v xml:space="preserve"> </v>
      </c>
      <c r="S217" s="26" t="str">
        <f t="shared" si="72"/>
        <v xml:space="preserve"> </v>
      </c>
      <c r="T217" s="7" t="str">
        <f t="shared" si="73"/>
        <v xml:space="preserve"> </v>
      </c>
      <c r="U217" s="8" t="str">
        <f t="shared" si="74"/>
        <v xml:space="preserve"> </v>
      </c>
      <c r="V217" s="9" t="str">
        <f t="shared" si="66"/>
        <v xml:space="preserve"> </v>
      </c>
      <c r="W217" s="9" t="str">
        <f t="shared" si="75"/>
        <v/>
      </c>
      <c r="X217" s="32"/>
      <c r="Y217" s="36"/>
    </row>
    <row r="218" spans="1:25" s="4" customFormat="1" ht="18" customHeight="1">
      <c r="A218" s="36"/>
      <c r="B218" s="69">
        <v>117.49000000000019</v>
      </c>
      <c r="C218" s="69" t="s">
        <v>510</v>
      </c>
      <c r="D218" s="31" t="s">
        <v>708</v>
      </c>
      <c r="E218" s="29" t="s">
        <v>34</v>
      </c>
      <c r="F218" s="28">
        <v>0.7</v>
      </c>
      <c r="G218" s="29">
        <v>0.04</v>
      </c>
      <c r="H218" s="29">
        <v>-0.04</v>
      </c>
      <c r="I218" s="30" t="s">
        <v>39</v>
      </c>
      <c r="J218" s="12">
        <f t="shared" si="76"/>
        <v>0.74</v>
      </c>
      <c r="K218" s="12">
        <f t="shared" si="77"/>
        <v>0.65999999999999992</v>
      </c>
      <c r="L218" s="78"/>
      <c r="M218" s="78"/>
      <c r="N218" s="78"/>
      <c r="O218" s="36"/>
      <c r="P218" s="24" t="str">
        <f t="shared" si="69"/>
        <v xml:space="preserve"> </v>
      </c>
      <c r="Q218" s="25" t="str">
        <f t="shared" si="70"/>
        <v xml:space="preserve"> </v>
      </c>
      <c r="R218" s="25" t="str">
        <f t="shared" si="71"/>
        <v xml:space="preserve"> </v>
      </c>
      <c r="S218" s="26" t="str">
        <f t="shared" si="72"/>
        <v xml:space="preserve"> </v>
      </c>
      <c r="T218" s="7" t="str">
        <f t="shared" si="73"/>
        <v xml:space="preserve"> </v>
      </c>
      <c r="U218" s="8" t="str">
        <f t="shared" si="74"/>
        <v xml:space="preserve"> </v>
      </c>
      <c r="V218" s="9" t="str">
        <f t="shared" si="66"/>
        <v xml:space="preserve"> </v>
      </c>
      <c r="W218" s="9" t="str">
        <f t="shared" si="75"/>
        <v/>
      </c>
      <c r="X218" s="32"/>
      <c r="Y218" s="36"/>
    </row>
    <row r="219" spans="1:25" s="4" customFormat="1" ht="18" customHeight="1">
      <c r="A219" s="36"/>
      <c r="B219" s="69" t="s">
        <v>876</v>
      </c>
      <c r="C219" s="69" t="s">
        <v>511</v>
      </c>
      <c r="D219" s="31" t="s">
        <v>708</v>
      </c>
      <c r="E219" s="29" t="s">
        <v>34</v>
      </c>
      <c r="F219" s="28">
        <v>0.7</v>
      </c>
      <c r="G219" s="29">
        <v>0.04</v>
      </c>
      <c r="H219" s="29">
        <v>-0.04</v>
      </c>
      <c r="I219" s="30" t="s">
        <v>39</v>
      </c>
      <c r="J219" s="12">
        <f t="shared" si="76"/>
        <v>0.74</v>
      </c>
      <c r="K219" s="12">
        <f t="shared" si="77"/>
        <v>0.65999999999999992</v>
      </c>
      <c r="L219" s="78"/>
      <c r="M219" s="78"/>
      <c r="N219" s="78"/>
      <c r="O219" s="36"/>
      <c r="P219" s="24" t="str">
        <f t="shared" si="69"/>
        <v xml:space="preserve"> </v>
      </c>
      <c r="Q219" s="25" t="str">
        <f t="shared" si="70"/>
        <v xml:space="preserve"> </v>
      </c>
      <c r="R219" s="25" t="str">
        <f t="shared" si="71"/>
        <v xml:space="preserve"> </v>
      </c>
      <c r="S219" s="26" t="str">
        <f t="shared" si="72"/>
        <v xml:space="preserve"> </v>
      </c>
      <c r="T219" s="7" t="str">
        <f t="shared" si="73"/>
        <v xml:space="preserve"> </v>
      </c>
      <c r="U219" s="8" t="str">
        <f t="shared" si="74"/>
        <v xml:space="preserve"> </v>
      </c>
      <c r="V219" s="9" t="str">
        <f t="shared" si="66"/>
        <v xml:space="preserve"> </v>
      </c>
      <c r="W219" s="9" t="str">
        <f t="shared" si="75"/>
        <v/>
      </c>
      <c r="X219" s="32"/>
      <c r="Y219" s="36"/>
    </row>
    <row r="220" spans="1:25" s="4" customFormat="1" ht="18" customHeight="1">
      <c r="A220" s="36"/>
      <c r="B220" s="69">
        <v>117.5100000000002</v>
      </c>
      <c r="C220" s="69" t="s">
        <v>512</v>
      </c>
      <c r="D220" s="31" t="s">
        <v>708</v>
      </c>
      <c r="E220" s="29" t="s">
        <v>34</v>
      </c>
      <c r="F220" s="28">
        <v>0.7</v>
      </c>
      <c r="G220" s="29">
        <v>0.04</v>
      </c>
      <c r="H220" s="29">
        <v>-0.04</v>
      </c>
      <c r="I220" s="30" t="s">
        <v>39</v>
      </c>
      <c r="J220" s="12">
        <f t="shared" si="76"/>
        <v>0.74</v>
      </c>
      <c r="K220" s="12">
        <f t="shared" si="77"/>
        <v>0.65999999999999992</v>
      </c>
      <c r="L220" s="78"/>
      <c r="M220" s="78"/>
      <c r="N220" s="78"/>
      <c r="O220" s="36"/>
      <c r="P220" s="24" t="str">
        <f t="shared" si="69"/>
        <v xml:space="preserve"> </v>
      </c>
      <c r="Q220" s="25" t="str">
        <f t="shared" si="70"/>
        <v xml:space="preserve"> </v>
      </c>
      <c r="R220" s="25" t="str">
        <f t="shared" si="71"/>
        <v xml:space="preserve"> </v>
      </c>
      <c r="S220" s="26" t="str">
        <f t="shared" si="72"/>
        <v xml:space="preserve"> </v>
      </c>
      <c r="T220" s="7" t="str">
        <f t="shared" si="73"/>
        <v xml:space="preserve"> </v>
      </c>
      <c r="U220" s="8" t="str">
        <f t="shared" si="74"/>
        <v xml:space="preserve"> </v>
      </c>
      <c r="V220" s="9" t="str">
        <f t="shared" si="66"/>
        <v xml:space="preserve"> </v>
      </c>
      <c r="W220" s="9" t="str">
        <f t="shared" si="75"/>
        <v/>
      </c>
      <c r="X220" s="32"/>
      <c r="Y220" s="36"/>
    </row>
    <row r="221" spans="1:25" s="4" customFormat="1" ht="18" customHeight="1">
      <c r="A221" s="36"/>
      <c r="B221" s="69">
        <v>117.52000000000021</v>
      </c>
      <c r="C221" s="69" t="s">
        <v>513</v>
      </c>
      <c r="D221" s="31" t="s">
        <v>708</v>
      </c>
      <c r="E221" s="29" t="s">
        <v>34</v>
      </c>
      <c r="F221" s="28">
        <v>0.7</v>
      </c>
      <c r="G221" s="29">
        <v>0.04</v>
      </c>
      <c r="H221" s="29">
        <v>-0.04</v>
      </c>
      <c r="I221" s="30" t="s">
        <v>39</v>
      </c>
      <c r="J221" s="12">
        <f t="shared" si="76"/>
        <v>0.74</v>
      </c>
      <c r="K221" s="12">
        <f t="shared" si="77"/>
        <v>0.65999999999999992</v>
      </c>
      <c r="L221" s="78"/>
      <c r="M221" s="78"/>
      <c r="N221" s="78"/>
      <c r="O221" s="36"/>
      <c r="P221" s="24" t="str">
        <f t="shared" si="69"/>
        <v xml:space="preserve"> </v>
      </c>
      <c r="Q221" s="25" t="str">
        <f t="shared" si="70"/>
        <v xml:space="preserve"> </v>
      </c>
      <c r="R221" s="25" t="str">
        <f t="shared" si="71"/>
        <v xml:space="preserve"> </v>
      </c>
      <c r="S221" s="26" t="str">
        <f t="shared" si="72"/>
        <v xml:space="preserve"> </v>
      </c>
      <c r="T221" s="7" t="str">
        <f t="shared" si="73"/>
        <v xml:space="preserve"> </v>
      </c>
      <c r="U221" s="8" t="str">
        <f t="shared" si="74"/>
        <v xml:space="preserve"> </v>
      </c>
      <c r="V221" s="9" t="str">
        <f t="shared" si="66"/>
        <v xml:space="preserve"> </v>
      </c>
      <c r="W221" s="9" t="str">
        <f t="shared" si="75"/>
        <v/>
      </c>
      <c r="X221" s="32"/>
      <c r="Y221" s="36"/>
    </row>
    <row r="222" spans="1:25" s="4" customFormat="1" ht="18" customHeight="1">
      <c r="A222" s="36"/>
      <c r="B222" s="69">
        <v>117.53000000000021</v>
      </c>
      <c r="C222" s="69" t="s">
        <v>514</v>
      </c>
      <c r="D222" s="31" t="s">
        <v>708</v>
      </c>
      <c r="E222" s="29" t="s">
        <v>34</v>
      </c>
      <c r="F222" s="28">
        <v>0.7</v>
      </c>
      <c r="G222" s="29">
        <v>0.04</v>
      </c>
      <c r="H222" s="29">
        <v>-0.04</v>
      </c>
      <c r="I222" s="30" t="s">
        <v>39</v>
      </c>
      <c r="J222" s="12">
        <f t="shared" si="76"/>
        <v>0.74</v>
      </c>
      <c r="K222" s="12">
        <f t="shared" si="77"/>
        <v>0.65999999999999992</v>
      </c>
      <c r="L222" s="78"/>
      <c r="M222" s="78"/>
      <c r="N222" s="78"/>
      <c r="O222" s="36"/>
      <c r="P222" s="24" t="str">
        <f t="shared" si="69"/>
        <v xml:space="preserve"> </v>
      </c>
      <c r="Q222" s="25" t="str">
        <f t="shared" si="70"/>
        <v xml:space="preserve"> </v>
      </c>
      <c r="R222" s="25" t="str">
        <f t="shared" si="71"/>
        <v xml:space="preserve"> </v>
      </c>
      <c r="S222" s="26" t="str">
        <f t="shared" si="72"/>
        <v xml:space="preserve"> </v>
      </c>
      <c r="T222" s="7" t="str">
        <f t="shared" si="73"/>
        <v xml:space="preserve"> </v>
      </c>
      <c r="U222" s="8" t="str">
        <f t="shared" si="74"/>
        <v xml:space="preserve"> </v>
      </c>
      <c r="V222" s="9" t="str">
        <f t="shared" si="66"/>
        <v xml:space="preserve"> </v>
      </c>
      <c r="W222" s="9" t="str">
        <f t="shared" si="75"/>
        <v/>
      </c>
      <c r="X222" s="32"/>
      <c r="Y222" s="36"/>
    </row>
    <row r="223" spans="1:25" s="4" customFormat="1" ht="18" customHeight="1">
      <c r="A223" s="36"/>
      <c r="B223" s="69">
        <v>117.54000000000022</v>
      </c>
      <c r="C223" s="69" t="s">
        <v>515</v>
      </c>
      <c r="D223" s="31" t="s">
        <v>708</v>
      </c>
      <c r="E223" s="29" t="s">
        <v>34</v>
      </c>
      <c r="F223" s="28">
        <v>0.7</v>
      </c>
      <c r="G223" s="29">
        <v>0.04</v>
      </c>
      <c r="H223" s="29">
        <v>-0.04</v>
      </c>
      <c r="I223" s="30" t="s">
        <v>39</v>
      </c>
      <c r="J223" s="12">
        <f t="shared" si="76"/>
        <v>0.74</v>
      </c>
      <c r="K223" s="12">
        <f t="shared" si="77"/>
        <v>0.65999999999999992</v>
      </c>
      <c r="L223" s="78"/>
      <c r="M223" s="78"/>
      <c r="N223" s="78"/>
      <c r="O223" s="36"/>
      <c r="P223" s="24" t="str">
        <f t="shared" si="69"/>
        <v xml:space="preserve"> </v>
      </c>
      <c r="Q223" s="25" t="str">
        <f t="shared" si="70"/>
        <v xml:space="preserve"> </v>
      </c>
      <c r="R223" s="25" t="str">
        <f t="shared" si="71"/>
        <v xml:space="preserve"> </v>
      </c>
      <c r="S223" s="26" t="str">
        <f t="shared" si="72"/>
        <v xml:space="preserve"> </v>
      </c>
      <c r="T223" s="7" t="str">
        <f t="shared" si="73"/>
        <v xml:space="preserve"> </v>
      </c>
      <c r="U223" s="8" t="str">
        <f t="shared" si="74"/>
        <v xml:space="preserve"> </v>
      </c>
      <c r="V223" s="9" t="str">
        <f t="shared" si="66"/>
        <v xml:space="preserve"> </v>
      </c>
      <c r="W223" s="9" t="str">
        <f t="shared" si="75"/>
        <v/>
      </c>
      <c r="X223" s="32"/>
      <c r="Y223" s="36"/>
    </row>
    <row r="224" spans="1:25" s="4" customFormat="1" ht="18" customHeight="1">
      <c r="A224" s="36"/>
      <c r="B224" s="69">
        <v>117.55000000000022</v>
      </c>
      <c r="C224" s="69" t="s">
        <v>516</v>
      </c>
      <c r="D224" s="31" t="s">
        <v>708</v>
      </c>
      <c r="E224" s="29" t="s">
        <v>34</v>
      </c>
      <c r="F224" s="28">
        <v>0.7</v>
      </c>
      <c r="G224" s="29">
        <v>0.04</v>
      </c>
      <c r="H224" s="29">
        <v>-0.04</v>
      </c>
      <c r="I224" s="30" t="s">
        <v>39</v>
      </c>
      <c r="J224" s="12">
        <f t="shared" si="76"/>
        <v>0.74</v>
      </c>
      <c r="K224" s="12">
        <f t="shared" si="77"/>
        <v>0.65999999999999992</v>
      </c>
      <c r="L224" s="78"/>
      <c r="M224" s="78"/>
      <c r="N224" s="78"/>
      <c r="O224" s="36"/>
      <c r="P224" s="24" t="str">
        <f t="shared" si="69"/>
        <v xml:space="preserve"> </v>
      </c>
      <c r="Q224" s="25" t="str">
        <f t="shared" si="70"/>
        <v xml:space="preserve"> </v>
      </c>
      <c r="R224" s="25" t="str">
        <f t="shared" si="71"/>
        <v xml:space="preserve"> </v>
      </c>
      <c r="S224" s="26" t="str">
        <f t="shared" si="72"/>
        <v xml:space="preserve"> </v>
      </c>
      <c r="T224" s="7" t="str">
        <f t="shared" si="73"/>
        <v xml:space="preserve"> </v>
      </c>
      <c r="U224" s="8" t="str">
        <f t="shared" si="74"/>
        <v xml:space="preserve"> </v>
      </c>
      <c r="V224" s="9" t="str">
        <f t="shared" si="66"/>
        <v xml:space="preserve"> </v>
      </c>
      <c r="W224" s="9" t="str">
        <f t="shared" si="75"/>
        <v/>
      </c>
      <c r="X224" s="32"/>
      <c r="Y224" s="36"/>
    </row>
    <row r="225" spans="1:25" s="4" customFormat="1" ht="18" customHeight="1">
      <c r="A225" s="36"/>
      <c r="B225" s="69">
        <v>117.56000000000023</v>
      </c>
      <c r="C225" s="69" t="s">
        <v>517</v>
      </c>
      <c r="D225" s="31" t="s">
        <v>708</v>
      </c>
      <c r="E225" s="29" t="s">
        <v>34</v>
      </c>
      <c r="F225" s="28">
        <v>0.7</v>
      </c>
      <c r="G225" s="29">
        <v>0.04</v>
      </c>
      <c r="H225" s="29">
        <v>-0.04</v>
      </c>
      <c r="I225" s="30" t="s">
        <v>39</v>
      </c>
      <c r="J225" s="12">
        <f t="shared" si="76"/>
        <v>0.74</v>
      </c>
      <c r="K225" s="12">
        <f t="shared" si="77"/>
        <v>0.65999999999999992</v>
      </c>
      <c r="L225" s="78"/>
      <c r="M225" s="78"/>
      <c r="N225" s="78"/>
      <c r="O225" s="36"/>
      <c r="P225" s="24" t="str">
        <f t="shared" si="69"/>
        <v xml:space="preserve"> </v>
      </c>
      <c r="Q225" s="25" t="str">
        <f t="shared" si="70"/>
        <v xml:space="preserve"> </v>
      </c>
      <c r="R225" s="25" t="str">
        <f t="shared" si="71"/>
        <v xml:space="preserve"> </v>
      </c>
      <c r="S225" s="26" t="str">
        <f t="shared" si="72"/>
        <v xml:space="preserve"> </v>
      </c>
      <c r="T225" s="7" t="str">
        <f t="shared" si="73"/>
        <v xml:space="preserve"> </v>
      </c>
      <c r="U225" s="8" t="str">
        <f t="shared" si="74"/>
        <v xml:space="preserve"> </v>
      </c>
      <c r="V225" s="9" t="str">
        <f t="shared" si="66"/>
        <v xml:space="preserve"> </v>
      </c>
      <c r="W225" s="9" t="str">
        <f t="shared" si="75"/>
        <v/>
      </c>
      <c r="X225" s="32"/>
      <c r="Y225" s="36"/>
    </row>
    <row r="226" spans="1:25" s="4" customFormat="1" ht="18" customHeight="1">
      <c r="A226" s="36"/>
      <c r="B226" s="69">
        <v>117.57000000000023</v>
      </c>
      <c r="C226" s="69" t="s">
        <v>518</v>
      </c>
      <c r="D226" s="31" t="s">
        <v>708</v>
      </c>
      <c r="E226" s="29" t="s">
        <v>34</v>
      </c>
      <c r="F226" s="28">
        <v>0.7</v>
      </c>
      <c r="G226" s="29">
        <v>0.04</v>
      </c>
      <c r="H226" s="29">
        <v>-0.04</v>
      </c>
      <c r="I226" s="30" t="s">
        <v>39</v>
      </c>
      <c r="J226" s="12">
        <f t="shared" si="76"/>
        <v>0.74</v>
      </c>
      <c r="K226" s="12">
        <f t="shared" si="77"/>
        <v>0.65999999999999992</v>
      </c>
      <c r="L226" s="78"/>
      <c r="M226" s="78"/>
      <c r="N226" s="78"/>
      <c r="O226" s="36"/>
      <c r="P226" s="24" t="str">
        <f t="shared" si="69"/>
        <v xml:space="preserve"> </v>
      </c>
      <c r="Q226" s="25" t="str">
        <f t="shared" si="70"/>
        <v xml:space="preserve"> </v>
      </c>
      <c r="R226" s="25" t="str">
        <f t="shared" si="71"/>
        <v xml:space="preserve"> </v>
      </c>
      <c r="S226" s="26" t="str">
        <f t="shared" si="72"/>
        <v xml:space="preserve"> </v>
      </c>
      <c r="T226" s="7" t="str">
        <f t="shared" si="73"/>
        <v xml:space="preserve"> </v>
      </c>
      <c r="U226" s="8" t="str">
        <f t="shared" si="74"/>
        <v xml:space="preserve"> </v>
      </c>
      <c r="V226" s="9" t="str">
        <f t="shared" si="66"/>
        <v xml:space="preserve"> </v>
      </c>
      <c r="W226" s="9" t="str">
        <f t="shared" si="75"/>
        <v/>
      </c>
      <c r="X226" s="32"/>
      <c r="Y226" s="36"/>
    </row>
    <row r="227" spans="1:25" s="4" customFormat="1" ht="18" customHeight="1">
      <c r="A227" s="36"/>
      <c r="B227" s="69">
        <v>117.58000000000024</v>
      </c>
      <c r="C227" s="69" t="s">
        <v>519</v>
      </c>
      <c r="D227" s="31" t="s">
        <v>708</v>
      </c>
      <c r="E227" s="29" t="s">
        <v>34</v>
      </c>
      <c r="F227" s="28">
        <v>0.7</v>
      </c>
      <c r="G227" s="29">
        <v>0.04</v>
      </c>
      <c r="H227" s="29">
        <v>-0.04</v>
      </c>
      <c r="I227" s="30" t="s">
        <v>39</v>
      </c>
      <c r="J227" s="12">
        <f t="shared" si="76"/>
        <v>0.74</v>
      </c>
      <c r="K227" s="12">
        <f t="shared" si="77"/>
        <v>0.65999999999999992</v>
      </c>
      <c r="L227" s="78"/>
      <c r="M227" s="78"/>
      <c r="N227" s="78"/>
      <c r="O227" s="36"/>
      <c r="P227" s="24" t="str">
        <f t="shared" si="69"/>
        <v xml:space="preserve"> </v>
      </c>
      <c r="Q227" s="25" t="str">
        <f t="shared" si="70"/>
        <v xml:space="preserve"> </v>
      </c>
      <c r="R227" s="25" t="str">
        <f t="shared" si="71"/>
        <v xml:space="preserve"> </v>
      </c>
      <c r="S227" s="26" t="str">
        <f t="shared" si="72"/>
        <v xml:space="preserve"> </v>
      </c>
      <c r="T227" s="7" t="str">
        <f t="shared" si="73"/>
        <v xml:space="preserve"> </v>
      </c>
      <c r="U227" s="8" t="str">
        <f t="shared" si="74"/>
        <v xml:space="preserve"> </v>
      </c>
      <c r="V227" s="9" t="str">
        <f t="shared" si="66"/>
        <v xml:space="preserve"> </v>
      </c>
      <c r="W227" s="9" t="str">
        <f t="shared" si="75"/>
        <v/>
      </c>
      <c r="X227" s="32"/>
      <c r="Y227" s="36"/>
    </row>
    <row r="228" spans="1:25" s="4" customFormat="1" ht="18" customHeight="1">
      <c r="A228" s="36"/>
      <c r="B228" s="69">
        <v>117.59000000000024</v>
      </c>
      <c r="C228" s="69" t="s">
        <v>520</v>
      </c>
      <c r="D228" s="31" t="s">
        <v>708</v>
      </c>
      <c r="E228" s="29" t="s">
        <v>34</v>
      </c>
      <c r="F228" s="28">
        <v>0.7</v>
      </c>
      <c r="G228" s="29">
        <v>0.04</v>
      </c>
      <c r="H228" s="29">
        <v>-0.04</v>
      </c>
      <c r="I228" s="30" t="s">
        <v>39</v>
      </c>
      <c r="J228" s="12">
        <f t="shared" si="76"/>
        <v>0.74</v>
      </c>
      <c r="K228" s="12">
        <f t="shared" si="77"/>
        <v>0.65999999999999992</v>
      </c>
      <c r="L228" s="78"/>
      <c r="M228" s="78"/>
      <c r="N228" s="78"/>
      <c r="O228" s="36"/>
      <c r="P228" s="24" t="str">
        <f t="shared" si="69"/>
        <v xml:space="preserve"> </v>
      </c>
      <c r="Q228" s="25" t="str">
        <f t="shared" si="70"/>
        <v xml:space="preserve"> </v>
      </c>
      <c r="R228" s="25" t="str">
        <f t="shared" si="71"/>
        <v xml:space="preserve"> </v>
      </c>
      <c r="S228" s="26" t="str">
        <f t="shared" si="72"/>
        <v xml:space="preserve"> </v>
      </c>
      <c r="T228" s="7" t="str">
        <f t="shared" si="73"/>
        <v xml:space="preserve"> </v>
      </c>
      <c r="U228" s="8" t="str">
        <f t="shared" si="74"/>
        <v xml:space="preserve"> </v>
      </c>
      <c r="V228" s="9" t="str">
        <f t="shared" si="66"/>
        <v xml:space="preserve"> </v>
      </c>
      <c r="W228" s="9" t="str">
        <f t="shared" si="75"/>
        <v/>
      </c>
      <c r="X228" s="32"/>
      <c r="Y228" s="36"/>
    </row>
    <row r="229" spans="1:25" s="4" customFormat="1" ht="18" customHeight="1">
      <c r="A229" s="36"/>
      <c r="B229" s="69" t="s">
        <v>877</v>
      </c>
      <c r="C229" s="69" t="s">
        <v>521</v>
      </c>
      <c r="D229" s="31" t="s">
        <v>708</v>
      </c>
      <c r="E229" s="29" t="s">
        <v>34</v>
      </c>
      <c r="F229" s="28">
        <v>0.7</v>
      </c>
      <c r="G229" s="29">
        <v>0.04</v>
      </c>
      <c r="H229" s="29">
        <v>-0.04</v>
      </c>
      <c r="I229" s="30" t="s">
        <v>39</v>
      </c>
      <c r="J229" s="12">
        <f t="shared" si="76"/>
        <v>0.74</v>
      </c>
      <c r="K229" s="12">
        <f t="shared" si="77"/>
        <v>0.65999999999999992</v>
      </c>
      <c r="L229" s="78"/>
      <c r="M229" s="78"/>
      <c r="N229" s="78"/>
      <c r="O229" s="36"/>
      <c r="P229" s="24" t="str">
        <f t="shared" si="69"/>
        <v xml:space="preserve"> </v>
      </c>
      <c r="Q229" s="25" t="str">
        <f t="shared" si="70"/>
        <v xml:space="preserve"> </v>
      </c>
      <c r="R229" s="25" t="str">
        <f t="shared" si="71"/>
        <v xml:space="preserve"> </v>
      </c>
      <c r="S229" s="26" t="str">
        <f t="shared" si="72"/>
        <v xml:space="preserve"> </v>
      </c>
      <c r="T229" s="7" t="str">
        <f t="shared" si="73"/>
        <v xml:space="preserve"> </v>
      </c>
      <c r="U229" s="8" t="str">
        <f t="shared" si="74"/>
        <v xml:space="preserve"> </v>
      </c>
      <c r="V229" s="9" t="str">
        <f t="shared" si="66"/>
        <v xml:space="preserve"> </v>
      </c>
      <c r="W229" s="9" t="str">
        <f t="shared" si="75"/>
        <v/>
      </c>
      <c r="X229" s="32"/>
      <c r="Y229" s="36"/>
    </row>
    <row r="230" spans="1:25" s="4" customFormat="1" ht="18" customHeight="1">
      <c r="A230" s="36"/>
      <c r="B230" s="69">
        <v>117.61000000000026</v>
      </c>
      <c r="C230" s="69" t="s">
        <v>522</v>
      </c>
      <c r="D230" s="31" t="s">
        <v>708</v>
      </c>
      <c r="E230" s="29" t="s">
        <v>34</v>
      </c>
      <c r="F230" s="28">
        <v>0.7</v>
      </c>
      <c r="G230" s="29">
        <v>0.04</v>
      </c>
      <c r="H230" s="29">
        <v>-0.04</v>
      </c>
      <c r="I230" s="30" t="s">
        <v>39</v>
      </c>
      <c r="J230" s="12">
        <f t="shared" ref="J230:J293" si="78">IF(AND(F230="",G230=""),"",IF(F230="",G230,F230+G230))</f>
        <v>0.74</v>
      </c>
      <c r="K230" s="12">
        <f t="shared" ref="K230:K293" si="79">IF(AND(F230="",H230=""),"",IF(F230="",H230,F230+H230))</f>
        <v>0.65999999999999992</v>
      </c>
      <c r="L230" s="78"/>
      <c r="M230" s="78"/>
      <c r="N230" s="78"/>
      <c r="O230" s="36"/>
      <c r="P230" s="24" t="str">
        <f t="shared" si="69"/>
        <v xml:space="preserve"> </v>
      </c>
      <c r="Q230" s="25" t="str">
        <f t="shared" si="70"/>
        <v xml:space="preserve"> </v>
      </c>
      <c r="R230" s="25" t="str">
        <f t="shared" si="71"/>
        <v xml:space="preserve"> </v>
      </c>
      <c r="S230" s="26" t="str">
        <f t="shared" si="72"/>
        <v xml:space="preserve"> </v>
      </c>
      <c r="T230" s="7" t="str">
        <f t="shared" si="73"/>
        <v xml:space="preserve"> </v>
      </c>
      <c r="U230" s="8" t="str">
        <f t="shared" si="74"/>
        <v xml:space="preserve"> </v>
      </c>
      <c r="V230" s="9" t="str">
        <f t="shared" si="66"/>
        <v xml:space="preserve"> </v>
      </c>
      <c r="W230" s="9" t="str">
        <f t="shared" si="75"/>
        <v/>
      </c>
      <c r="X230" s="32"/>
      <c r="Y230" s="36"/>
    </row>
    <row r="231" spans="1:25" s="4" customFormat="1" ht="18" customHeight="1">
      <c r="A231" s="36"/>
      <c r="B231" s="69">
        <v>117.62000000000026</v>
      </c>
      <c r="C231" s="69" t="s">
        <v>523</v>
      </c>
      <c r="D231" s="31" t="s">
        <v>708</v>
      </c>
      <c r="E231" s="29" t="s">
        <v>34</v>
      </c>
      <c r="F231" s="28">
        <v>0.7</v>
      </c>
      <c r="G231" s="29">
        <v>0.04</v>
      </c>
      <c r="H231" s="29">
        <v>-0.04</v>
      </c>
      <c r="I231" s="30" t="s">
        <v>39</v>
      </c>
      <c r="J231" s="12">
        <f t="shared" si="78"/>
        <v>0.74</v>
      </c>
      <c r="K231" s="12">
        <f t="shared" si="79"/>
        <v>0.65999999999999992</v>
      </c>
      <c r="L231" s="78"/>
      <c r="M231" s="78"/>
      <c r="N231" s="78"/>
      <c r="O231" s="36"/>
      <c r="P231" s="24" t="str">
        <f t="shared" si="69"/>
        <v xml:space="preserve"> </v>
      </c>
      <c r="Q231" s="25" t="str">
        <f t="shared" si="70"/>
        <v xml:space="preserve"> </v>
      </c>
      <c r="R231" s="25" t="str">
        <f t="shared" si="71"/>
        <v xml:space="preserve"> </v>
      </c>
      <c r="S231" s="26" t="str">
        <f t="shared" si="72"/>
        <v xml:space="preserve"> </v>
      </c>
      <c r="T231" s="7" t="str">
        <f t="shared" si="73"/>
        <v xml:space="preserve"> </v>
      </c>
      <c r="U231" s="8" t="str">
        <f t="shared" si="74"/>
        <v xml:space="preserve"> </v>
      </c>
      <c r="V231" s="9" t="str">
        <f t="shared" si="66"/>
        <v xml:space="preserve"> </v>
      </c>
      <c r="W231" s="9" t="str">
        <f t="shared" si="75"/>
        <v/>
      </c>
      <c r="X231" s="32"/>
      <c r="Y231" s="36"/>
    </row>
    <row r="232" spans="1:25" s="4" customFormat="1" ht="18" customHeight="1">
      <c r="A232" s="36"/>
      <c r="B232" s="69">
        <v>117.63000000000027</v>
      </c>
      <c r="C232" s="69" t="s">
        <v>524</v>
      </c>
      <c r="D232" s="31" t="s">
        <v>708</v>
      </c>
      <c r="E232" s="29" t="s">
        <v>34</v>
      </c>
      <c r="F232" s="28">
        <v>0.7</v>
      </c>
      <c r="G232" s="29">
        <v>0.04</v>
      </c>
      <c r="H232" s="29">
        <v>-0.04</v>
      </c>
      <c r="I232" s="30" t="s">
        <v>39</v>
      </c>
      <c r="J232" s="12">
        <f t="shared" si="78"/>
        <v>0.74</v>
      </c>
      <c r="K232" s="12">
        <f t="shared" si="79"/>
        <v>0.65999999999999992</v>
      </c>
      <c r="L232" s="78"/>
      <c r="M232" s="78"/>
      <c r="N232" s="78"/>
      <c r="O232" s="36"/>
      <c r="P232" s="24" t="str">
        <f t="shared" si="69"/>
        <v xml:space="preserve"> </v>
      </c>
      <c r="Q232" s="25" t="str">
        <f t="shared" si="70"/>
        <v xml:space="preserve"> </v>
      </c>
      <c r="R232" s="25" t="str">
        <f t="shared" si="71"/>
        <v xml:space="preserve"> </v>
      </c>
      <c r="S232" s="26" t="str">
        <f t="shared" si="72"/>
        <v xml:space="preserve"> </v>
      </c>
      <c r="T232" s="7" t="str">
        <f t="shared" si="73"/>
        <v xml:space="preserve"> </v>
      </c>
      <c r="U232" s="8" t="str">
        <f t="shared" si="74"/>
        <v xml:space="preserve"> </v>
      </c>
      <c r="V232" s="9" t="str">
        <f t="shared" si="66"/>
        <v xml:space="preserve"> </v>
      </c>
      <c r="W232" s="9" t="str">
        <f t="shared" si="75"/>
        <v/>
      </c>
      <c r="X232" s="32"/>
      <c r="Y232" s="36"/>
    </row>
    <row r="233" spans="1:25" s="4" customFormat="1" ht="18" customHeight="1">
      <c r="A233" s="36"/>
      <c r="B233" s="69">
        <v>117.64000000000027</v>
      </c>
      <c r="C233" s="69" t="s">
        <v>525</v>
      </c>
      <c r="D233" s="31" t="s">
        <v>708</v>
      </c>
      <c r="E233" s="29" t="s">
        <v>34</v>
      </c>
      <c r="F233" s="28">
        <v>0.7</v>
      </c>
      <c r="G233" s="29">
        <v>0.04</v>
      </c>
      <c r="H233" s="29">
        <v>-0.04</v>
      </c>
      <c r="I233" s="30" t="s">
        <v>39</v>
      </c>
      <c r="J233" s="12">
        <f t="shared" si="78"/>
        <v>0.74</v>
      </c>
      <c r="K233" s="12">
        <f t="shared" si="79"/>
        <v>0.65999999999999992</v>
      </c>
      <c r="L233" s="78"/>
      <c r="M233" s="78"/>
      <c r="N233" s="78"/>
      <c r="O233" s="36"/>
      <c r="P233" s="24" t="str">
        <f t="shared" si="69"/>
        <v xml:space="preserve"> </v>
      </c>
      <c r="Q233" s="25" t="str">
        <f t="shared" si="70"/>
        <v xml:space="preserve"> </v>
      </c>
      <c r="R233" s="25" t="str">
        <f t="shared" si="71"/>
        <v xml:space="preserve"> </v>
      </c>
      <c r="S233" s="26" t="str">
        <f t="shared" si="72"/>
        <v xml:space="preserve"> </v>
      </c>
      <c r="T233" s="7" t="str">
        <f t="shared" si="73"/>
        <v xml:space="preserve"> </v>
      </c>
      <c r="U233" s="8" t="str">
        <f t="shared" si="74"/>
        <v xml:space="preserve"> </v>
      </c>
      <c r="V233" s="9" t="str">
        <f t="shared" si="66"/>
        <v xml:space="preserve"> </v>
      </c>
      <c r="W233" s="9" t="str">
        <f t="shared" si="75"/>
        <v/>
      </c>
      <c r="X233" s="32"/>
      <c r="Y233" s="36"/>
    </row>
    <row r="234" spans="1:25" s="4" customFormat="1" ht="18" customHeight="1">
      <c r="A234" s="36"/>
      <c r="B234" s="69">
        <v>117.65000000000028</v>
      </c>
      <c r="C234" s="69" t="s">
        <v>526</v>
      </c>
      <c r="D234" s="31" t="s">
        <v>708</v>
      </c>
      <c r="E234" s="29" t="s">
        <v>34</v>
      </c>
      <c r="F234" s="28">
        <v>0.7</v>
      </c>
      <c r="G234" s="29">
        <v>0.04</v>
      </c>
      <c r="H234" s="29">
        <v>-0.04</v>
      </c>
      <c r="I234" s="30" t="s">
        <v>39</v>
      </c>
      <c r="J234" s="12">
        <f t="shared" si="78"/>
        <v>0.74</v>
      </c>
      <c r="K234" s="12">
        <f t="shared" si="79"/>
        <v>0.65999999999999992</v>
      </c>
      <c r="L234" s="78"/>
      <c r="M234" s="78"/>
      <c r="N234" s="78"/>
      <c r="O234" s="36"/>
      <c r="P234" s="24" t="str">
        <f t="shared" si="69"/>
        <v xml:space="preserve"> </v>
      </c>
      <c r="Q234" s="25" t="str">
        <f t="shared" si="70"/>
        <v xml:space="preserve"> </v>
      </c>
      <c r="R234" s="25" t="str">
        <f t="shared" si="71"/>
        <v xml:space="preserve"> </v>
      </c>
      <c r="S234" s="26" t="str">
        <f t="shared" si="72"/>
        <v xml:space="preserve"> </v>
      </c>
      <c r="T234" s="7" t="str">
        <f t="shared" si="73"/>
        <v xml:space="preserve"> </v>
      </c>
      <c r="U234" s="8" t="str">
        <f t="shared" si="74"/>
        <v xml:space="preserve"> </v>
      </c>
      <c r="V234" s="9" t="str">
        <f t="shared" si="66"/>
        <v xml:space="preserve"> </v>
      </c>
      <c r="W234" s="9" t="str">
        <f t="shared" si="75"/>
        <v/>
      </c>
      <c r="X234" s="32"/>
      <c r="Y234" s="36"/>
    </row>
    <row r="235" spans="1:25" s="4" customFormat="1" ht="18" customHeight="1">
      <c r="A235" s="36"/>
      <c r="B235" s="69">
        <v>117.66000000000028</v>
      </c>
      <c r="C235" s="69" t="s">
        <v>527</v>
      </c>
      <c r="D235" s="31" t="s">
        <v>708</v>
      </c>
      <c r="E235" s="29" t="s">
        <v>34</v>
      </c>
      <c r="F235" s="28">
        <v>0.7</v>
      </c>
      <c r="G235" s="29">
        <v>0.04</v>
      </c>
      <c r="H235" s="29">
        <v>-0.04</v>
      </c>
      <c r="I235" s="30" t="s">
        <v>39</v>
      </c>
      <c r="J235" s="12">
        <f t="shared" si="78"/>
        <v>0.74</v>
      </c>
      <c r="K235" s="12">
        <f t="shared" si="79"/>
        <v>0.65999999999999992</v>
      </c>
      <c r="L235" s="78"/>
      <c r="M235" s="78"/>
      <c r="N235" s="78"/>
      <c r="O235" s="36"/>
      <c r="P235" s="24" t="str">
        <f t="shared" si="69"/>
        <v xml:space="preserve"> </v>
      </c>
      <c r="Q235" s="25" t="str">
        <f t="shared" si="70"/>
        <v xml:space="preserve"> </v>
      </c>
      <c r="R235" s="25" t="str">
        <f t="shared" si="71"/>
        <v xml:space="preserve"> </v>
      </c>
      <c r="S235" s="26" t="str">
        <f t="shared" si="72"/>
        <v xml:space="preserve"> </v>
      </c>
      <c r="T235" s="7" t="str">
        <f t="shared" si="73"/>
        <v xml:space="preserve"> </v>
      </c>
      <c r="U235" s="8" t="str">
        <f t="shared" si="74"/>
        <v xml:space="preserve"> </v>
      </c>
      <c r="V235" s="9" t="str">
        <f t="shared" si="66"/>
        <v xml:space="preserve"> </v>
      </c>
      <c r="W235" s="9" t="str">
        <f t="shared" si="75"/>
        <v/>
      </c>
      <c r="X235" s="32"/>
      <c r="Y235" s="36"/>
    </row>
    <row r="236" spans="1:25" s="4" customFormat="1" ht="18" customHeight="1">
      <c r="A236" s="36"/>
      <c r="B236" s="69">
        <v>117.67000000000029</v>
      </c>
      <c r="C236" s="69" t="s">
        <v>528</v>
      </c>
      <c r="D236" s="31" t="s">
        <v>708</v>
      </c>
      <c r="E236" s="29" t="s">
        <v>34</v>
      </c>
      <c r="F236" s="28">
        <v>0.7</v>
      </c>
      <c r="G236" s="29">
        <v>0.04</v>
      </c>
      <c r="H236" s="29">
        <v>-0.04</v>
      </c>
      <c r="I236" s="30" t="s">
        <v>39</v>
      </c>
      <c r="J236" s="12">
        <f t="shared" si="78"/>
        <v>0.74</v>
      </c>
      <c r="K236" s="12">
        <f t="shared" si="79"/>
        <v>0.65999999999999992</v>
      </c>
      <c r="L236" s="78"/>
      <c r="M236" s="78"/>
      <c r="N236" s="78"/>
      <c r="O236" s="36"/>
      <c r="P236" s="24" t="str">
        <f t="shared" si="69"/>
        <v xml:space="preserve"> </v>
      </c>
      <c r="Q236" s="25" t="str">
        <f t="shared" si="70"/>
        <v xml:space="preserve"> </v>
      </c>
      <c r="R236" s="25" t="str">
        <f t="shared" si="71"/>
        <v xml:space="preserve"> </v>
      </c>
      <c r="S236" s="26" t="str">
        <f t="shared" si="72"/>
        <v xml:space="preserve"> </v>
      </c>
      <c r="T236" s="7" t="str">
        <f t="shared" si="73"/>
        <v xml:space="preserve"> </v>
      </c>
      <c r="U236" s="8" t="str">
        <f t="shared" si="74"/>
        <v xml:space="preserve"> </v>
      </c>
      <c r="V236" s="9" t="str">
        <f t="shared" si="66"/>
        <v xml:space="preserve"> </v>
      </c>
      <c r="W236" s="9" t="str">
        <f t="shared" si="75"/>
        <v/>
      </c>
      <c r="X236" s="32"/>
      <c r="Y236" s="36"/>
    </row>
    <row r="237" spans="1:25" s="4" customFormat="1" ht="18" customHeight="1">
      <c r="A237" s="36"/>
      <c r="B237" s="69">
        <v>117.68000000000029</v>
      </c>
      <c r="C237" s="69" t="s">
        <v>529</v>
      </c>
      <c r="D237" s="31" t="s">
        <v>708</v>
      </c>
      <c r="E237" s="29" t="s">
        <v>34</v>
      </c>
      <c r="F237" s="28">
        <v>0.7</v>
      </c>
      <c r="G237" s="29">
        <v>0.04</v>
      </c>
      <c r="H237" s="29">
        <v>-0.04</v>
      </c>
      <c r="I237" s="30" t="s">
        <v>39</v>
      </c>
      <c r="J237" s="12">
        <f t="shared" si="78"/>
        <v>0.74</v>
      </c>
      <c r="K237" s="12">
        <f t="shared" si="79"/>
        <v>0.65999999999999992</v>
      </c>
      <c r="L237" s="78"/>
      <c r="M237" s="78"/>
      <c r="N237" s="78"/>
      <c r="O237" s="36"/>
      <c r="P237" s="24" t="str">
        <f t="shared" si="69"/>
        <v xml:space="preserve"> </v>
      </c>
      <c r="Q237" s="25" t="str">
        <f t="shared" si="70"/>
        <v xml:space="preserve"> </v>
      </c>
      <c r="R237" s="25" t="str">
        <f t="shared" si="71"/>
        <v xml:space="preserve"> </v>
      </c>
      <c r="S237" s="26" t="str">
        <f t="shared" si="72"/>
        <v xml:space="preserve"> </v>
      </c>
      <c r="T237" s="7" t="str">
        <f t="shared" si="73"/>
        <v xml:space="preserve"> </v>
      </c>
      <c r="U237" s="8" t="str">
        <f t="shared" si="74"/>
        <v xml:space="preserve"> </v>
      </c>
      <c r="V237" s="9" t="str">
        <f t="shared" si="66"/>
        <v xml:space="preserve"> </v>
      </c>
      <c r="W237" s="9" t="str">
        <f t="shared" si="75"/>
        <v/>
      </c>
      <c r="X237" s="32"/>
      <c r="Y237" s="36"/>
    </row>
    <row r="238" spans="1:25" s="4" customFormat="1" ht="18" customHeight="1">
      <c r="A238" s="36"/>
      <c r="B238" s="69">
        <v>117.6900000000003</v>
      </c>
      <c r="C238" s="69" t="s">
        <v>530</v>
      </c>
      <c r="D238" s="31" t="s">
        <v>708</v>
      </c>
      <c r="E238" s="29" t="s">
        <v>34</v>
      </c>
      <c r="F238" s="28">
        <v>0.7</v>
      </c>
      <c r="G238" s="29">
        <v>0.04</v>
      </c>
      <c r="H238" s="29">
        <v>-0.04</v>
      </c>
      <c r="I238" s="30" t="s">
        <v>39</v>
      </c>
      <c r="J238" s="12">
        <f t="shared" si="78"/>
        <v>0.74</v>
      </c>
      <c r="K238" s="12">
        <f t="shared" si="79"/>
        <v>0.65999999999999992</v>
      </c>
      <c r="L238" s="78"/>
      <c r="M238" s="78"/>
      <c r="N238" s="78"/>
      <c r="O238" s="36"/>
      <c r="P238" s="24" t="str">
        <f t="shared" si="69"/>
        <v xml:space="preserve"> </v>
      </c>
      <c r="Q238" s="25" t="str">
        <f t="shared" si="70"/>
        <v xml:space="preserve"> </v>
      </c>
      <c r="R238" s="25" t="str">
        <f t="shared" si="71"/>
        <v xml:space="preserve"> </v>
      </c>
      <c r="S238" s="26" t="str">
        <f t="shared" si="72"/>
        <v xml:space="preserve"> </v>
      </c>
      <c r="T238" s="7" t="str">
        <f t="shared" si="73"/>
        <v xml:space="preserve"> </v>
      </c>
      <c r="U238" s="8" t="str">
        <f t="shared" si="74"/>
        <v xml:space="preserve"> </v>
      </c>
      <c r="V238" s="9" t="str">
        <f t="shared" si="66"/>
        <v xml:space="preserve"> </v>
      </c>
      <c r="W238" s="9" t="str">
        <f t="shared" si="75"/>
        <v/>
      </c>
      <c r="X238" s="32"/>
      <c r="Y238" s="36"/>
    </row>
    <row r="239" spans="1:25" s="4" customFormat="1" ht="18" customHeight="1">
      <c r="A239" s="36"/>
      <c r="B239" s="69" t="s">
        <v>879</v>
      </c>
      <c r="C239" s="69" t="s">
        <v>531</v>
      </c>
      <c r="D239" s="31" t="s">
        <v>708</v>
      </c>
      <c r="E239" s="29" t="s">
        <v>34</v>
      </c>
      <c r="F239" s="28">
        <v>0.7</v>
      </c>
      <c r="G239" s="29">
        <v>0.04</v>
      </c>
      <c r="H239" s="29">
        <v>-0.04</v>
      </c>
      <c r="I239" s="30" t="s">
        <v>39</v>
      </c>
      <c r="J239" s="12">
        <f t="shared" si="78"/>
        <v>0.74</v>
      </c>
      <c r="K239" s="12">
        <f t="shared" si="79"/>
        <v>0.65999999999999992</v>
      </c>
      <c r="L239" s="78"/>
      <c r="M239" s="78"/>
      <c r="N239" s="78"/>
      <c r="O239" s="36"/>
      <c r="P239" s="24" t="str">
        <f t="shared" si="69"/>
        <v xml:space="preserve"> </v>
      </c>
      <c r="Q239" s="25" t="str">
        <f t="shared" si="70"/>
        <v xml:space="preserve"> </v>
      </c>
      <c r="R239" s="25" t="str">
        <f t="shared" si="71"/>
        <v xml:space="preserve"> </v>
      </c>
      <c r="S239" s="26" t="str">
        <f t="shared" si="72"/>
        <v xml:space="preserve"> </v>
      </c>
      <c r="T239" s="7" t="str">
        <f t="shared" si="73"/>
        <v xml:space="preserve"> </v>
      </c>
      <c r="U239" s="8" t="str">
        <f t="shared" si="74"/>
        <v xml:space="preserve"> </v>
      </c>
      <c r="V239" s="9" t="str">
        <f t="shared" si="66"/>
        <v xml:space="preserve"> </v>
      </c>
      <c r="W239" s="9" t="str">
        <f t="shared" si="75"/>
        <v/>
      </c>
      <c r="X239" s="32"/>
      <c r="Y239" s="36"/>
    </row>
    <row r="240" spans="1:25" s="4" customFormat="1" ht="18" customHeight="1">
      <c r="A240" s="36"/>
      <c r="B240" s="69">
        <v>117.71000000000031</v>
      </c>
      <c r="C240" s="69" t="s">
        <v>532</v>
      </c>
      <c r="D240" s="31" t="s">
        <v>708</v>
      </c>
      <c r="E240" s="29" t="s">
        <v>34</v>
      </c>
      <c r="F240" s="28">
        <v>0.7</v>
      </c>
      <c r="G240" s="29">
        <v>0.04</v>
      </c>
      <c r="H240" s="29">
        <v>-0.04</v>
      </c>
      <c r="I240" s="30" t="s">
        <v>39</v>
      </c>
      <c r="J240" s="12">
        <f t="shared" si="78"/>
        <v>0.74</v>
      </c>
      <c r="K240" s="12">
        <f t="shared" si="79"/>
        <v>0.65999999999999992</v>
      </c>
      <c r="L240" s="78"/>
      <c r="M240" s="78"/>
      <c r="N240" s="78"/>
      <c r="O240" s="36"/>
      <c r="P240" s="24" t="str">
        <f t="shared" si="69"/>
        <v xml:space="preserve"> </v>
      </c>
      <c r="Q240" s="25" t="str">
        <f t="shared" si="70"/>
        <v xml:space="preserve"> </v>
      </c>
      <c r="R240" s="25" t="str">
        <f t="shared" si="71"/>
        <v xml:space="preserve"> </v>
      </c>
      <c r="S240" s="26" t="str">
        <f t="shared" si="72"/>
        <v xml:space="preserve"> </v>
      </c>
      <c r="T240" s="7" t="str">
        <f t="shared" si="73"/>
        <v xml:space="preserve"> </v>
      </c>
      <c r="U240" s="8" t="str">
        <f t="shared" si="74"/>
        <v xml:space="preserve"> </v>
      </c>
      <c r="V240" s="9" t="str">
        <f t="shared" si="66"/>
        <v xml:space="preserve"> </v>
      </c>
      <c r="W240" s="9" t="str">
        <f t="shared" si="75"/>
        <v/>
      </c>
      <c r="X240" s="32"/>
      <c r="Y240" s="36"/>
    </row>
    <row r="241" spans="1:25" s="4" customFormat="1" ht="18" customHeight="1">
      <c r="A241" s="36"/>
      <c r="B241" s="69">
        <v>117.72000000000031</v>
      </c>
      <c r="C241" s="69" t="s">
        <v>533</v>
      </c>
      <c r="D241" s="31" t="s">
        <v>708</v>
      </c>
      <c r="E241" s="29" t="s">
        <v>34</v>
      </c>
      <c r="F241" s="28">
        <v>0.7</v>
      </c>
      <c r="G241" s="29">
        <v>0.04</v>
      </c>
      <c r="H241" s="29">
        <v>-0.04</v>
      </c>
      <c r="I241" s="30" t="s">
        <v>39</v>
      </c>
      <c r="J241" s="12">
        <f t="shared" si="78"/>
        <v>0.74</v>
      </c>
      <c r="K241" s="12">
        <f t="shared" si="79"/>
        <v>0.65999999999999992</v>
      </c>
      <c r="L241" s="78"/>
      <c r="M241" s="78"/>
      <c r="N241" s="78"/>
      <c r="O241" s="36"/>
      <c r="P241" s="24" t="str">
        <f t="shared" si="69"/>
        <v xml:space="preserve"> </v>
      </c>
      <c r="Q241" s="25" t="str">
        <f t="shared" si="70"/>
        <v xml:space="preserve"> </v>
      </c>
      <c r="R241" s="25" t="str">
        <f t="shared" si="71"/>
        <v xml:space="preserve"> </v>
      </c>
      <c r="S241" s="26" t="str">
        <f t="shared" si="72"/>
        <v xml:space="preserve"> </v>
      </c>
      <c r="T241" s="7" t="str">
        <f t="shared" si="73"/>
        <v xml:space="preserve"> </v>
      </c>
      <c r="U241" s="8" t="str">
        <f t="shared" si="74"/>
        <v xml:space="preserve"> </v>
      </c>
      <c r="V241" s="9" t="str">
        <f t="shared" si="66"/>
        <v xml:space="preserve"> </v>
      </c>
      <c r="W241" s="9" t="str">
        <f t="shared" si="75"/>
        <v/>
      </c>
      <c r="X241" s="32"/>
      <c r="Y241" s="36"/>
    </row>
    <row r="242" spans="1:25" s="4" customFormat="1" ht="18" customHeight="1">
      <c r="A242" s="36"/>
      <c r="B242" s="69">
        <v>117.73000000000032</v>
      </c>
      <c r="C242" s="69" t="s">
        <v>534</v>
      </c>
      <c r="D242" s="31" t="s">
        <v>708</v>
      </c>
      <c r="E242" s="29" t="s">
        <v>34</v>
      </c>
      <c r="F242" s="28">
        <v>0.7</v>
      </c>
      <c r="G242" s="29">
        <v>0.04</v>
      </c>
      <c r="H242" s="29">
        <v>-0.04</v>
      </c>
      <c r="I242" s="30" t="s">
        <v>39</v>
      </c>
      <c r="J242" s="12">
        <f t="shared" si="78"/>
        <v>0.74</v>
      </c>
      <c r="K242" s="12">
        <f t="shared" si="79"/>
        <v>0.65999999999999992</v>
      </c>
      <c r="L242" s="78"/>
      <c r="M242" s="78"/>
      <c r="N242" s="78"/>
      <c r="O242" s="36"/>
      <c r="P242" s="24" t="str">
        <f t="shared" si="69"/>
        <v xml:space="preserve"> </v>
      </c>
      <c r="Q242" s="25" t="str">
        <f t="shared" si="70"/>
        <v xml:space="preserve"> </v>
      </c>
      <c r="R242" s="25" t="str">
        <f t="shared" si="71"/>
        <v xml:space="preserve"> </v>
      </c>
      <c r="S242" s="26" t="str">
        <f t="shared" si="72"/>
        <v xml:space="preserve"> </v>
      </c>
      <c r="T242" s="7" t="str">
        <f t="shared" si="73"/>
        <v xml:space="preserve"> </v>
      </c>
      <c r="U242" s="8" t="str">
        <f t="shared" si="74"/>
        <v xml:space="preserve"> </v>
      </c>
      <c r="V242" s="9" t="str">
        <f t="shared" si="66"/>
        <v xml:space="preserve"> </v>
      </c>
      <c r="W242" s="9" t="str">
        <f t="shared" si="75"/>
        <v/>
      </c>
      <c r="X242" s="32"/>
      <c r="Y242" s="36"/>
    </row>
    <row r="243" spans="1:25" s="4" customFormat="1" ht="18" customHeight="1">
      <c r="A243" s="36"/>
      <c r="B243" s="69">
        <v>117.74000000000032</v>
      </c>
      <c r="C243" s="69" t="s">
        <v>535</v>
      </c>
      <c r="D243" s="31" t="s">
        <v>708</v>
      </c>
      <c r="E243" s="29" t="s">
        <v>34</v>
      </c>
      <c r="F243" s="28">
        <v>0.7</v>
      </c>
      <c r="G243" s="29">
        <v>0.04</v>
      </c>
      <c r="H243" s="29">
        <v>-0.04</v>
      </c>
      <c r="I243" s="30" t="s">
        <v>39</v>
      </c>
      <c r="J243" s="12">
        <f t="shared" si="78"/>
        <v>0.74</v>
      </c>
      <c r="K243" s="12">
        <f t="shared" si="79"/>
        <v>0.65999999999999992</v>
      </c>
      <c r="L243" s="78"/>
      <c r="M243" s="78"/>
      <c r="N243" s="78"/>
      <c r="O243" s="36"/>
      <c r="P243" s="24" t="str">
        <f t="shared" si="69"/>
        <v xml:space="preserve"> </v>
      </c>
      <c r="Q243" s="25" t="str">
        <f t="shared" si="70"/>
        <v xml:space="preserve"> </v>
      </c>
      <c r="R243" s="25" t="str">
        <f t="shared" si="71"/>
        <v xml:space="preserve"> </v>
      </c>
      <c r="S243" s="26" t="str">
        <f t="shared" si="72"/>
        <v xml:space="preserve"> </v>
      </c>
      <c r="T243" s="7" t="str">
        <f t="shared" si="73"/>
        <v xml:space="preserve"> </v>
      </c>
      <c r="U243" s="8" t="str">
        <f t="shared" si="74"/>
        <v xml:space="preserve"> </v>
      </c>
      <c r="V243" s="9" t="str">
        <f t="shared" si="66"/>
        <v xml:space="preserve"> </v>
      </c>
      <c r="W243" s="9" t="str">
        <f t="shared" si="75"/>
        <v/>
      </c>
      <c r="X243" s="32"/>
      <c r="Y243" s="36"/>
    </row>
    <row r="244" spans="1:25" s="4" customFormat="1" ht="18" customHeight="1">
      <c r="A244" s="36"/>
      <c r="B244" s="69">
        <v>117.75000000000033</v>
      </c>
      <c r="C244" s="69" t="s">
        <v>536</v>
      </c>
      <c r="D244" s="31" t="s">
        <v>708</v>
      </c>
      <c r="E244" s="29" t="s">
        <v>34</v>
      </c>
      <c r="F244" s="28">
        <v>0.7</v>
      </c>
      <c r="G244" s="29">
        <v>0.04</v>
      </c>
      <c r="H244" s="29">
        <v>-0.04</v>
      </c>
      <c r="I244" s="30" t="s">
        <v>39</v>
      </c>
      <c r="J244" s="12">
        <f t="shared" si="78"/>
        <v>0.74</v>
      </c>
      <c r="K244" s="12">
        <f t="shared" si="79"/>
        <v>0.65999999999999992</v>
      </c>
      <c r="L244" s="78"/>
      <c r="M244" s="78"/>
      <c r="N244" s="78"/>
      <c r="O244" s="36"/>
      <c r="P244" s="24" t="str">
        <f t="shared" si="69"/>
        <v xml:space="preserve"> </v>
      </c>
      <c r="Q244" s="25" t="str">
        <f t="shared" si="70"/>
        <v xml:space="preserve"> </v>
      </c>
      <c r="R244" s="25" t="str">
        <f t="shared" si="71"/>
        <v xml:space="preserve"> </v>
      </c>
      <c r="S244" s="26" t="str">
        <f t="shared" si="72"/>
        <v xml:space="preserve"> </v>
      </c>
      <c r="T244" s="7" t="str">
        <f t="shared" si="73"/>
        <v xml:space="preserve"> </v>
      </c>
      <c r="U244" s="8" t="str">
        <f t="shared" si="74"/>
        <v xml:space="preserve"> </v>
      </c>
      <c r="V244" s="9" t="str">
        <f t="shared" si="66"/>
        <v xml:space="preserve"> </v>
      </c>
      <c r="W244" s="9" t="str">
        <f t="shared" si="75"/>
        <v/>
      </c>
      <c r="X244" s="32"/>
      <c r="Y244" s="36"/>
    </row>
    <row r="245" spans="1:25" s="4" customFormat="1" ht="18" customHeight="1">
      <c r="A245" s="36"/>
      <c r="B245" s="69">
        <v>117.76000000000033</v>
      </c>
      <c r="C245" s="69" t="s">
        <v>537</v>
      </c>
      <c r="D245" s="31" t="s">
        <v>708</v>
      </c>
      <c r="E245" s="29" t="s">
        <v>34</v>
      </c>
      <c r="F245" s="28">
        <v>0.7</v>
      </c>
      <c r="G245" s="29">
        <v>0.04</v>
      </c>
      <c r="H245" s="29">
        <v>-0.04</v>
      </c>
      <c r="I245" s="30" t="s">
        <v>39</v>
      </c>
      <c r="J245" s="12">
        <f t="shared" si="78"/>
        <v>0.74</v>
      </c>
      <c r="K245" s="12">
        <f t="shared" si="79"/>
        <v>0.65999999999999992</v>
      </c>
      <c r="L245" s="78"/>
      <c r="M245" s="78"/>
      <c r="N245" s="78"/>
      <c r="O245" s="36"/>
      <c r="P245" s="24" t="str">
        <f t="shared" si="69"/>
        <v xml:space="preserve"> </v>
      </c>
      <c r="Q245" s="25" t="str">
        <f t="shared" si="70"/>
        <v xml:space="preserve"> </v>
      </c>
      <c r="R245" s="25" t="str">
        <f t="shared" si="71"/>
        <v xml:space="preserve"> </v>
      </c>
      <c r="S245" s="26" t="str">
        <f t="shared" si="72"/>
        <v xml:space="preserve"> </v>
      </c>
      <c r="T245" s="7" t="str">
        <f t="shared" si="73"/>
        <v xml:space="preserve"> </v>
      </c>
      <c r="U245" s="8" t="str">
        <f t="shared" si="74"/>
        <v xml:space="preserve"> </v>
      </c>
      <c r="V245" s="9" t="str">
        <f t="shared" si="66"/>
        <v xml:space="preserve"> </v>
      </c>
      <c r="W245" s="9" t="str">
        <f t="shared" si="75"/>
        <v/>
      </c>
      <c r="X245" s="32"/>
      <c r="Y245" s="36"/>
    </row>
    <row r="246" spans="1:25" s="4" customFormat="1" ht="18" customHeight="1">
      <c r="A246" s="36"/>
      <c r="B246" s="69">
        <v>117.77000000000034</v>
      </c>
      <c r="C246" s="69" t="s">
        <v>538</v>
      </c>
      <c r="D246" s="31" t="s">
        <v>708</v>
      </c>
      <c r="E246" s="29" t="s">
        <v>34</v>
      </c>
      <c r="F246" s="28">
        <v>0.7</v>
      </c>
      <c r="G246" s="29">
        <v>0.04</v>
      </c>
      <c r="H246" s="29">
        <v>-0.04</v>
      </c>
      <c r="I246" s="30" t="s">
        <v>39</v>
      </c>
      <c r="J246" s="12">
        <f t="shared" si="78"/>
        <v>0.74</v>
      </c>
      <c r="K246" s="12">
        <f t="shared" si="79"/>
        <v>0.65999999999999992</v>
      </c>
      <c r="L246" s="78"/>
      <c r="M246" s="78"/>
      <c r="N246" s="78"/>
      <c r="O246" s="36"/>
      <c r="P246" s="24" t="str">
        <f t="shared" si="69"/>
        <v xml:space="preserve"> </v>
      </c>
      <c r="Q246" s="25" t="str">
        <f t="shared" si="70"/>
        <v xml:space="preserve"> </v>
      </c>
      <c r="R246" s="25" t="str">
        <f t="shared" si="71"/>
        <v xml:space="preserve"> </v>
      </c>
      <c r="S246" s="26" t="str">
        <f t="shared" si="72"/>
        <v xml:space="preserve"> </v>
      </c>
      <c r="T246" s="7" t="str">
        <f t="shared" si="73"/>
        <v xml:space="preserve"> </v>
      </c>
      <c r="U246" s="8" t="str">
        <f t="shared" si="74"/>
        <v xml:space="preserve"> </v>
      </c>
      <c r="V246" s="9" t="str">
        <f t="shared" si="66"/>
        <v xml:space="preserve"> </v>
      </c>
      <c r="W246" s="9" t="str">
        <f t="shared" si="75"/>
        <v/>
      </c>
      <c r="X246" s="32"/>
      <c r="Y246" s="36"/>
    </row>
    <row r="247" spans="1:25" s="4" customFormat="1" ht="18" customHeight="1">
      <c r="A247" s="36"/>
      <c r="B247" s="69">
        <v>117.78000000000034</v>
      </c>
      <c r="C247" s="69" t="s">
        <v>539</v>
      </c>
      <c r="D247" s="31" t="s">
        <v>708</v>
      </c>
      <c r="E247" s="29" t="s">
        <v>34</v>
      </c>
      <c r="F247" s="28">
        <v>0.7</v>
      </c>
      <c r="G247" s="29">
        <v>0.04</v>
      </c>
      <c r="H247" s="29">
        <v>-0.04</v>
      </c>
      <c r="I247" s="30" t="s">
        <v>39</v>
      </c>
      <c r="J247" s="12">
        <f t="shared" si="78"/>
        <v>0.74</v>
      </c>
      <c r="K247" s="12">
        <f t="shared" si="79"/>
        <v>0.65999999999999992</v>
      </c>
      <c r="L247" s="78"/>
      <c r="M247" s="78"/>
      <c r="N247" s="78"/>
      <c r="O247" s="36"/>
      <c r="P247" s="24" t="str">
        <f t="shared" si="69"/>
        <v xml:space="preserve"> </v>
      </c>
      <c r="Q247" s="25" t="str">
        <f t="shared" si="70"/>
        <v xml:space="preserve"> </v>
      </c>
      <c r="R247" s="25" t="str">
        <f t="shared" si="71"/>
        <v xml:space="preserve"> </v>
      </c>
      <c r="S247" s="26" t="str">
        <f t="shared" si="72"/>
        <v xml:space="preserve"> </v>
      </c>
      <c r="T247" s="7" t="str">
        <f t="shared" si="73"/>
        <v xml:space="preserve"> </v>
      </c>
      <c r="U247" s="8" t="str">
        <f t="shared" si="74"/>
        <v xml:space="preserve"> </v>
      </c>
      <c r="V247" s="9" t="str">
        <f t="shared" si="66"/>
        <v xml:space="preserve"> </v>
      </c>
      <c r="W247" s="9" t="str">
        <f t="shared" si="75"/>
        <v/>
      </c>
      <c r="X247" s="32"/>
      <c r="Y247" s="36"/>
    </row>
    <row r="248" spans="1:25" s="4" customFormat="1" ht="18" customHeight="1">
      <c r="A248" s="36"/>
      <c r="B248" s="69">
        <v>117.79000000000035</v>
      </c>
      <c r="C248" s="69" t="s">
        <v>540</v>
      </c>
      <c r="D248" s="31" t="s">
        <v>708</v>
      </c>
      <c r="E248" s="29" t="s">
        <v>34</v>
      </c>
      <c r="F248" s="28">
        <v>0.7</v>
      </c>
      <c r="G248" s="29">
        <v>0.04</v>
      </c>
      <c r="H248" s="29">
        <v>-0.04</v>
      </c>
      <c r="I248" s="30" t="s">
        <v>39</v>
      </c>
      <c r="J248" s="12">
        <f t="shared" si="78"/>
        <v>0.74</v>
      </c>
      <c r="K248" s="12">
        <f t="shared" si="79"/>
        <v>0.65999999999999992</v>
      </c>
      <c r="L248" s="78"/>
      <c r="M248" s="78"/>
      <c r="N248" s="78"/>
      <c r="O248" s="36"/>
      <c r="P248" s="24" t="str">
        <f t="shared" si="69"/>
        <v xml:space="preserve"> </v>
      </c>
      <c r="Q248" s="25" t="str">
        <f t="shared" si="70"/>
        <v xml:space="preserve"> </v>
      </c>
      <c r="R248" s="25" t="str">
        <f t="shared" si="71"/>
        <v xml:space="preserve"> </v>
      </c>
      <c r="S248" s="26" t="str">
        <f t="shared" si="72"/>
        <v xml:space="preserve"> </v>
      </c>
      <c r="T248" s="7" t="str">
        <f t="shared" si="73"/>
        <v xml:space="preserve"> </v>
      </c>
      <c r="U248" s="8" t="str">
        <f t="shared" si="74"/>
        <v xml:space="preserve"> </v>
      </c>
      <c r="V248" s="9" t="str">
        <f t="shared" si="66"/>
        <v xml:space="preserve"> </v>
      </c>
      <c r="W248" s="9" t="str">
        <f t="shared" si="75"/>
        <v/>
      </c>
      <c r="X248" s="32"/>
      <c r="Y248" s="36"/>
    </row>
    <row r="249" spans="1:25" s="4" customFormat="1" ht="18" customHeight="1">
      <c r="A249" s="36"/>
      <c r="B249" s="69" t="s">
        <v>880</v>
      </c>
      <c r="C249" s="69" t="s">
        <v>541</v>
      </c>
      <c r="D249" s="31" t="s">
        <v>708</v>
      </c>
      <c r="E249" s="29" t="s">
        <v>34</v>
      </c>
      <c r="F249" s="28">
        <v>0.7</v>
      </c>
      <c r="G249" s="29">
        <v>0.04</v>
      </c>
      <c r="H249" s="29">
        <v>-0.04</v>
      </c>
      <c r="I249" s="30" t="s">
        <v>39</v>
      </c>
      <c r="J249" s="12">
        <f t="shared" si="78"/>
        <v>0.74</v>
      </c>
      <c r="K249" s="12">
        <f t="shared" si="79"/>
        <v>0.65999999999999992</v>
      </c>
      <c r="L249" s="78"/>
      <c r="M249" s="78"/>
      <c r="N249" s="78"/>
      <c r="O249" s="36"/>
      <c r="P249" s="24" t="str">
        <f t="shared" si="69"/>
        <v xml:space="preserve"> </v>
      </c>
      <c r="Q249" s="25" t="str">
        <f t="shared" si="70"/>
        <v xml:space="preserve"> </v>
      </c>
      <c r="R249" s="25" t="str">
        <f t="shared" si="71"/>
        <v xml:space="preserve"> </v>
      </c>
      <c r="S249" s="26" t="str">
        <f t="shared" si="72"/>
        <v xml:space="preserve"> </v>
      </c>
      <c r="T249" s="7" t="str">
        <f t="shared" si="73"/>
        <v xml:space="preserve"> </v>
      </c>
      <c r="U249" s="8" t="str">
        <f t="shared" si="74"/>
        <v xml:space="preserve"> </v>
      </c>
      <c r="V249" s="9" t="str">
        <f t="shared" si="66"/>
        <v xml:space="preserve"> </v>
      </c>
      <c r="W249" s="9" t="str">
        <f t="shared" si="75"/>
        <v/>
      </c>
      <c r="X249" s="32"/>
      <c r="Y249" s="36"/>
    </row>
    <row r="250" spans="1:25" s="4" customFormat="1" ht="18" customHeight="1">
      <c r="A250" s="36"/>
      <c r="B250" s="69">
        <v>117.81000000000036</v>
      </c>
      <c r="C250" s="69" t="s">
        <v>542</v>
      </c>
      <c r="D250" s="31" t="s">
        <v>708</v>
      </c>
      <c r="E250" s="29" t="s">
        <v>34</v>
      </c>
      <c r="F250" s="28">
        <v>0.7</v>
      </c>
      <c r="G250" s="29">
        <v>0.04</v>
      </c>
      <c r="H250" s="29">
        <v>-0.04</v>
      </c>
      <c r="I250" s="30" t="s">
        <v>39</v>
      </c>
      <c r="J250" s="12">
        <f t="shared" si="78"/>
        <v>0.74</v>
      </c>
      <c r="K250" s="12">
        <f t="shared" si="79"/>
        <v>0.65999999999999992</v>
      </c>
      <c r="L250" s="78"/>
      <c r="M250" s="78"/>
      <c r="N250" s="78"/>
      <c r="O250" s="36"/>
      <c r="P250" s="24" t="str">
        <f t="shared" si="69"/>
        <v xml:space="preserve"> </v>
      </c>
      <c r="Q250" s="25" t="str">
        <f t="shared" si="70"/>
        <v xml:space="preserve"> </v>
      </c>
      <c r="R250" s="25" t="str">
        <f t="shared" si="71"/>
        <v xml:space="preserve"> </v>
      </c>
      <c r="S250" s="26" t="str">
        <f t="shared" si="72"/>
        <v xml:space="preserve"> </v>
      </c>
      <c r="T250" s="7" t="str">
        <f t="shared" si="73"/>
        <v xml:space="preserve"> </v>
      </c>
      <c r="U250" s="8" t="str">
        <f t="shared" si="74"/>
        <v xml:space="preserve"> </v>
      </c>
      <c r="V250" s="9" t="str">
        <f t="shared" si="66"/>
        <v xml:space="preserve"> </v>
      </c>
      <c r="W250" s="9" t="str">
        <f t="shared" si="75"/>
        <v/>
      </c>
      <c r="X250" s="32"/>
      <c r="Y250" s="36"/>
    </row>
    <row r="251" spans="1:25" s="4" customFormat="1" ht="18" customHeight="1">
      <c r="A251" s="36"/>
      <c r="B251" s="69">
        <v>117.82000000000036</v>
      </c>
      <c r="C251" s="69" t="s">
        <v>543</v>
      </c>
      <c r="D251" s="31" t="s">
        <v>708</v>
      </c>
      <c r="E251" s="29" t="s">
        <v>34</v>
      </c>
      <c r="F251" s="28">
        <v>0.7</v>
      </c>
      <c r="G251" s="29">
        <v>0.04</v>
      </c>
      <c r="H251" s="29">
        <v>-0.04</v>
      </c>
      <c r="I251" s="30" t="s">
        <v>39</v>
      </c>
      <c r="J251" s="12">
        <f t="shared" si="78"/>
        <v>0.74</v>
      </c>
      <c r="K251" s="12">
        <f t="shared" si="79"/>
        <v>0.65999999999999992</v>
      </c>
      <c r="L251" s="78"/>
      <c r="M251" s="78"/>
      <c r="N251" s="78"/>
      <c r="O251" s="36"/>
      <c r="P251" s="24" t="str">
        <f t="shared" si="69"/>
        <v xml:space="preserve"> </v>
      </c>
      <c r="Q251" s="25" t="str">
        <f t="shared" si="70"/>
        <v xml:space="preserve"> </v>
      </c>
      <c r="R251" s="25" t="str">
        <f t="shared" si="71"/>
        <v xml:space="preserve"> </v>
      </c>
      <c r="S251" s="26" t="str">
        <f t="shared" si="72"/>
        <v xml:space="preserve"> </v>
      </c>
      <c r="T251" s="7" t="str">
        <f t="shared" si="73"/>
        <v xml:space="preserve"> </v>
      </c>
      <c r="U251" s="8" t="str">
        <f t="shared" si="74"/>
        <v xml:space="preserve"> </v>
      </c>
      <c r="V251" s="9" t="str">
        <f t="shared" si="66"/>
        <v xml:space="preserve"> </v>
      </c>
      <c r="W251" s="9" t="str">
        <f t="shared" si="75"/>
        <v/>
      </c>
      <c r="X251" s="32"/>
      <c r="Y251" s="36"/>
    </row>
    <row r="252" spans="1:25" s="4" customFormat="1" ht="18" customHeight="1">
      <c r="A252" s="36"/>
      <c r="B252" s="69">
        <v>117.83000000000037</v>
      </c>
      <c r="C252" s="69" t="s">
        <v>544</v>
      </c>
      <c r="D252" s="31" t="s">
        <v>708</v>
      </c>
      <c r="E252" s="29" t="s">
        <v>34</v>
      </c>
      <c r="F252" s="28">
        <v>0.7</v>
      </c>
      <c r="G252" s="29">
        <v>0.04</v>
      </c>
      <c r="H252" s="29">
        <v>-0.04</v>
      </c>
      <c r="I252" s="30" t="s">
        <v>39</v>
      </c>
      <c r="J252" s="12">
        <f t="shared" si="78"/>
        <v>0.74</v>
      </c>
      <c r="K252" s="12">
        <f t="shared" si="79"/>
        <v>0.65999999999999992</v>
      </c>
      <c r="L252" s="78"/>
      <c r="M252" s="78"/>
      <c r="N252" s="78"/>
      <c r="O252" s="36"/>
      <c r="P252" s="24" t="str">
        <f t="shared" si="69"/>
        <v xml:space="preserve"> </v>
      </c>
      <c r="Q252" s="25" t="str">
        <f t="shared" si="70"/>
        <v xml:space="preserve"> </v>
      </c>
      <c r="R252" s="25" t="str">
        <f t="shared" si="71"/>
        <v xml:space="preserve"> </v>
      </c>
      <c r="S252" s="26" t="str">
        <f t="shared" si="72"/>
        <v xml:space="preserve"> </v>
      </c>
      <c r="T252" s="7" t="str">
        <f t="shared" si="73"/>
        <v xml:space="preserve"> </v>
      </c>
      <c r="U252" s="8" t="str">
        <f t="shared" si="74"/>
        <v xml:space="preserve"> </v>
      </c>
      <c r="V252" s="9" t="str">
        <f t="shared" si="66"/>
        <v xml:space="preserve"> </v>
      </c>
      <c r="W252" s="9" t="str">
        <f t="shared" si="75"/>
        <v/>
      </c>
      <c r="X252" s="32"/>
      <c r="Y252" s="36"/>
    </row>
    <row r="253" spans="1:25" s="4" customFormat="1" ht="18" customHeight="1">
      <c r="A253" s="36"/>
      <c r="B253" s="69">
        <v>117.84000000000037</v>
      </c>
      <c r="C253" s="69" t="s">
        <v>545</v>
      </c>
      <c r="D253" s="31" t="s">
        <v>708</v>
      </c>
      <c r="E253" s="29" t="s">
        <v>34</v>
      </c>
      <c r="F253" s="28">
        <v>0.7</v>
      </c>
      <c r="G253" s="29">
        <v>0.04</v>
      </c>
      <c r="H253" s="29">
        <v>-0.04</v>
      </c>
      <c r="I253" s="30" t="s">
        <v>39</v>
      </c>
      <c r="J253" s="12">
        <f t="shared" si="78"/>
        <v>0.74</v>
      </c>
      <c r="K253" s="12">
        <f t="shared" si="79"/>
        <v>0.65999999999999992</v>
      </c>
      <c r="L253" s="78"/>
      <c r="M253" s="78"/>
      <c r="N253" s="78"/>
      <c r="O253" s="36"/>
      <c r="P253" s="24" t="str">
        <f t="shared" si="69"/>
        <v xml:space="preserve"> </v>
      </c>
      <c r="Q253" s="25" t="str">
        <f t="shared" si="70"/>
        <v xml:space="preserve"> </v>
      </c>
      <c r="R253" s="25" t="str">
        <f t="shared" si="71"/>
        <v xml:space="preserve"> </v>
      </c>
      <c r="S253" s="26" t="str">
        <f t="shared" si="72"/>
        <v xml:space="preserve"> </v>
      </c>
      <c r="T253" s="7" t="str">
        <f t="shared" si="73"/>
        <v xml:space="preserve"> </v>
      </c>
      <c r="U253" s="8" t="str">
        <f t="shared" si="74"/>
        <v xml:space="preserve"> </v>
      </c>
      <c r="V253" s="9" t="str">
        <f t="shared" si="66"/>
        <v xml:space="preserve"> </v>
      </c>
      <c r="W253" s="9" t="str">
        <f t="shared" si="75"/>
        <v/>
      </c>
      <c r="X253" s="32"/>
      <c r="Y253" s="36"/>
    </row>
    <row r="254" spans="1:25" s="4" customFormat="1" ht="18" customHeight="1">
      <c r="A254" s="36"/>
      <c r="B254" s="69">
        <v>117.85000000000038</v>
      </c>
      <c r="C254" s="69" t="s">
        <v>546</v>
      </c>
      <c r="D254" s="31" t="s">
        <v>708</v>
      </c>
      <c r="E254" s="29" t="s">
        <v>34</v>
      </c>
      <c r="F254" s="28">
        <v>0.7</v>
      </c>
      <c r="G254" s="29">
        <v>0.04</v>
      </c>
      <c r="H254" s="29">
        <v>-0.04</v>
      </c>
      <c r="I254" s="30" t="s">
        <v>39</v>
      </c>
      <c r="J254" s="12">
        <f t="shared" si="78"/>
        <v>0.74</v>
      </c>
      <c r="K254" s="12">
        <f t="shared" si="79"/>
        <v>0.65999999999999992</v>
      </c>
      <c r="L254" s="78"/>
      <c r="M254" s="78"/>
      <c r="N254" s="78"/>
      <c r="O254" s="36"/>
      <c r="P254" s="24" t="str">
        <f t="shared" si="69"/>
        <v xml:space="preserve"> </v>
      </c>
      <c r="Q254" s="25" t="str">
        <f t="shared" si="70"/>
        <v xml:space="preserve"> </v>
      </c>
      <c r="R254" s="25" t="str">
        <f t="shared" si="71"/>
        <v xml:space="preserve"> </v>
      </c>
      <c r="S254" s="26" t="str">
        <f t="shared" si="72"/>
        <v xml:space="preserve"> </v>
      </c>
      <c r="T254" s="7" t="str">
        <f t="shared" si="73"/>
        <v xml:space="preserve"> </v>
      </c>
      <c r="U254" s="8" t="str">
        <f t="shared" si="74"/>
        <v xml:space="preserve"> </v>
      </c>
      <c r="V254" s="9" t="str">
        <f t="shared" si="66"/>
        <v xml:space="preserve"> </v>
      </c>
      <c r="W254" s="9" t="str">
        <f t="shared" si="75"/>
        <v/>
      </c>
      <c r="X254" s="32"/>
      <c r="Y254" s="36"/>
    </row>
    <row r="255" spans="1:25" s="4" customFormat="1" ht="18" customHeight="1">
      <c r="A255" s="36"/>
      <c r="B255" s="69">
        <v>117.86000000000038</v>
      </c>
      <c r="C255" s="69" t="s">
        <v>547</v>
      </c>
      <c r="D255" s="31" t="s">
        <v>708</v>
      </c>
      <c r="E255" s="29" t="s">
        <v>34</v>
      </c>
      <c r="F255" s="28">
        <v>0.7</v>
      </c>
      <c r="G255" s="29">
        <v>0.04</v>
      </c>
      <c r="H255" s="29">
        <v>-0.04</v>
      </c>
      <c r="I255" s="30" t="s">
        <v>39</v>
      </c>
      <c r="J255" s="12">
        <f t="shared" si="78"/>
        <v>0.74</v>
      </c>
      <c r="K255" s="12">
        <f t="shared" si="79"/>
        <v>0.65999999999999992</v>
      </c>
      <c r="L255" s="78"/>
      <c r="M255" s="78"/>
      <c r="N255" s="78"/>
      <c r="O255" s="36"/>
      <c r="P255" s="24" t="str">
        <f t="shared" si="69"/>
        <v xml:space="preserve"> </v>
      </c>
      <c r="Q255" s="25" t="str">
        <f t="shared" si="70"/>
        <v xml:space="preserve"> </v>
      </c>
      <c r="R255" s="25" t="str">
        <f t="shared" si="71"/>
        <v xml:space="preserve"> </v>
      </c>
      <c r="S255" s="26" t="str">
        <f t="shared" si="72"/>
        <v xml:space="preserve"> </v>
      </c>
      <c r="T255" s="7" t="str">
        <f t="shared" si="73"/>
        <v xml:space="preserve"> </v>
      </c>
      <c r="U255" s="8" t="str">
        <f t="shared" si="74"/>
        <v xml:space="preserve"> </v>
      </c>
      <c r="V255" s="9" t="str">
        <f t="shared" si="66"/>
        <v xml:space="preserve"> </v>
      </c>
      <c r="W255" s="9" t="str">
        <f t="shared" si="75"/>
        <v/>
      </c>
      <c r="X255" s="32"/>
      <c r="Y255" s="36"/>
    </row>
    <row r="256" spans="1:25" s="4" customFormat="1" ht="18" customHeight="1">
      <c r="A256" s="36"/>
      <c r="B256" s="69">
        <v>117.87000000000039</v>
      </c>
      <c r="C256" s="69" t="s">
        <v>548</v>
      </c>
      <c r="D256" s="31" t="s">
        <v>708</v>
      </c>
      <c r="E256" s="29" t="s">
        <v>34</v>
      </c>
      <c r="F256" s="28">
        <v>0.7</v>
      </c>
      <c r="G256" s="29">
        <v>0.04</v>
      </c>
      <c r="H256" s="29">
        <v>-0.04</v>
      </c>
      <c r="I256" s="30" t="s">
        <v>39</v>
      </c>
      <c r="J256" s="12">
        <f t="shared" si="78"/>
        <v>0.74</v>
      </c>
      <c r="K256" s="12">
        <f t="shared" si="79"/>
        <v>0.65999999999999992</v>
      </c>
      <c r="L256" s="78"/>
      <c r="M256" s="78"/>
      <c r="N256" s="78"/>
      <c r="O256" s="36"/>
      <c r="P256" s="24" t="str">
        <f t="shared" si="69"/>
        <v xml:space="preserve"> </v>
      </c>
      <c r="Q256" s="25" t="str">
        <f t="shared" si="70"/>
        <v xml:space="preserve"> </v>
      </c>
      <c r="R256" s="25" t="str">
        <f t="shared" si="71"/>
        <v xml:space="preserve"> </v>
      </c>
      <c r="S256" s="26" t="str">
        <f t="shared" si="72"/>
        <v xml:space="preserve"> </v>
      </c>
      <c r="T256" s="7" t="str">
        <f t="shared" si="73"/>
        <v xml:space="preserve"> </v>
      </c>
      <c r="U256" s="8" t="str">
        <f t="shared" si="74"/>
        <v xml:space="preserve"> </v>
      </c>
      <c r="V256" s="9" t="str">
        <f t="shared" si="66"/>
        <v xml:space="preserve"> </v>
      </c>
      <c r="W256" s="9" t="str">
        <f t="shared" si="75"/>
        <v/>
      </c>
      <c r="X256" s="32"/>
      <c r="Y256" s="36"/>
    </row>
    <row r="257" spans="1:25" s="4" customFormat="1" ht="18" customHeight="1">
      <c r="A257" s="36"/>
      <c r="B257" s="69">
        <v>117.88000000000039</v>
      </c>
      <c r="C257" s="69" t="s">
        <v>549</v>
      </c>
      <c r="D257" s="31" t="s">
        <v>708</v>
      </c>
      <c r="E257" s="29" t="s">
        <v>34</v>
      </c>
      <c r="F257" s="28">
        <v>0.7</v>
      </c>
      <c r="G257" s="29">
        <v>0.04</v>
      </c>
      <c r="H257" s="29">
        <v>-0.04</v>
      </c>
      <c r="I257" s="30" t="s">
        <v>39</v>
      </c>
      <c r="J257" s="12">
        <f t="shared" si="78"/>
        <v>0.74</v>
      </c>
      <c r="K257" s="12">
        <f t="shared" si="79"/>
        <v>0.65999999999999992</v>
      </c>
      <c r="L257" s="78"/>
      <c r="M257" s="78"/>
      <c r="N257" s="78"/>
      <c r="O257" s="36"/>
      <c r="P257" s="24" t="str">
        <f t="shared" si="69"/>
        <v xml:space="preserve"> </v>
      </c>
      <c r="Q257" s="25" t="str">
        <f t="shared" si="70"/>
        <v xml:space="preserve"> </v>
      </c>
      <c r="R257" s="25" t="str">
        <f t="shared" si="71"/>
        <v xml:space="preserve"> </v>
      </c>
      <c r="S257" s="26" t="str">
        <f t="shared" si="72"/>
        <v xml:space="preserve"> </v>
      </c>
      <c r="T257" s="7" t="str">
        <f t="shared" si="73"/>
        <v xml:space="preserve"> </v>
      </c>
      <c r="U257" s="8" t="str">
        <f t="shared" si="74"/>
        <v xml:space="preserve"> </v>
      </c>
      <c r="V257" s="9" t="str">
        <f t="shared" si="66"/>
        <v xml:space="preserve"> </v>
      </c>
      <c r="W257" s="9" t="str">
        <f t="shared" si="75"/>
        <v/>
      </c>
      <c r="X257" s="32"/>
      <c r="Y257" s="36"/>
    </row>
    <row r="258" spans="1:25" s="4" customFormat="1" ht="18" customHeight="1">
      <c r="A258" s="36"/>
      <c r="B258" s="69">
        <v>117.8900000000004</v>
      </c>
      <c r="C258" s="69" t="s">
        <v>550</v>
      </c>
      <c r="D258" s="31" t="s">
        <v>708</v>
      </c>
      <c r="E258" s="29" t="s">
        <v>34</v>
      </c>
      <c r="F258" s="28">
        <v>0.7</v>
      </c>
      <c r="G258" s="29">
        <v>0.04</v>
      </c>
      <c r="H258" s="29">
        <v>-0.04</v>
      </c>
      <c r="I258" s="30" t="s">
        <v>39</v>
      </c>
      <c r="J258" s="12">
        <f t="shared" si="78"/>
        <v>0.74</v>
      </c>
      <c r="K258" s="12">
        <f t="shared" si="79"/>
        <v>0.65999999999999992</v>
      </c>
      <c r="L258" s="78"/>
      <c r="M258" s="78"/>
      <c r="N258" s="78"/>
      <c r="O258" s="36"/>
      <c r="P258" s="24" t="str">
        <f t="shared" si="69"/>
        <v xml:space="preserve"> </v>
      </c>
      <c r="Q258" s="25" t="str">
        <f t="shared" si="70"/>
        <v xml:space="preserve"> </v>
      </c>
      <c r="R258" s="25" t="str">
        <f t="shared" si="71"/>
        <v xml:space="preserve"> </v>
      </c>
      <c r="S258" s="26" t="str">
        <f t="shared" si="72"/>
        <v xml:space="preserve"> </v>
      </c>
      <c r="T258" s="7" t="str">
        <f t="shared" si="73"/>
        <v xml:space="preserve"> </v>
      </c>
      <c r="U258" s="8" t="str">
        <f t="shared" si="74"/>
        <v xml:space="preserve"> </v>
      </c>
      <c r="V258" s="9" t="str">
        <f t="shared" si="66"/>
        <v xml:space="preserve"> </v>
      </c>
      <c r="W258" s="9" t="str">
        <f t="shared" si="75"/>
        <v/>
      </c>
      <c r="X258" s="32"/>
      <c r="Y258" s="36"/>
    </row>
    <row r="259" spans="1:25" s="4" customFormat="1" ht="18" customHeight="1">
      <c r="A259" s="36"/>
      <c r="B259" s="69" t="s">
        <v>882</v>
      </c>
      <c r="C259" s="69" t="s">
        <v>551</v>
      </c>
      <c r="D259" s="31" t="s">
        <v>708</v>
      </c>
      <c r="E259" s="29" t="s">
        <v>34</v>
      </c>
      <c r="F259" s="28">
        <v>0.7</v>
      </c>
      <c r="G259" s="29">
        <v>0.04</v>
      </c>
      <c r="H259" s="29">
        <v>-0.04</v>
      </c>
      <c r="I259" s="30" t="s">
        <v>39</v>
      </c>
      <c r="J259" s="12">
        <f t="shared" si="78"/>
        <v>0.74</v>
      </c>
      <c r="K259" s="12">
        <f t="shared" si="79"/>
        <v>0.65999999999999992</v>
      </c>
      <c r="L259" s="78"/>
      <c r="M259" s="78"/>
      <c r="N259" s="78"/>
      <c r="O259" s="36"/>
      <c r="P259" s="24" t="str">
        <f t="shared" si="69"/>
        <v xml:space="preserve"> </v>
      </c>
      <c r="Q259" s="25" t="str">
        <f t="shared" si="70"/>
        <v xml:space="preserve"> </v>
      </c>
      <c r="R259" s="25" t="str">
        <f t="shared" si="71"/>
        <v xml:space="preserve"> </v>
      </c>
      <c r="S259" s="26" t="str">
        <f t="shared" si="72"/>
        <v xml:space="preserve"> </v>
      </c>
      <c r="T259" s="7" t="str">
        <f t="shared" si="73"/>
        <v xml:space="preserve"> </v>
      </c>
      <c r="U259" s="8" t="str">
        <f t="shared" si="74"/>
        <v xml:space="preserve"> </v>
      </c>
      <c r="V259" s="9" t="str">
        <f t="shared" si="66"/>
        <v xml:space="preserve"> </v>
      </c>
      <c r="W259" s="9" t="str">
        <f t="shared" si="75"/>
        <v/>
      </c>
      <c r="X259" s="32"/>
      <c r="Y259" s="36"/>
    </row>
    <row r="260" spans="1:25" s="4" customFormat="1" ht="18" customHeight="1">
      <c r="A260" s="36"/>
      <c r="B260" s="69">
        <v>117.91000000000041</v>
      </c>
      <c r="C260" s="69" t="s">
        <v>552</v>
      </c>
      <c r="D260" s="31" t="s">
        <v>708</v>
      </c>
      <c r="E260" s="29" t="s">
        <v>34</v>
      </c>
      <c r="F260" s="28">
        <v>0.7</v>
      </c>
      <c r="G260" s="29">
        <v>0.04</v>
      </c>
      <c r="H260" s="29">
        <v>-0.04</v>
      </c>
      <c r="I260" s="30" t="s">
        <v>39</v>
      </c>
      <c r="J260" s="12">
        <f t="shared" si="78"/>
        <v>0.74</v>
      </c>
      <c r="K260" s="12">
        <f t="shared" si="79"/>
        <v>0.65999999999999992</v>
      </c>
      <c r="L260" s="78"/>
      <c r="M260" s="78"/>
      <c r="N260" s="78"/>
      <c r="O260" s="36"/>
      <c r="P260" s="24" t="str">
        <f t="shared" si="69"/>
        <v xml:space="preserve"> </v>
      </c>
      <c r="Q260" s="25" t="str">
        <f t="shared" si="70"/>
        <v xml:space="preserve"> </v>
      </c>
      <c r="R260" s="25" t="str">
        <f t="shared" si="71"/>
        <v xml:space="preserve"> </v>
      </c>
      <c r="S260" s="26" t="str">
        <f t="shared" si="72"/>
        <v xml:space="preserve"> </v>
      </c>
      <c r="T260" s="7" t="str">
        <f t="shared" si="73"/>
        <v xml:space="preserve"> </v>
      </c>
      <c r="U260" s="8" t="str">
        <f t="shared" si="74"/>
        <v xml:space="preserve"> </v>
      </c>
      <c r="V260" s="9" t="str">
        <f t="shared" si="66"/>
        <v xml:space="preserve"> </v>
      </c>
      <c r="W260" s="9" t="str">
        <f t="shared" si="75"/>
        <v/>
      </c>
      <c r="X260" s="32"/>
      <c r="Y260" s="36"/>
    </row>
    <row r="261" spans="1:25" s="4" customFormat="1" ht="18" customHeight="1">
      <c r="A261" s="36"/>
      <c r="B261" s="69">
        <v>117.92000000000041</v>
      </c>
      <c r="C261" s="69" t="s">
        <v>553</v>
      </c>
      <c r="D261" s="31" t="s">
        <v>708</v>
      </c>
      <c r="E261" s="29" t="s">
        <v>34</v>
      </c>
      <c r="F261" s="28">
        <v>0.7</v>
      </c>
      <c r="G261" s="29">
        <v>0.04</v>
      </c>
      <c r="H261" s="29">
        <v>-0.04</v>
      </c>
      <c r="I261" s="30" t="s">
        <v>39</v>
      </c>
      <c r="J261" s="12">
        <f t="shared" si="78"/>
        <v>0.74</v>
      </c>
      <c r="K261" s="12">
        <f t="shared" si="79"/>
        <v>0.65999999999999992</v>
      </c>
      <c r="L261" s="78"/>
      <c r="M261" s="78"/>
      <c r="N261" s="78"/>
      <c r="O261" s="36"/>
      <c r="P261" s="24" t="str">
        <f t="shared" si="69"/>
        <v xml:space="preserve"> </v>
      </c>
      <c r="Q261" s="25" t="str">
        <f t="shared" si="70"/>
        <v xml:space="preserve"> </v>
      </c>
      <c r="R261" s="25" t="str">
        <f t="shared" si="71"/>
        <v xml:space="preserve"> </v>
      </c>
      <c r="S261" s="26" t="str">
        <f t="shared" si="72"/>
        <v xml:space="preserve"> </v>
      </c>
      <c r="T261" s="7" t="str">
        <f t="shared" si="73"/>
        <v xml:space="preserve"> </v>
      </c>
      <c r="U261" s="8" t="str">
        <f t="shared" si="74"/>
        <v xml:space="preserve"> </v>
      </c>
      <c r="V261" s="9" t="str">
        <f t="shared" si="66"/>
        <v xml:space="preserve"> </v>
      </c>
      <c r="W261" s="9" t="str">
        <f t="shared" si="75"/>
        <v/>
      </c>
      <c r="X261" s="32"/>
      <c r="Y261" s="36"/>
    </row>
    <row r="262" spans="1:25" s="4" customFormat="1" ht="18" customHeight="1">
      <c r="A262" s="36"/>
      <c r="B262" s="69">
        <v>117.93000000000042</v>
      </c>
      <c r="C262" s="69" t="s">
        <v>554</v>
      </c>
      <c r="D262" s="31" t="s">
        <v>708</v>
      </c>
      <c r="E262" s="29" t="s">
        <v>34</v>
      </c>
      <c r="F262" s="28">
        <v>0.7</v>
      </c>
      <c r="G262" s="29">
        <v>0.04</v>
      </c>
      <c r="H262" s="29">
        <v>-0.04</v>
      </c>
      <c r="I262" s="30" t="s">
        <v>39</v>
      </c>
      <c r="J262" s="12">
        <f t="shared" si="78"/>
        <v>0.74</v>
      </c>
      <c r="K262" s="12">
        <f t="shared" si="79"/>
        <v>0.65999999999999992</v>
      </c>
      <c r="L262" s="78"/>
      <c r="M262" s="78"/>
      <c r="N262" s="78"/>
      <c r="O262" s="36"/>
      <c r="P262" s="24" t="str">
        <f t="shared" si="69"/>
        <v xml:space="preserve"> </v>
      </c>
      <c r="Q262" s="25" t="str">
        <f t="shared" si="70"/>
        <v xml:space="preserve"> </v>
      </c>
      <c r="R262" s="25" t="str">
        <f t="shared" si="71"/>
        <v xml:space="preserve"> </v>
      </c>
      <c r="S262" s="26" t="str">
        <f t="shared" si="72"/>
        <v xml:space="preserve"> </v>
      </c>
      <c r="T262" s="7" t="str">
        <f t="shared" si="73"/>
        <v xml:space="preserve"> </v>
      </c>
      <c r="U262" s="8" t="str">
        <f t="shared" si="74"/>
        <v xml:space="preserve"> </v>
      </c>
      <c r="V262" s="9" t="str">
        <f t="shared" si="66"/>
        <v xml:space="preserve"> </v>
      </c>
      <c r="W262" s="9" t="str">
        <f t="shared" si="75"/>
        <v/>
      </c>
      <c r="X262" s="32"/>
      <c r="Y262" s="36"/>
    </row>
    <row r="263" spans="1:25" s="4" customFormat="1" ht="18" customHeight="1">
      <c r="A263" s="36"/>
      <c r="B263" s="69">
        <v>117.94000000000042</v>
      </c>
      <c r="C263" s="69" t="s">
        <v>555</v>
      </c>
      <c r="D263" s="31" t="s">
        <v>708</v>
      </c>
      <c r="E263" s="29" t="s">
        <v>34</v>
      </c>
      <c r="F263" s="28">
        <v>0.7</v>
      </c>
      <c r="G263" s="29">
        <v>0.04</v>
      </c>
      <c r="H263" s="29">
        <v>-0.04</v>
      </c>
      <c r="I263" s="30" t="s">
        <v>39</v>
      </c>
      <c r="J263" s="12">
        <f t="shared" si="78"/>
        <v>0.74</v>
      </c>
      <c r="K263" s="12">
        <f t="shared" si="79"/>
        <v>0.65999999999999992</v>
      </c>
      <c r="L263" s="78"/>
      <c r="M263" s="78"/>
      <c r="N263" s="78"/>
      <c r="O263" s="36"/>
      <c r="P263" s="24" t="str">
        <f t="shared" si="69"/>
        <v xml:space="preserve"> </v>
      </c>
      <c r="Q263" s="25" t="str">
        <f t="shared" si="70"/>
        <v xml:space="preserve"> </v>
      </c>
      <c r="R263" s="25" t="str">
        <f t="shared" si="71"/>
        <v xml:space="preserve"> </v>
      </c>
      <c r="S263" s="26" t="str">
        <f t="shared" si="72"/>
        <v xml:space="preserve"> </v>
      </c>
      <c r="T263" s="7" t="str">
        <f t="shared" si="73"/>
        <v xml:space="preserve"> </v>
      </c>
      <c r="U263" s="8" t="str">
        <f t="shared" si="74"/>
        <v xml:space="preserve"> </v>
      </c>
      <c r="V263" s="9" t="str">
        <f t="shared" si="66"/>
        <v xml:space="preserve"> </v>
      </c>
      <c r="W263" s="9" t="str">
        <f t="shared" si="75"/>
        <v/>
      </c>
      <c r="X263" s="32"/>
      <c r="Y263" s="36"/>
    </row>
    <row r="264" spans="1:25" s="4" customFormat="1" ht="18" customHeight="1">
      <c r="A264" s="36"/>
      <c r="B264" s="69">
        <v>117.95000000000043</v>
      </c>
      <c r="C264" s="69" t="s">
        <v>556</v>
      </c>
      <c r="D264" s="31" t="s">
        <v>708</v>
      </c>
      <c r="E264" s="29" t="s">
        <v>34</v>
      </c>
      <c r="F264" s="28">
        <v>0.7</v>
      </c>
      <c r="G264" s="29">
        <v>0.04</v>
      </c>
      <c r="H264" s="29">
        <v>-0.04</v>
      </c>
      <c r="I264" s="30" t="s">
        <v>39</v>
      </c>
      <c r="J264" s="12">
        <f t="shared" si="78"/>
        <v>0.74</v>
      </c>
      <c r="K264" s="12">
        <f t="shared" si="79"/>
        <v>0.65999999999999992</v>
      </c>
      <c r="L264" s="78"/>
      <c r="M264" s="78"/>
      <c r="N264" s="78"/>
      <c r="O264" s="36"/>
      <c r="P264" s="24" t="str">
        <f t="shared" si="69"/>
        <v xml:space="preserve"> </v>
      </c>
      <c r="Q264" s="25" t="str">
        <f t="shared" si="70"/>
        <v xml:space="preserve"> </v>
      </c>
      <c r="R264" s="25" t="str">
        <f t="shared" si="71"/>
        <v xml:space="preserve"> </v>
      </c>
      <c r="S264" s="26" t="str">
        <f t="shared" si="72"/>
        <v xml:space="preserve"> </v>
      </c>
      <c r="T264" s="7" t="str">
        <f t="shared" si="73"/>
        <v xml:space="preserve"> </v>
      </c>
      <c r="U264" s="8" t="str">
        <f t="shared" si="74"/>
        <v xml:space="preserve"> </v>
      </c>
      <c r="V264" s="9" t="str">
        <f t="shared" si="66"/>
        <v xml:space="preserve"> </v>
      </c>
      <c r="W264" s="9" t="str">
        <f t="shared" si="75"/>
        <v/>
      </c>
      <c r="X264" s="32"/>
      <c r="Y264" s="36"/>
    </row>
    <row r="265" spans="1:25" s="4" customFormat="1" ht="18" customHeight="1">
      <c r="A265" s="36"/>
      <c r="B265" s="69">
        <v>117.96000000000043</v>
      </c>
      <c r="C265" s="69" t="s">
        <v>557</v>
      </c>
      <c r="D265" s="31" t="s">
        <v>708</v>
      </c>
      <c r="E265" s="29" t="s">
        <v>34</v>
      </c>
      <c r="F265" s="28">
        <v>0.7</v>
      </c>
      <c r="G265" s="29">
        <v>0.04</v>
      </c>
      <c r="H265" s="29">
        <v>-0.04</v>
      </c>
      <c r="I265" s="30" t="s">
        <v>39</v>
      </c>
      <c r="J265" s="12">
        <f t="shared" si="78"/>
        <v>0.74</v>
      </c>
      <c r="K265" s="12">
        <f t="shared" si="79"/>
        <v>0.65999999999999992</v>
      </c>
      <c r="L265" s="78"/>
      <c r="M265" s="78"/>
      <c r="N265" s="78"/>
      <c r="O265" s="36"/>
      <c r="P265" s="24" t="str">
        <f t="shared" si="69"/>
        <v xml:space="preserve"> </v>
      </c>
      <c r="Q265" s="25" t="str">
        <f t="shared" si="70"/>
        <v xml:space="preserve"> </v>
      </c>
      <c r="R265" s="25" t="str">
        <f t="shared" si="71"/>
        <v xml:space="preserve"> </v>
      </c>
      <c r="S265" s="26" t="str">
        <f t="shared" si="72"/>
        <v xml:space="preserve"> </v>
      </c>
      <c r="T265" s="7" t="str">
        <f t="shared" si="73"/>
        <v xml:space="preserve"> </v>
      </c>
      <c r="U265" s="8" t="str">
        <f t="shared" si="74"/>
        <v xml:space="preserve"> </v>
      </c>
      <c r="V265" s="9" t="str">
        <f t="shared" si="66"/>
        <v xml:space="preserve"> </v>
      </c>
      <c r="W265" s="9" t="str">
        <f t="shared" si="75"/>
        <v/>
      </c>
      <c r="X265" s="32"/>
      <c r="Y265" s="36"/>
    </row>
    <row r="266" spans="1:25" s="4" customFormat="1" ht="18" customHeight="1">
      <c r="A266" s="36"/>
      <c r="B266" s="69">
        <v>117.97000000000044</v>
      </c>
      <c r="C266" s="69" t="s">
        <v>558</v>
      </c>
      <c r="D266" s="31" t="s">
        <v>708</v>
      </c>
      <c r="E266" s="29" t="s">
        <v>34</v>
      </c>
      <c r="F266" s="28">
        <v>0.7</v>
      </c>
      <c r="G266" s="29">
        <v>0.04</v>
      </c>
      <c r="H266" s="29">
        <v>-0.04</v>
      </c>
      <c r="I266" s="30" t="s">
        <v>39</v>
      </c>
      <c r="J266" s="12">
        <f t="shared" si="78"/>
        <v>0.74</v>
      </c>
      <c r="K266" s="12">
        <f t="shared" si="79"/>
        <v>0.65999999999999992</v>
      </c>
      <c r="L266" s="78"/>
      <c r="M266" s="78"/>
      <c r="N266" s="78"/>
      <c r="O266" s="36"/>
      <c r="P266" s="24" t="str">
        <f t="shared" si="69"/>
        <v xml:space="preserve"> </v>
      </c>
      <c r="Q266" s="25" t="str">
        <f t="shared" si="70"/>
        <v xml:space="preserve"> </v>
      </c>
      <c r="R266" s="25" t="str">
        <f t="shared" si="71"/>
        <v xml:space="preserve"> </v>
      </c>
      <c r="S266" s="26" t="str">
        <f t="shared" si="72"/>
        <v xml:space="preserve"> </v>
      </c>
      <c r="T266" s="7" t="str">
        <f t="shared" si="73"/>
        <v xml:space="preserve"> </v>
      </c>
      <c r="U266" s="8" t="str">
        <f t="shared" si="74"/>
        <v xml:space="preserve"> </v>
      </c>
      <c r="V266" s="9" t="str">
        <f t="shared" si="66"/>
        <v xml:space="preserve"> </v>
      </c>
      <c r="W266" s="9" t="str">
        <f t="shared" si="75"/>
        <v/>
      </c>
      <c r="X266" s="32"/>
      <c r="Y266" s="36"/>
    </row>
    <row r="267" spans="1:25" s="4" customFormat="1" ht="18" customHeight="1">
      <c r="A267" s="36"/>
      <c r="B267" s="69">
        <v>117.98000000000044</v>
      </c>
      <c r="C267" s="69" t="s">
        <v>559</v>
      </c>
      <c r="D267" s="31" t="s">
        <v>708</v>
      </c>
      <c r="E267" s="29" t="s">
        <v>34</v>
      </c>
      <c r="F267" s="28">
        <v>0.7</v>
      </c>
      <c r="G267" s="29">
        <v>0.04</v>
      </c>
      <c r="H267" s="29">
        <v>-0.04</v>
      </c>
      <c r="I267" s="30" t="s">
        <v>39</v>
      </c>
      <c r="J267" s="12">
        <f t="shared" si="78"/>
        <v>0.74</v>
      </c>
      <c r="K267" s="12">
        <f t="shared" si="79"/>
        <v>0.65999999999999992</v>
      </c>
      <c r="L267" s="78"/>
      <c r="M267" s="78"/>
      <c r="N267" s="78"/>
      <c r="O267" s="36"/>
      <c r="P267" s="24" t="str">
        <f t="shared" si="69"/>
        <v xml:space="preserve"> </v>
      </c>
      <c r="Q267" s="25" t="str">
        <f t="shared" si="70"/>
        <v xml:space="preserve"> </v>
      </c>
      <c r="R267" s="25" t="str">
        <f t="shared" si="71"/>
        <v xml:space="preserve"> </v>
      </c>
      <c r="S267" s="26" t="str">
        <f t="shared" si="72"/>
        <v xml:space="preserve"> </v>
      </c>
      <c r="T267" s="7" t="str">
        <f t="shared" si="73"/>
        <v xml:space="preserve"> </v>
      </c>
      <c r="U267" s="8" t="str">
        <f t="shared" si="74"/>
        <v xml:space="preserve"> </v>
      </c>
      <c r="V267" s="9" t="str">
        <f t="shared" si="66"/>
        <v xml:space="preserve"> </v>
      </c>
      <c r="W267" s="9" t="str">
        <f t="shared" si="75"/>
        <v/>
      </c>
      <c r="X267" s="32"/>
      <c r="Y267" s="36"/>
    </row>
    <row r="268" spans="1:25" s="4" customFormat="1" ht="18" customHeight="1">
      <c r="A268" s="36"/>
      <c r="B268" s="69">
        <v>117.99000000000045</v>
      </c>
      <c r="C268" s="69" t="s">
        <v>560</v>
      </c>
      <c r="D268" s="31" t="s">
        <v>708</v>
      </c>
      <c r="E268" s="29" t="s">
        <v>34</v>
      </c>
      <c r="F268" s="28">
        <v>0.7</v>
      </c>
      <c r="G268" s="29">
        <v>0.04</v>
      </c>
      <c r="H268" s="29">
        <v>-0.04</v>
      </c>
      <c r="I268" s="30" t="s">
        <v>39</v>
      </c>
      <c r="J268" s="12">
        <f t="shared" si="78"/>
        <v>0.74</v>
      </c>
      <c r="K268" s="12">
        <f t="shared" si="79"/>
        <v>0.65999999999999992</v>
      </c>
      <c r="L268" s="78"/>
      <c r="M268" s="78"/>
      <c r="N268" s="78"/>
      <c r="O268" s="36"/>
      <c r="P268" s="24" t="str">
        <f t="shared" si="69"/>
        <v xml:space="preserve"> </v>
      </c>
      <c r="Q268" s="25" t="str">
        <f t="shared" si="70"/>
        <v xml:space="preserve"> </v>
      </c>
      <c r="R268" s="25" t="str">
        <f t="shared" si="71"/>
        <v xml:space="preserve"> </v>
      </c>
      <c r="S268" s="26" t="str">
        <f t="shared" si="72"/>
        <v xml:space="preserve"> </v>
      </c>
      <c r="T268" s="7" t="str">
        <f t="shared" si="73"/>
        <v xml:space="preserve"> </v>
      </c>
      <c r="U268" s="8" t="str">
        <f t="shared" si="74"/>
        <v xml:space="preserve"> </v>
      </c>
      <c r="V268" s="9" t="str">
        <f t="shared" si="66"/>
        <v xml:space="preserve"> </v>
      </c>
      <c r="W268" s="9" t="str">
        <f t="shared" si="75"/>
        <v/>
      </c>
      <c r="X268" s="32"/>
      <c r="Y268" s="36"/>
    </row>
    <row r="269" spans="1:25" s="4" customFormat="1" ht="18" customHeight="1">
      <c r="A269" s="36"/>
      <c r="B269" s="69" t="s">
        <v>884</v>
      </c>
      <c r="C269" s="69" t="s">
        <v>561</v>
      </c>
      <c r="D269" s="31" t="s">
        <v>708</v>
      </c>
      <c r="E269" s="29" t="s">
        <v>34</v>
      </c>
      <c r="F269" s="28">
        <v>0.7</v>
      </c>
      <c r="G269" s="29">
        <v>0.04</v>
      </c>
      <c r="H269" s="29">
        <v>-0.04</v>
      </c>
      <c r="I269" s="30" t="s">
        <v>39</v>
      </c>
      <c r="J269" s="12">
        <f t="shared" si="78"/>
        <v>0.74</v>
      </c>
      <c r="K269" s="12">
        <f t="shared" si="79"/>
        <v>0.65999999999999992</v>
      </c>
      <c r="L269" s="78"/>
      <c r="M269" s="78"/>
      <c r="N269" s="78"/>
      <c r="O269" s="36"/>
      <c r="P269" s="24" t="str">
        <f t="shared" si="69"/>
        <v xml:space="preserve"> </v>
      </c>
      <c r="Q269" s="25" t="str">
        <f t="shared" si="70"/>
        <v xml:space="preserve"> </v>
      </c>
      <c r="R269" s="25" t="str">
        <f t="shared" si="71"/>
        <v xml:space="preserve"> </v>
      </c>
      <c r="S269" s="26" t="str">
        <f t="shared" si="72"/>
        <v xml:space="preserve"> </v>
      </c>
      <c r="T269" s="7" t="str">
        <f t="shared" si="73"/>
        <v xml:space="preserve"> </v>
      </c>
      <c r="U269" s="8" t="str">
        <f t="shared" si="74"/>
        <v xml:space="preserve"> </v>
      </c>
      <c r="V269" s="9" t="str">
        <f t="shared" si="66"/>
        <v xml:space="preserve"> </v>
      </c>
      <c r="W269" s="9" t="str">
        <f t="shared" si="75"/>
        <v/>
      </c>
      <c r="X269" s="32"/>
      <c r="Y269" s="36"/>
    </row>
    <row r="270" spans="1:25" s="4" customFormat="1" ht="18" customHeight="1">
      <c r="A270" s="36"/>
      <c r="B270" s="69">
        <v>117.101</v>
      </c>
      <c r="C270" s="69" t="s">
        <v>562</v>
      </c>
      <c r="D270" s="31" t="s">
        <v>708</v>
      </c>
      <c r="E270" s="29" t="s">
        <v>34</v>
      </c>
      <c r="F270" s="28">
        <v>0.7</v>
      </c>
      <c r="G270" s="29">
        <v>0.04</v>
      </c>
      <c r="H270" s="29">
        <v>-0.04</v>
      </c>
      <c r="I270" s="30" t="s">
        <v>39</v>
      </c>
      <c r="J270" s="12">
        <f t="shared" si="78"/>
        <v>0.74</v>
      </c>
      <c r="K270" s="12">
        <f t="shared" si="79"/>
        <v>0.65999999999999992</v>
      </c>
      <c r="L270" s="78"/>
      <c r="M270" s="78"/>
      <c r="N270" s="78"/>
      <c r="O270" s="36"/>
      <c r="P270" s="24" t="str">
        <f t="shared" si="69"/>
        <v xml:space="preserve"> </v>
      </c>
      <c r="Q270" s="25" t="str">
        <f t="shared" si="70"/>
        <v xml:space="preserve"> </v>
      </c>
      <c r="R270" s="25" t="str">
        <f t="shared" si="71"/>
        <v xml:space="preserve"> </v>
      </c>
      <c r="S270" s="26" t="str">
        <f t="shared" si="72"/>
        <v xml:space="preserve"> </v>
      </c>
      <c r="T270" s="7" t="str">
        <f t="shared" si="73"/>
        <v xml:space="preserve"> </v>
      </c>
      <c r="U270" s="8" t="str">
        <f t="shared" si="74"/>
        <v xml:space="preserve"> </v>
      </c>
      <c r="V270" s="9" t="str">
        <f t="shared" si="66"/>
        <v xml:space="preserve"> </v>
      </c>
      <c r="W270" s="9" t="str">
        <f t="shared" si="75"/>
        <v/>
      </c>
      <c r="X270" s="32"/>
      <c r="Y270" s="36"/>
    </row>
    <row r="271" spans="1:25" s="4" customFormat="1" ht="18" customHeight="1">
      <c r="A271" s="36"/>
      <c r="B271" s="69">
        <v>117.102</v>
      </c>
      <c r="C271" s="69" t="s">
        <v>563</v>
      </c>
      <c r="D271" s="31" t="s">
        <v>708</v>
      </c>
      <c r="E271" s="29" t="s">
        <v>34</v>
      </c>
      <c r="F271" s="28">
        <v>0.7</v>
      </c>
      <c r="G271" s="29">
        <v>0.04</v>
      </c>
      <c r="H271" s="29">
        <v>-0.04</v>
      </c>
      <c r="I271" s="30" t="s">
        <v>39</v>
      </c>
      <c r="J271" s="12">
        <f t="shared" si="78"/>
        <v>0.74</v>
      </c>
      <c r="K271" s="12">
        <f t="shared" si="79"/>
        <v>0.65999999999999992</v>
      </c>
      <c r="L271" s="78"/>
      <c r="M271" s="78"/>
      <c r="N271" s="78"/>
      <c r="O271" s="36"/>
      <c r="P271" s="24" t="str">
        <f t="shared" si="69"/>
        <v xml:space="preserve"> </v>
      </c>
      <c r="Q271" s="25" t="str">
        <f t="shared" si="70"/>
        <v xml:space="preserve"> </v>
      </c>
      <c r="R271" s="25" t="str">
        <f t="shared" si="71"/>
        <v xml:space="preserve"> </v>
      </c>
      <c r="S271" s="26" t="str">
        <f t="shared" si="72"/>
        <v xml:space="preserve"> </v>
      </c>
      <c r="T271" s="7" t="str">
        <f t="shared" si="73"/>
        <v xml:space="preserve"> </v>
      </c>
      <c r="U271" s="8" t="str">
        <f t="shared" si="74"/>
        <v xml:space="preserve"> </v>
      </c>
      <c r="V271" s="9" t="str">
        <f t="shared" si="66"/>
        <v xml:space="preserve"> </v>
      </c>
      <c r="W271" s="9" t="str">
        <f t="shared" si="75"/>
        <v/>
      </c>
      <c r="X271" s="32"/>
      <c r="Y271" s="36"/>
    </row>
    <row r="272" spans="1:25" s="4" customFormat="1" ht="18" customHeight="1">
      <c r="A272" s="36"/>
      <c r="B272" s="69">
        <v>117.10299999999999</v>
      </c>
      <c r="C272" s="69" t="s">
        <v>564</v>
      </c>
      <c r="D272" s="31" t="s">
        <v>708</v>
      </c>
      <c r="E272" s="29" t="s">
        <v>34</v>
      </c>
      <c r="F272" s="28">
        <v>0.7</v>
      </c>
      <c r="G272" s="29">
        <v>0.04</v>
      </c>
      <c r="H272" s="29">
        <v>-0.04</v>
      </c>
      <c r="I272" s="30" t="s">
        <v>39</v>
      </c>
      <c r="J272" s="12">
        <f t="shared" si="78"/>
        <v>0.74</v>
      </c>
      <c r="K272" s="12">
        <f t="shared" si="79"/>
        <v>0.65999999999999992</v>
      </c>
      <c r="L272" s="78"/>
      <c r="M272" s="78"/>
      <c r="N272" s="78"/>
      <c r="O272" s="36"/>
      <c r="P272" s="24" t="str">
        <f t="shared" si="69"/>
        <v xml:space="preserve"> </v>
      </c>
      <c r="Q272" s="25" t="str">
        <f t="shared" si="70"/>
        <v xml:space="preserve"> </v>
      </c>
      <c r="R272" s="25" t="str">
        <f t="shared" si="71"/>
        <v xml:space="preserve"> </v>
      </c>
      <c r="S272" s="26" t="str">
        <f t="shared" si="72"/>
        <v xml:space="preserve"> </v>
      </c>
      <c r="T272" s="7" t="str">
        <f t="shared" si="73"/>
        <v xml:space="preserve"> </v>
      </c>
      <c r="U272" s="8" t="str">
        <f t="shared" si="74"/>
        <v xml:space="preserve"> </v>
      </c>
      <c r="V272" s="9" t="str">
        <f t="shared" si="66"/>
        <v xml:space="preserve"> </v>
      </c>
      <c r="W272" s="9" t="str">
        <f t="shared" si="75"/>
        <v/>
      </c>
      <c r="X272" s="32"/>
      <c r="Y272" s="36"/>
    </row>
    <row r="273" spans="1:25" s="4" customFormat="1" ht="18" customHeight="1">
      <c r="A273" s="36"/>
      <c r="B273" s="69">
        <v>117.104</v>
      </c>
      <c r="C273" s="69" t="s">
        <v>565</v>
      </c>
      <c r="D273" s="31" t="s">
        <v>708</v>
      </c>
      <c r="E273" s="29" t="s">
        <v>34</v>
      </c>
      <c r="F273" s="28">
        <v>0.7</v>
      </c>
      <c r="G273" s="29">
        <v>0.04</v>
      </c>
      <c r="H273" s="29">
        <v>-0.04</v>
      </c>
      <c r="I273" s="30" t="s">
        <v>39</v>
      </c>
      <c r="J273" s="12">
        <f t="shared" si="78"/>
        <v>0.74</v>
      </c>
      <c r="K273" s="12">
        <f t="shared" si="79"/>
        <v>0.65999999999999992</v>
      </c>
      <c r="L273" s="78"/>
      <c r="M273" s="78"/>
      <c r="N273" s="78"/>
      <c r="O273" s="36"/>
      <c r="P273" s="24" t="str">
        <f t="shared" si="69"/>
        <v xml:space="preserve"> </v>
      </c>
      <c r="Q273" s="25" t="str">
        <f t="shared" si="70"/>
        <v xml:space="preserve"> </v>
      </c>
      <c r="R273" s="25" t="str">
        <f t="shared" si="71"/>
        <v xml:space="preserve"> </v>
      </c>
      <c r="S273" s="26" t="str">
        <f t="shared" si="72"/>
        <v xml:space="preserve"> </v>
      </c>
      <c r="T273" s="7" t="str">
        <f t="shared" si="73"/>
        <v xml:space="preserve"> </v>
      </c>
      <c r="U273" s="8" t="str">
        <f t="shared" si="74"/>
        <v xml:space="preserve"> </v>
      </c>
      <c r="V273" s="9" t="str">
        <f t="shared" si="66"/>
        <v xml:space="preserve"> </v>
      </c>
      <c r="W273" s="9" t="str">
        <f t="shared" si="75"/>
        <v/>
      </c>
      <c r="X273" s="32"/>
      <c r="Y273" s="36"/>
    </row>
    <row r="274" spans="1:25" s="4" customFormat="1" ht="18" customHeight="1">
      <c r="A274" s="36"/>
      <c r="B274" s="69">
        <v>117.105</v>
      </c>
      <c r="C274" s="69" t="s">
        <v>566</v>
      </c>
      <c r="D274" s="31" t="s">
        <v>708</v>
      </c>
      <c r="E274" s="29" t="s">
        <v>34</v>
      </c>
      <c r="F274" s="28">
        <v>0.7</v>
      </c>
      <c r="G274" s="29">
        <v>0.04</v>
      </c>
      <c r="H274" s="29">
        <v>-0.04</v>
      </c>
      <c r="I274" s="30" t="s">
        <v>39</v>
      </c>
      <c r="J274" s="12">
        <f t="shared" si="78"/>
        <v>0.74</v>
      </c>
      <c r="K274" s="12">
        <f t="shared" si="79"/>
        <v>0.65999999999999992</v>
      </c>
      <c r="L274" s="78"/>
      <c r="M274" s="78"/>
      <c r="N274" s="78"/>
      <c r="O274" s="36"/>
      <c r="P274" s="24" t="str">
        <f t="shared" si="69"/>
        <v xml:space="preserve"> </v>
      </c>
      <c r="Q274" s="25" t="str">
        <f t="shared" si="70"/>
        <v xml:space="preserve"> </v>
      </c>
      <c r="R274" s="25" t="str">
        <f t="shared" si="71"/>
        <v xml:space="preserve"> </v>
      </c>
      <c r="S274" s="26" t="str">
        <f t="shared" si="72"/>
        <v xml:space="preserve"> </v>
      </c>
      <c r="T274" s="7" t="str">
        <f t="shared" si="73"/>
        <v xml:space="preserve"> </v>
      </c>
      <c r="U274" s="8" t="str">
        <f t="shared" si="74"/>
        <v xml:space="preserve"> </v>
      </c>
      <c r="V274" s="9" t="str">
        <f t="shared" si="66"/>
        <v xml:space="preserve"> </v>
      </c>
      <c r="W274" s="9" t="str">
        <f t="shared" si="75"/>
        <v/>
      </c>
      <c r="X274" s="32"/>
      <c r="Y274" s="36"/>
    </row>
    <row r="275" spans="1:25" s="4" customFormat="1" ht="18" customHeight="1">
      <c r="A275" s="36"/>
      <c r="B275" s="69">
        <v>117.10600000000001</v>
      </c>
      <c r="C275" s="69" t="s">
        <v>567</v>
      </c>
      <c r="D275" s="31" t="s">
        <v>708</v>
      </c>
      <c r="E275" s="29" t="s">
        <v>34</v>
      </c>
      <c r="F275" s="28">
        <v>0.7</v>
      </c>
      <c r="G275" s="29">
        <v>0.04</v>
      </c>
      <c r="H275" s="29">
        <v>-0.04</v>
      </c>
      <c r="I275" s="30" t="s">
        <v>39</v>
      </c>
      <c r="J275" s="12">
        <f t="shared" si="78"/>
        <v>0.74</v>
      </c>
      <c r="K275" s="12">
        <f t="shared" si="79"/>
        <v>0.65999999999999992</v>
      </c>
      <c r="L275" s="78"/>
      <c r="M275" s="78"/>
      <c r="N275" s="78"/>
      <c r="O275" s="36"/>
      <c r="P275" s="24" t="str">
        <f t="shared" si="69"/>
        <v xml:space="preserve"> </v>
      </c>
      <c r="Q275" s="25" t="str">
        <f t="shared" si="70"/>
        <v xml:space="preserve"> </v>
      </c>
      <c r="R275" s="25" t="str">
        <f t="shared" si="71"/>
        <v xml:space="preserve"> </v>
      </c>
      <c r="S275" s="26" t="str">
        <f t="shared" si="72"/>
        <v xml:space="preserve"> </v>
      </c>
      <c r="T275" s="7" t="str">
        <f t="shared" si="73"/>
        <v xml:space="preserve"> </v>
      </c>
      <c r="U275" s="8" t="str">
        <f t="shared" si="74"/>
        <v xml:space="preserve"> </v>
      </c>
      <c r="V275" s="9" t="str">
        <f t="shared" si="66"/>
        <v xml:space="preserve"> </v>
      </c>
      <c r="W275" s="9" t="str">
        <f t="shared" si="75"/>
        <v/>
      </c>
      <c r="X275" s="32"/>
      <c r="Y275" s="36"/>
    </row>
    <row r="276" spans="1:25" s="4" customFormat="1" ht="18" customHeight="1">
      <c r="A276" s="36"/>
      <c r="B276" s="69">
        <v>117.10700000000001</v>
      </c>
      <c r="C276" s="69" t="s">
        <v>568</v>
      </c>
      <c r="D276" s="31" t="s">
        <v>708</v>
      </c>
      <c r="E276" s="29" t="s">
        <v>34</v>
      </c>
      <c r="F276" s="28">
        <v>0.7</v>
      </c>
      <c r="G276" s="29">
        <v>0.04</v>
      </c>
      <c r="H276" s="29">
        <v>-0.04</v>
      </c>
      <c r="I276" s="30" t="s">
        <v>39</v>
      </c>
      <c r="J276" s="12">
        <f t="shared" si="78"/>
        <v>0.74</v>
      </c>
      <c r="K276" s="12">
        <f t="shared" si="79"/>
        <v>0.65999999999999992</v>
      </c>
      <c r="L276" s="78"/>
      <c r="M276" s="78"/>
      <c r="N276" s="78"/>
      <c r="O276" s="36"/>
      <c r="P276" s="24" t="str">
        <f t="shared" si="69"/>
        <v xml:space="preserve"> </v>
      </c>
      <c r="Q276" s="25" t="str">
        <f t="shared" si="70"/>
        <v xml:space="preserve"> </v>
      </c>
      <c r="R276" s="25" t="str">
        <f t="shared" si="71"/>
        <v xml:space="preserve"> </v>
      </c>
      <c r="S276" s="26" t="str">
        <f t="shared" si="72"/>
        <v xml:space="preserve"> </v>
      </c>
      <c r="T276" s="7" t="str">
        <f t="shared" si="73"/>
        <v xml:space="preserve"> </v>
      </c>
      <c r="U276" s="8" t="str">
        <f t="shared" si="74"/>
        <v xml:space="preserve"> </v>
      </c>
      <c r="V276" s="9" t="str">
        <f t="shared" si="66"/>
        <v xml:space="preserve"> </v>
      </c>
      <c r="W276" s="9" t="str">
        <f t="shared" si="75"/>
        <v/>
      </c>
      <c r="X276" s="32"/>
      <c r="Y276" s="36"/>
    </row>
    <row r="277" spans="1:25" s="4" customFormat="1" ht="18" customHeight="1">
      <c r="A277" s="36"/>
      <c r="B277" s="69">
        <v>117.10800000000002</v>
      </c>
      <c r="C277" s="69" t="s">
        <v>569</v>
      </c>
      <c r="D277" s="31" t="s">
        <v>708</v>
      </c>
      <c r="E277" s="29" t="s">
        <v>34</v>
      </c>
      <c r="F277" s="28">
        <v>0.7</v>
      </c>
      <c r="G277" s="29">
        <v>0.04</v>
      </c>
      <c r="H277" s="29">
        <v>-0.04</v>
      </c>
      <c r="I277" s="30" t="s">
        <v>39</v>
      </c>
      <c r="J277" s="12">
        <f t="shared" si="78"/>
        <v>0.74</v>
      </c>
      <c r="K277" s="12">
        <f t="shared" si="79"/>
        <v>0.65999999999999992</v>
      </c>
      <c r="L277" s="78"/>
      <c r="M277" s="78"/>
      <c r="N277" s="78"/>
      <c r="O277" s="36"/>
      <c r="P277" s="24" t="str">
        <f t="shared" si="69"/>
        <v xml:space="preserve"> </v>
      </c>
      <c r="Q277" s="25" t="str">
        <f t="shared" si="70"/>
        <v xml:space="preserve"> </v>
      </c>
      <c r="R277" s="25" t="str">
        <f t="shared" si="71"/>
        <v xml:space="preserve"> </v>
      </c>
      <c r="S277" s="26" t="str">
        <f t="shared" si="72"/>
        <v xml:space="preserve"> </v>
      </c>
      <c r="T277" s="7" t="str">
        <f t="shared" si="73"/>
        <v xml:space="preserve"> </v>
      </c>
      <c r="U277" s="8" t="str">
        <f t="shared" si="74"/>
        <v xml:space="preserve"> </v>
      </c>
      <c r="V277" s="9" t="str">
        <f t="shared" si="66"/>
        <v xml:space="preserve"> </v>
      </c>
      <c r="W277" s="9" t="str">
        <f t="shared" si="75"/>
        <v/>
      </c>
      <c r="X277" s="32"/>
      <c r="Y277" s="36"/>
    </row>
    <row r="278" spans="1:25" s="4" customFormat="1" ht="18" customHeight="1">
      <c r="A278" s="36"/>
      <c r="B278" s="69">
        <v>117.10900000000002</v>
      </c>
      <c r="C278" s="69" t="s">
        <v>570</v>
      </c>
      <c r="D278" s="31" t="s">
        <v>708</v>
      </c>
      <c r="E278" s="29" t="s">
        <v>34</v>
      </c>
      <c r="F278" s="28">
        <v>0.7</v>
      </c>
      <c r="G278" s="29">
        <v>0.04</v>
      </c>
      <c r="H278" s="29">
        <v>-0.04</v>
      </c>
      <c r="I278" s="30" t="s">
        <v>39</v>
      </c>
      <c r="J278" s="12">
        <f t="shared" si="78"/>
        <v>0.74</v>
      </c>
      <c r="K278" s="12">
        <f t="shared" si="79"/>
        <v>0.65999999999999992</v>
      </c>
      <c r="L278" s="78"/>
      <c r="M278" s="78"/>
      <c r="N278" s="78"/>
      <c r="O278" s="36"/>
      <c r="P278" s="24" t="str">
        <f t="shared" si="69"/>
        <v xml:space="preserve"> </v>
      </c>
      <c r="Q278" s="25" t="str">
        <f t="shared" si="70"/>
        <v xml:space="preserve"> </v>
      </c>
      <c r="R278" s="25" t="str">
        <f t="shared" si="71"/>
        <v xml:space="preserve"> </v>
      </c>
      <c r="S278" s="26" t="str">
        <f t="shared" si="72"/>
        <v xml:space="preserve"> </v>
      </c>
      <c r="T278" s="7" t="str">
        <f t="shared" si="73"/>
        <v xml:space="preserve"> </v>
      </c>
      <c r="U278" s="8" t="str">
        <f t="shared" si="74"/>
        <v xml:space="preserve"> </v>
      </c>
      <c r="V278" s="9" t="str">
        <f t="shared" si="66"/>
        <v xml:space="preserve"> </v>
      </c>
      <c r="W278" s="9" t="str">
        <f t="shared" si="75"/>
        <v/>
      </c>
      <c r="X278" s="32"/>
      <c r="Y278" s="36"/>
    </row>
    <row r="279" spans="1:25" s="4" customFormat="1" ht="18" customHeight="1">
      <c r="A279" s="36"/>
      <c r="B279" s="69" t="s">
        <v>885</v>
      </c>
      <c r="C279" s="69" t="s">
        <v>571</v>
      </c>
      <c r="D279" s="31" t="s">
        <v>708</v>
      </c>
      <c r="E279" s="29" t="s">
        <v>34</v>
      </c>
      <c r="F279" s="28">
        <v>0.7</v>
      </c>
      <c r="G279" s="29">
        <v>0.04</v>
      </c>
      <c r="H279" s="29">
        <v>-0.04</v>
      </c>
      <c r="I279" s="30" t="s">
        <v>39</v>
      </c>
      <c r="J279" s="12">
        <f t="shared" si="78"/>
        <v>0.74</v>
      </c>
      <c r="K279" s="12">
        <f t="shared" si="79"/>
        <v>0.65999999999999992</v>
      </c>
      <c r="L279" s="78"/>
      <c r="M279" s="78"/>
      <c r="N279" s="78"/>
      <c r="O279" s="36"/>
      <c r="P279" s="24" t="str">
        <f t="shared" si="69"/>
        <v xml:space="preserve"> </v>
      </c>
      <c r="Q279" s="25" t="str">
        <f t="shared" si="70"/>
        <v xml:space="preserve"> </v>
      </c>
      <c r="R279" s="25" t="str">
        <f t="shared" si="71"/>
        <v xml:space="preserve"> </v>
      </c>
      <c r="S279" s="26" t="str">
        <f t="shared" si="72"/>
        <v xml:space="preserve"> </v>
      </c>
      <c r="T279" s="7" t="str">
        <f t="shared" si="73"/>
        <v xml:space="preserve"> </v>
      </c>
      <c r="U279" s="8" t="str">
        <f t="shared" si="74"/>
        <v xml:space="preserve"> </v>
      </c>
      <c r="V279" s="9" t="str">
        <f t="shared" si="66"/>
        <v xml:space="preserve"> </v>
      </c>
      <c r="W279" s="9" t="str">
        <f t="shared" si="75"/>
        <v/>
      </c>
      <c r="X279" s="32"/>
      <c r="Y279" s="36"/>
    </row>
    <row r="280" spans="1:25" s="4" customFormat="1" ht="18" customHeight="1">
      <c r="A280" s="36"/>
      <c r="B280" s="69">
        <v>118.01</v>
      </c>
      <c r="C280" s="69" t="s">
        <v>572</v>
      </c>
      <c r="D280" s="31" t="s">
        <v>708</v>
      </c>
      <c r="E280" s="29" t="s">
        <v>34</v>
      </c>
      <c r="F280" s="28">
        <v>0.85</v>
      </c>
      <c r="G280" s="29">
        <v>0.04</v>
      </c>
      <c r="H280" s="29">
        <v>-0.04</v>
      </c>
      <c r="I280" s="30" t="s">
        <v>39</v>
      </c>
      <c r="J280" s="12">
        <f t="shared" si="78"/>
        <v>0.89</v>
      </c>
      <c r="K280" s="12">
        <f t="shared" si="79"/>
        <v>0.80999999999999994</v>
      </c>
      <c r="L280" s="78"/>
      <c r="M280" s="78"/>
      <c r="N280" s="78"/>
      <c r="O280" s="36"/>
      <c r="P280" s="24" t="str">
        <f t="shared" si="69"/>
        <v xml:space="preserve"> </v>
      </c>
      <c r="Q280" s="25" t="str">
        <f t="shared" si="70"/>
        <v xml:space="preserve"> </v>
      </c>
      <c r="R280" s="25" t="str">
        <f t="shared" si="71"/>
        <v xml:space="preserve"> </v>
      </c>
      <c r="S280" s="26" t="str">
        <f t="shared" si="72"/>
        <v xml:space="preserve"> </v>
      </c>
      <c r="T280" s="7" t="str">
        <f t="shared" si="73"/>
        <v xml:space="preserve"> </v>
      </c>
      <c r="U280" s="8" t="str">
        <f t="shared" si="74"/>
        <v xml:space="preserve"> </v>
      </c>
      <c r="V280" s="9" t="str">
        <f t="shared" si="66"/>
        <v xml:space="preserve"> </v>
      </c>
      <c r="W280" s="9" t="str">
        <f t="shared" si="75"/>
        <v/>
      </c>
      <c r="X280" s="32"/>
      <c r="Y280" s="36"/>
    </row>
    <row r="281" spans="1:25" s="4" customFormat="1" ht="18" customHeight="1">
      <c r="A281" s="36"/>
      <c r="B281" s="69">
        <v>118.02</v>
      </c>
      <c r="C281" s="69" t="s">
        <v>573</v>
      </c>
      <c r="D281" s="31" t="s">
        <v>708</v>
      </c>
      <c r="E281" s="29" t="s">
        <v>34</v>
      </c>
      <c r="F281" s="28">
        <v>0.85</v>
      </c>
      <c r="G281" s="29">
        <v>0.04</v>
      </c>
      <c r="H281" s="29">
        <v>-0.04</v>
      </c>
      <c r="I281" s="30" t="s">
        <v>39</v>
      </c>
      <c r="J281" s="12">
        <f t="shared" si="78"/>
        <v>0.89</v>
      </c>
      <c r="K281" s="12">
        <f t="shared" si="79"/>
        <v>0.80999999999999994</v>
      </c>
      <c r="L281" s="78"/>
      <c r="M281" s="78"/>
      <c r="N281" s="78"/>
      <c r="O281" s="36"/>
      <c r="P281" s="24" t="str">
        <f t="shared" si="69"/>
        <v xml:space="preserve"> </v>
      </c>
      <c r="Q281" s="25" t="str">
        <f t="shared" si="70"/>
        <v xml:space="preserve"> </v>
      </c>
      <c r="R281" s="25" t="str">
        <f t="shared" si="71"/>
        <v xml:space="preserve"> </v>
      </c>
      <c r="S281" s="26" t="str">
        <f t="shared" si="72"/>
        <v xml:space="preserve"> </v>
      </c>
      <c r="T281" s="7" t="str">
        <f t="shared" si="73"/>
        <v xml:space="preserve"> </v>
      </c>
      <c r="U281" s="8" t="str">
        <f t="shared" si="74"/>
        <v xml:space="preserve"> </v>
      </c>
      <c r="V281" s="9" t="str">
        <f t="shared" si="66"/>
        <v xml:space="preserve"> </v>
      </c>
      <c r="W281" s="9" t="str">
        <f t="shared" si="75"/>
        <v/>
      </c>
      <c r="X281" s="32"/>
      <c r="Y281" s="36"/>
    </row>
    <row r="282" spans="1:25" s="4" customFormat="1" ht="18" customHeight="1">
      <c r="A282" s="36"/>
      <c r="B282" s="69">
        <v>118.03</v>
      </c>
      <c r="C282" s="69" t="s">
        <v>574</v>
      </c>
      <c r="D282" s="31" t="s">
        <v>708</v>
      </c>
      <c r="E282" s="29" t="s">
        <v>34</v>
      </c>
      <c r="F282" s="28">
        <v>0.85</v>
      </c>
      <c r="G282" s="29">
        <v>0.04</v>
      </c>
      <c r="H282" s="29">
        <v>-0.04</v>
      </c>
      <c r="I282" s="30" t="s">
        <v>39</v>
      </c>
      <c r="J282" s="12">
        <f t="shared" si="78"/>
        <v>0.89</v>
      </c>
      <c r="K282" s="12">
        <f t="shared" si="79"/>
        <v>0.80999999999999994</v>
      </c>
      <c r="L282" s="78"/>
      <c r="M282" s="78"/>
      <c r="N282" s="78"/>
      <c r="O282" s="36"/>
      <c r="P282" s="24" t="str">
        <f t="shared" si="69"/>
        <v xml:space="preserve"> </v>
      </c>
      <c r="Q282" s="25" t="str">
        <f t="shared" si="70"/>
        <v xml:space="preserve"> </v>
      </c>
      <c r="R282" s="25" t="str">
        <f t="shared" si="71"/>
        <v xml:space="preserve"> </v>
      </c>
      <c r="S282" s="26" t="str">
        <f t="shared" si="72"/>
        <v xml:space="preserve"> </v>
      </c>
      <c r="T282" s="7" t="str">
        <f t="shared" si="73"/>
        <v xml:space="preserve"> </v>
      </c>
      <c r="U282" s="8" t="str">
        <f t="shared" si="74"/>
        <v xml:space="preserve"> </v>
      </c>
      <c r="V282" s="9" t="str">
        <f t="shared" si="66"/>
        <v xml:space="preserve"> </v>
      </c>
      <c r="W282" s="9" t="str">
        <f t="shared" si="75"/>
        <v/>
      </c>
      <c r="X282" s="32"/>
      <c r="Y282" s="36"/>
    </row>
    <row r="283" spans="1:25" s="4" customFormat="1" ht="18" customHeight="1">
      <c r="A283" s="36"/>
      <c r="B283" s="69">
        <v>118.04</v>
      </c>
      <c r="C283" s="69" t="s">
        <v>575</v>
      </c>
      <c r="D283" s="31" t="s">
        <v>708</v>
      </c>
      <c r="E283" s="29" t="s">
        <v>34</v>
      </c>
      <c r="F283" s="28">
        <v>0.85</v>
      </c>
      <c r="G283" s="29">
        <v>0.04</v>
      </c>
      <c r="H283" s="29">
        <v>-0.04</v>
      </c>
      <c r="I283" s="30" t="s">
        <v>39</v>
      </c>
      <c r="J283" s="12">
        <f t="shared" si="78"/>
        <v>0.89</v>
      </c>
      <c r="K283" s="12">
        <f t="shared" si="79"/>
        <v>0.80999999999999994</v>
      </c>
      <c r="L283" s="78"/>
      <c r="M283" s="78"/>
      <c r="N283" s="78"/>
      <c r="O283" s="36"/>
      <c r="P283" s="24" t="str">
        <f t="shared" si="69"/>
        <v xml:space="preserve"> </v>
      </c>
      <c r="Q283" s="25" t="str">
        <f t="shared" si="70"/>
        <v xml:space="preserve"> </v>
      </c>
      <c r="R283" s="25" t="str">
        <f t="shared" si="71"/>
        <v xml:space="preserve"> </v>
      </c>
      <c r="S283" s="26" t="str">
        <f t="shared" si="72"/>
        <v xml:space="preserve"> </v>
      </c>
      <c r="T283" s="7" t="str">
        <f t="shared" si="73"/>
        <v xml:space="preserve"> </v>
      </c>
      <c r="U283" s="8" t="str">
        <f t="shared" si="74"/>
        <v xml:space="preserve"> </v>
      </c>
      <c r="V283" s="9" t="str">
        <f t="shared" si="66"/>
        <v xml:space="preserve"> </v>
      </c>
      <c r="W283" s="9" t="str">
        <f t="shared" si="75"/>
        <v/>
      </c>
      <c r="X283" s="32"/>
      <c r="Y283" s="36"/>
    </row>
    <row r="284" spans="1:25" s="4" customFormat="1" ht="18" customHeight="1">
      <c r="A284" s="36"/>
      <c r="B284" s="69">
        <v>118.05</v>
      </c>
      <c r="C284" s="69" t="s">
        <v>576</v>
      </c>
      <c r="D284" s="31" t="s">
        <v>708</v>
      </c>
      <c r="E284" s="29" t="s">
        <v>34</v>
      </c>
      <c r="F284" s="28">
        <v>0.85</v>
      </c>
      <c r="G284" s="29">
        <v>0.04</v>
      </c>
      <c r="H284" s="29">
        <v>-0.04</v>
      </c>
      <c r="I284" s="30" t="s">
        <v>39</v>
      </c>
      <c r="J284" s="12">
        <f t="shared" si="78"/>
        <v>0.89</v>
      </c>
      <c r="K284" s="12">
        <f t="shared" si="79"/>
        <v>0.80999999999999994</v>
      </c>
      <c r="L284" s="78"/>
      <c r="M284" s="78"/>
      <c r="N284" s="78"/>
      <c r="O284" s="36"/>
      <c r="P284" s="24" t="str">
        <f t="shared" si="69"/>
        <v xml:space="preserve"> </v>
      </c>
      <c r="Q284" s="25" t="str">
        <f t="shared" si="70"/>
        <v xml:space="preserve"> </v>
      </c>
      <c r="R284" s="25" t="str">
        <f t="shared" si="71"/>
        <v xml:space="preserve"> </v>
      </c>
      <c r="S284" s="26" t="str">
        <f t="shared" si="72"/>
        <v xml:space="preserve"> </v>
      </c>
      <c r="T284" s="7" t="str">
        <f t="shared" si="73"/>
        <v xml:space="preserve"> </v>
      </c>
      <c r="U284" s="8" t="str">
        <f t="shared" si="74"/>
        <v xml:space="preserve"> </v>
      </c>
      <c r="V284" s="9" t="str">
        <f t="shared" si="66"/>
        <v xml:space="preserve"> </v>
      </c>
      <c r="W284" s="9" t="str">
        <f t="shared" si="75"/>
        <v/>
      </c>
      <c r="X284" s="32"/>
      <c r="Y284" s="36"/>
    </row>
    <row r="285" spans="1:25" s="4" customFormat="1" ht="18" customHeight="1">
      <c r="A285" s="36"/>
      <c r="B285" s="69">
        <v>118.06</v>
      </c>
      <c r="C285" s="69" t="s">
        <v>577</v>
      </c>
      <c r="D285" s="31" t="s">
        <v>708</v>
      </c>
      <c r="E285" s="29" t="s">
        <v>34</v>
      </c>
      <c r="F285" s="28">
        <v>0.85</v>
      </c>
      <c r="G285" s="29">
        <v>0.04</v>
      </c>
      <c r="H285" s="29">
        <v>-0.04</v>
      </c>
      <c r="I285" s="30" t="s">
        <v>39</v>
      </c>
      <c r="J285" s="12">
        <f t="shared" si="78"/>
        <v>0.89</v>
      </c>
      <c r="K285" s="12">
        <f t="shared" si="79"/>
        <v>0.80999999999999994</v>
      </c>
      <c r="L285" s="78"/>
      <c r="M285" s="78"/>
      <c r="N285" s="78"/>
      <c r="O285" s="36"/>
      <c r="P285" s="24" t="str">
        <f t="shared" si="69"/>
        <v xml:space="preserve"> </v>
      </c>
      <c r="Q285" s="25" t="str">
        <f t="shared" si="70"/>
        <v xml:space="preserve"> </v>
      </c>
      <c r="R285" s="25" t="str">
        <f t="shared" si="71"/>
        <v xml:space="preserve"> </v>
      </c>
      <c r="S285" s="26" t="str">
        <f t="shared" si="72"/>
        <v xml:space="preserve"> </v>
      </c>
      <c r="T285" s="7" t="str">
        <f t="shared" si="73"/>
        <v xml:space="preserve"> </v>
      </c>
      <c r="U285" s="8" t="str">
        <f t="shared" si="74"/>
        <v xml:space="preserve"> </v>
      </c>
      <c r="V285" s="9" t="str">
        <f t="shared" si="66"/>
        <v xml:space="preserve"> </v>
      </c>
      <c r="W285" s="9" t="str">
        <f t="shared" si="75"/>
        <v/>
      </c>
      <c r="X285" s="32"/>
      <c r="Y285" s="36"/>
    </row>
    <row r="286" spans="1:25" s="4" customFormat="1" ht="18" customHeight="1">
      <c r="A286" s="36"/>
      <c r="B286" s="69">
        <v>118.07</v>
      </c>
      <c r="C286" s="69" t="s">
        <v>578</v>
      </c>
      <c r="D286" s="31" t="s">
        <v>708</v>
      </c>
      <c r="E286" s="29" t="s">
        <v>34</v>
      </c>
      <c r="F286" s="28">
        <v>0.85</v>
      </c>
      <c r="G286" s="29">
        <v>0.04</v>
      </c>
      <c r="H286" s="29">
        <v>-0.04</v>
      </c>
      <c r="I286" s="30" t="s">
        <v>39</v>
      </c>
      <c r="J286" s="12">
        <f t="shared" si="78"/>
        <v>0.89</v>
      </c>
      <c r="K286" s="12">
        <f t="shared" si="79"/>
        <v>0.80999999999999994</v>
      </c>
      <c r="L286" s="78"/>
      <c r="M286" s="78"/>
      <c r="N286" s="78"/>
      <c r="O286" s="36"/>
      <c r="P286" s="24" t="str">
        <f t="shared" si="69"/>
        <v xml:space="preserve"> </v>
      </c>
      <c r="Q286" s="25" t="str">
        <f t="shared" si="70"/>
        <v xml:space="preserve"> </v>
      </c>
      <c r="R286" s="25" t="str">
        <f t="shared" si="71"/>
        <v xml:space="preserve"> </v>
      </c>
      <c r="S286" s="26" t="str">
        <f t="shared" si="72"/>
        <v xml:space="preserve"> </v>
      </c>
      <c r="T286" s="7" t="str">
        <f t="shared" si="73"/>
        <v xml:space="preserve"> </v>
      </c>
      <c r="U286" s="8" t="str">
        <f t="shared" si="74"/>
        <v xml:space="preserve"> </v>
      </c>
      <c r="V286" s="9" t="str">
        <f t="shared" si="66"/>
        <v xml:space="preserve"> </v>
      </c>
      <c r="W286" s="9" t="str">
        <f t="shared" si="75"/>
        <v/>
      </c>
      <c r="X286" s="32"/>
      <c r="Y286" s="36"/>
    </row>
    <row r="287" spans="1:25" s="4" customFormat="1" ht="18" customHeight="1">
      <c r="A287" s="36"/>
      <c r="B287" s="69">
        <v>118.08</v>
      </c>
      <c r="C287" s="69" t="s">
        <v>579</v>
      </c>
      <c r="D287" s="31" t="s">
        <v>708</v>
      </c>
      <c r="E287" s="29" t="s">
        <v>34</v>
      </c>
      <c r="F287" s="28">
        <v>0.85</v>
      </c>
      <c r="G287" s="29">
        <v>0.04</v>
      </c>
      <c r="H287" s="29">
        <v>-0.04</v>
      </c>
      <c r="I287" s="30" t="s">
        <v>39</v>
      </c>
      <c r="J287" s="12">
        <f t="shared" si="78"/>
        <v>0.89</v>
      </c>
      <c r="K287" s="12">
        <f t="shared" si="79"/>
        <v>0.80999999999999994</v>
      </c>
      <c r="L287" s="78"/>
      <c r="M287" s="78"/>
      <c r="N287" s="78"/>
      <c r="O287" s="36"/>
      <c r="P287" s="24" t="str">
        <f t="shared" si="69"/>
        <v xml:space="preserve"> </v>
      </c>
      <c r="Q287" s="25" t="str">
        <f t="shared" si="70"/>
        <v xml:space="preserve"> </v>
      </c>
      <c r="R287" s="25" t="str">
        <f t="shared" si="71"/>
        <v xml:space="preserve"> </v>
      </c>
      <c r="S287" s="26" t="str">
        <f t="shared" si="72"/>
        <v xml:space="preserve"> </v>
      </c>
      <c r="T287" s="7" t="str">
        <f t="shared" si="73"/>
        <v xml:space="preserve"> </v>
      </c>
      <c r="U287" s="8" t="str">
        <f t="shared" si="74"/>
        <v xml:space="preserve"> </v>
      </c>
      <c r="V287" s="9" t="str">
        <f t="shared" si="66"/>
        <v xml:space="preserve"> </v>
      </c>
      <c r="W287" s="9" t="str">
        <f t="shared" si="75"/>
        <v/>
      </c>
      <c r="X287" s="32"/>
      <c r="Y287" s="36"/>
    </row>
    <row r="288" spans="1:25" s="4" customFormat="1" ht="18" customHeight="1">
      <c r="A288" s="36"/>
      <c r="B288" s="69">
        <v>118.09</v>
      </c>
      <c r="C288" s="69" t="s">
        <v>580</v>
      </c>
      <c r="D288" s="31" t="s">
        <v>708</v>
      </c>
      <c r="E288" s="29" t="s">
        <v>34</v>
      </c>
      <c r="F288" s="28">
        <v>0.85</v>
      </c>
      <c r="G288" s="29">
        <v>0.04</v>
      </c>
      <c r="H288" s="29">
        <v>-0.04</v>
      </c>
      <c r="I288" s="30" t="s">
        <v>39</v>
      </c>
      <c r="J288" s="12">
        <f t="shared" si="78"/>
        <v>0.89</v>
      </c>
      <c r="K288" s="12">
        <f t="shared" si="79"/>
        <v>0.80999999999999994</v>
      </c>
      <c r="L288" s="78"/>
      <c r="M288" s="78"/>
      <c r="N288" s="78"/>
      <c r="O288" s="36"/>
      <c r="P288" s="24" t="str">
        <f t="shared" si="69"/>
        <v xml:space="preserve"> </v>
      </c>
      <c r="Q288" s="25" t="str">
        <f t="shared" si="70"/>
        <v xml:space="preserve"> </v>
      </c>
      <c r="R288" s="25" t="str">
        <f t="shared" si="71"/>
        <v xml:space="preserve"> </v>
      </c>
      <c r="S288" s="26" t="str">
        <f t="shared" si="72"/>
        <v xml:space="preserve"> </v>
      </c>
      <c r="T288" s="7" t="str">
        <f t="shared" si="73"/>
        <v xml:space="preserve"> </v>
      </c>
      <c r="U288" s="8" t="str">
        <f t="shared" si="74"/>
        <v xml:space="preserve"> </v>
      </c>
      <c r="V288" s="9" t="str">
        <f t="shared" si="66"/>
        <v xml:space="preserve"> </v>
      </c>
      <c r="W288" s="9" t="str">
        <f t="shared" si="75"/>
        <v/>
      </c>
      <c r="X288" s="32"/>
      <c r="Y288" s="36"/>
    </row>
    <row r="289" spans="1:25" s="4" customFormat="1" ht="18" customHeight="1">
      <c r="A289" s="36"/>
      <c r="B289" s="69" t="s">
        <v>887</v>
      </c>
      <c r="C289" s="69" t="s">
        <v>581</v>
      </c>
      <c r="D289" s="31" t="s">
        <v>708</v>
      </c>
      <c r="E289" s="29" t="s">
        <v>34</v>
      </c>
      <c r="F289" s="28">
        <v>0.85</v>
      </c>
      <c r="G289" s="29">
        <v>0.04</v>
      </c>
      <c r="H289" s="29">
        <v>-0.04</v>
      </c>
      <c r="I289" s="30" t="s">
        <v>39</v>
      </c>
      <c r="J289" s="12">
        <f t="shared" si="78"/>
        <v>0.89</v>
      </c>
      <c r="K289" s="12">
        <f t="shared" si="79"/>
        <v>0.80999999999999994</v>
      </c>
      <c r="L289" s="78"/>
      <c r="M289" s="78"/>
      <c r="N289" s="78"/>
      <c r="O289" s="36"/>
      <c r="P289" s="24" t="str">
        <f t="shared" si="69"/>
        <v xml:space="preserve"> </v>
      </c>
      <c r="Q289" s="25" t="str">
        <f t="shared" si="70"/>
        <v xml:space="preserve"> </v>
      </c>
      <c r="R289" s="25" t="str">
        <f t="shared" si="71"/>
        <v xml:space="preserve"> </v>
      </c>
      <c r="S289" s="26" t="str">
        <f t="shared" si="72"/>
        <v xml:space="preserve"> </v>
      </c>
      <c r="T289" s="7" t="str">
        <f t="shared" si="73"/>
        <v xml:space="preserve"> </v>
      </c>
      <c r="U289" s="8" t="str">
        <f t="shared" si="74"/>
        <v xml:space="preserve"> </v>
      </c>
      <c r="V289" s="9" t="str">
        <f t="shared" si="66"/>
        <v xml:space="preserve"> </v>
      </c>
      <c r="W289" s="9" t="str">
        <f t="shared" si="75"/>
        <v/>
      </c>
      <c r="X289" s="32"/>
      <c r="Y289" s="36"/>
    </row>
    <row r="290" spans="1:25" s="4" customFormat="1" ht="18" customHeight="1">
      <c r="A290" s="36"/>
      <c r="B290" s="69">
        <v>118.11</v>
      </c>
      <c r="C290" s="69" t="s">
        <v>582</v>
      </c>
      <c r="D290" s="31" t="s">
        <v>708</v>
      </c>
      <c r="E290" s="29" t="s">
        <v>34</v>
      </c>
      <c r="F290" s="28">
        <v>0.85</v>
      </c>
      <c r="G290" s="29">
        <v>0.04</v>
      </c>
      <c r="H290" s="29">
        <v>-0.04</v>
      </c>
      <c r="I290" s="30" t="s">
        <v>39</v>
      </c>
      <c r="J290" s="12">
        <f t="shared" si="78"/>
        <v>0.89</v>
      </c>
      <c r="K290" s="12">
        <f t="shared" si="79"/>
        <v>0.80999999999999994</v>
      </c>
      <c r="L290" s="78"/>
      <c r="M290" s="78"/>
      <c r="N290" s="78"/>
      <c r="O290" s="36"/>
      <c r="P290" s="24" t="str">
        <f t="shared" si="69"/>
        <v xml:space="preserve"> </v>
      </c>
      <c r="Q290" s="25" t="str">
        <f t="shared" si="70"/>
        <v xml:space="preserve"> </v>
      </c>
      <c r="R290" s="25" t="str">
        <f t="shared" si="71"/>
        <v xml:space="preserve"> </v>
      </c>
      <c r="S290" s="26" t="str">
        <f t="shared" si="72"/>
        <v xml:space="preserve"> </v>
      </c>
      <c r="T290" s="7" t="str">
        <f t="shared" si="73"/>
        <v xml:space="preserve"> </v>
      </c>
      <c r="U290" s="8" t="str">
        <f t="shared" si="74"/>
        <v xml:space="preserve"> </v>
      </c>
      <c r="V290" s="9" t="str">
        <f t="shared" si="66"/>
        <v xml:space="preserve"> </v>
      </c>
      <c r="W290" s="9" t="str">
        <f t="shared" si="75"/>
        <v/>
      </c>
      <c r="X290" s="32"/>
      <c r="Y290" s="36"/>
    </row>
    <row r="291" spans="1:25" s="4" customFormat="1" ht="18" customHeight="1">
      <c r="A291" s="36"/>
      <c r="B291" s="69">
        <v>118.12</v>
      </c>
      <c r="C291" s="69" t="s">
        <v>583</v>
      </c>
      <c r="D291" s="31" t="s">
        <v>708</v>
      </c>
      <c r="E291" s="29" t="s">
        <v>34</v>
      </c>
      <c r="F291" s="28">
        <v>0.85</v>
      </c>
      <c r="G291" s="29">
        <v>0.04</v>
      </c>
      <c r="H291" s="29">
        <v>-0.04</v>
      </c>
      <c r="I291" s="30" t="s">
        <v>39</v>
      </c>
      <c r="J291" s="12">
        <f t="shared" si="78"/>
        <v>0.89</v>
      </c>
      <c r="K291" s="12">
        <f t="shared" si="79"/>
        <v>0.80999999999999994</v>
      </c>
      <c r="L291" s="78"/>
      <c r="M291" s="78"/>
      <c r="N291" s="78"/>
      <c r="O291" s="36"/>
      <c r="P291" s="24" t="str">
        <f t="shared" si="69"/>
        <v xml:space="preserve"> </v>
      </c>
      <c r="Q291" s="25" t="str">
        <f t="shared" si="70"/>
        <v xml:space="preserve"> </v>
      </c>
      <c r="R291" s="25" t="str">
        <f t="shared" si="71"/>
        <v xml:space="preserve"> </v>
      </c>
      <c r="S291" s="26" t="str">
        <f t="shared" si="72"/>
        <v xml:space="preserve"> </v>
      </c>
      <c r="T291" s="7" t="str">
        <f t="shared" si="73"/>
        <v xml:space="preserve"> </v>
      </c>
      <c r="U291" s="8" t="str">
        <f t="shared" si="74"/>
        <v xml:space="preserve"> </v>
      </c>
      <c r="V291" s="9" t="str">
        <f t="shared" si="66"/>
        <v xml:space="preserve"> </v>
      </c>
      <c r="W291" s="9" t="str">
        <f t="shared" si="75"/>
        <v/>
      </c>
      <c r="X291" s="32"/>
      <c r="Y291" s="36"/>
    </row>
    <row r="292" spans="1:25" s="4" customFormat="1" ht="18" customHeight="1">
      <c r="A292" s="36"/>
      <c r="B292" s="69">
        <v>118.13</v>
      </c>
      <c r="C292" s="69" t="s">
        <v>584</v>
      </c>
      <c r="D292" s="31" t="s">
        <v>708</v>
      </c>
      <c r="E292" s="29" t="s">
        <v>34</v>
      </c>
      <c r="F292" s="28">
        <v>0.85</v>
      </c>
      <c r="G292" s="29">
        <v>0.04</v>
      </c>
      <c r="H292" s="29">
        <v>-0.04</v>
      </c>
      <c r="I292" s="30" t="s">
        <v>39</v>
      </c>
      <c r="J292" s="12">
        <f t="shared" si="78"/>
        <v>0.89</v>
      </c>
      <c r="K292" s="12">
        <f t="shared" si="79"/>
        <v>0.80999999999999994</v>
      </c>
      <c r="L292" s="78"/>
      <c r="M292" s="78"/>
      <c r="N292" s="78"/>
      <c r="O292" s="36"/>
      <c r="P292" s="24" t="str">
        <f t="shared" si="69"/>
        <v xml:space="preserve"> </v>
      </c>
      <c r="Q292" s="25" t="str">
        <f t="shared" si="70"/>
        <v xml:space="preserve"> </v>
      </c>
      <c r="R292" s="25" t="str">
        <f t="shared" si="71"/>
        <v xml:space="preserve"> </v>
      </c>
      <c r="S292" s="26" t="str">
        <f t="shared" si="72"/>
        <v xml:space="preserve"> </v>
      </c>
      <c r="T292" s="7" t="str">
        <f t="shared" si="73"/>
        <v xml:space="preserve"> </v>
      </c>
      <c r="U292" s="8" t="str">
        <f t="shared" si="74"/>
        <v xml:space="preserve"> </v>
      </c>
      <c r="V292" s="9" t="str">
        <f t="shared" si="66"/>
        <v xml:space="preserve"> </v>
      </c>
      <c r="W292" s="9" t="str">
        <f t="shared" si="75"/>
        <v/>
      </c>
      <c r="X292" s="32"/>
      <c r="Y292" s="36"/>
    </row>
    <row r="293" spans="1:25" s="4" customFormat="1" ht="18" customHeight="1">
      <c r="A293" s="36"/>
      <c r="B293" s="69">
        <v>118.14</v>
      </c>
      <c r="C293" s="69" t="s">
        <v>585</v>
      </c>
      <c r="D293" s="31" t="s">
        <v>708</v>
      </c>
      <c r="E293" s="29" t="s">
        <v>34</v>
      </c>
      <c r="F293" s="28">
        <v>0.85</v>
      </c>
      <c r="G293" s="29">
        <v>0.04</v>
      </c>
      <c r="H293" s="29">
        <v>-0.04</v>
      </c>
      <c r="I293" s="30" t="s">
        <v>39</v>
      </c>
      <c r="J293" s="12">
        <f t="shared" si="78"/>
        <v>0.89</v>
      </c>
      <c r="K293" s="12">
        <f t="shared" si="79"/>
        <v>0.80999999999999994</v>
      </c>
      <c r="L293" s="78"/>
      <c r="M293" s="78"/>
      <c r="N293" s="78"/>
      <c r="O293" s="36"/>
      <c r="P293" s="24" t="str">
        <f t="shared" si="69"/>
        <v xml:space="preserve"> </v>
      </c>
      <c r="Q293" s="25" t="str">
        <f t="shared" si="70"/>
        <v xml:space="preserve"> </v>
      </c>
      <c r="R293" s="25" t="str">
        <f t="shared" si="71"/>
        <v xml:space="preserve"> </v>
      </c>
      <c r="S293" s="26" t="str">
        <f t="shared" si="72"/>
        <v xml:space="preserve"> </v>
      </c>
      <c r="T293" s="7" t="str">
        <f t="shared" si="73"/>
        <v xml:space="preserve"> </v>
      </c>
      <c r="U293" s="8" t="str">
        <f t="shared" si="74"/>
        <v xml:space="preserve"> </v>
      </c>
      <c r="V293" s="9" t="str">
        <f t="shared" si="66"/>
        <v xml:space="preserve"> </v>
      </c>
      <c r="W293" s="9" t="str">
        <f t="shared" si="75"/>
        <v/>
      </c>
      <c r="X293" s="32"/>
      <c r="Y293" s="36"/>
    </row>
    <row r="294" spans="1:25" s="4" customFormat="1" ht="18" customHeight="1">
      <c r="A294" s="36"/>
      <c r="B294" s="69">
        <v>118.15</v>
      </c>
      <c r="C294" s="69" t="s">
        <v>586</v>
      </c>
      <c r="D294" s="31" t="s">
        <v>708</v>
      </c>
      <c r="E294" s="29" t="s">
        <v>34</v>
      </c>
      <c r="F294" s="28">
        <v>0.85</v>
      </c>
      <c r="G294" s="29">
        <v>0.04</v>
      </c>
      <c r="H294" s="29">
        <v>-0.04</v>
      </c>
      <c r="I294" s="30" t="s">
        <v>39</v>
      </c>
      <c r="J294" s="12">
        <f t="shared" ref="J294:J357" si="80">IF(AND(F294="",G294=""),"",IF(F294="",G294,F294+G294))</f>
        <v>0.89</v>
      </c>
      <c r="K294" s="12">
        <f t="shared" ref="K294:K357" si="81">IF(AND(F294="",H294=""),"",IF(F294="",H294,F294+H294))</f>
        <v>0.80999999999999994</v>
      </c>
      <c r="L294" s="78"/>
      <c r="M294" s="78"/>
      <c r="N294" s="78"/>
      <c r="O294" s="36"/>
      <c r="P294" s="24" t="str">
        <f t="shared" si="69"/>
        <v xml:space="preserve"> </v>
      </c>
      <c r="Q294" s="25" t="str">
        <f t="shared" si="70"/>
        <v xml:space="preserve"> </v>
      </c>
      <c r="R294" s="25" t="str">
        <f t="shared" si="71"/>
        <v xml:space="preserve"> </v>
      </c>
      <c r="S294" s="26" t="str">
        <f t="shared" si="72"/>
        <v xml:space="preserve"> </v>
      </c>
      <c r="T294" s="7" t="str">
        <f t="shared" si="73"/>
        <v xml:space="preserve"> </v>
      </c>
      <c r="U294" s="8" t="str">
        <f t="shared" si="74"/>
        <v xml:space="preserve"> </v>
      </c>
      <c r="V294" s="9" t="str">
        <f t="shared" si="66"/>
        <v xml:space="preserve"> </v>
      </c>
      <c r="W294" s="9" t="str">
        <f t="shared" si="75"/>
        <v/>
      </c>
      <c r="X294" s="32"/>
      <c r="Y294" s="36"/>
    </row>
    <row r="295" spans="1:25" s="4" customFormat="1" ht="18" customHeight="1">
      <c r="A295" s="36"/>
      <c r="B295" s="69">
        <v>118.16</v>
      </c>
      <c r="C295" s="69" t="s">
        <v>587</v>
      </c>
      <c r="D295" s="31" t="s">
        <v>708</v>
      </c>
      <c r="E295" s="29" t="s">
        <v>34</v>
      </c>
      <c r="F295" s="28">
        <v>0.85</v>
      </c>
      <c r="G295" s="29">
        <v>0.04</v>
      </c>
      <c r="H295" s="29">
        <v>-0.04</v>
      </c>
      <c r="I295" s="30" t="s">
        <v>39</v>
      </c>
      <c r="J295" s="12">
        <f t="shared" si="80"/>
        <v>0.89</v>
      </c>
      <c r="K295" s="12">
        <f t="shared" si="81"/>
        <v>0.80999999999999994</v>
      </c>
      <c r="L295" s="78"/>
      <c r="M295" s="78"/>
      <c r="N295" s="78"/>
      <c r="O295" s="36"/>
      <c r="P295" s="24" t="str">
        <f t="shared" si="69"/>
        <v xml:space="preserve"> </v>
      </c>
      <c r="Q295" s="25" t="str">
        <f t="shared" si="70"/>
        <v xml:space="preserve"> </v>
      </c>
      <c r="R295" s="25" t="str">
        <f t="shared" si="71"/>
        <v xml:space="preserve"> </v>
      </c>
      <c r="S295" s="26" t="str">
        <f t="shared" si="72"/>
        <v xml:space="preserve"> </v>
      </c>
      <c r="T295" s="7" t="str">
        <f t="shared" si="73"/>
        <v xml:space="preserve"> </v>
      </c>
      <c r="U295" s="8" t="str">
        <f t="shared" si="74"/>
        <v xml:space="preserve"> </v>
      </c>
      <c r="V295" s="9" t="str">
        <f t="shared" si="66"/>
        <v xml:space="preserve"> </v>
      </c>
      <c r="W295" s="9" t="str">
        <f t="shared" si="75"/>
        <v/>
      </c>
      <c r="X295" s="32"/>
      <c r="Y295" s="36"/>
    </row>
    <row r="296" spans="1:25" s="4" customFormat="1" ht="18" customHeight="1">
      <c r="A296" s="36"/>
      <c r="B296" s="69">
        <v>118.17</v>
      </c>
      <c r="C296" s="69" t="s">
        <v>588</v>
      </c>
      <c r="D296" s="31" t="s">
        <v>708</v>
      </c>
      <c r="E296" s="29" t="s">
        <v>34</v>
      </c>
      <c r="F296" s="28">
        <v>0.85</v>
      </c>
      <c r="G296" s="29">
        <v>0.04</v>
      </c>
      <c r="H296" s="29">
        <v>-0.04</v>
      </c>
      <c r="I296" s="30" t="s">
        <v>39</v>
      </c>
      <c r="J296" s="12">
        <f t="shared" si="80"/>
        <v>0.89</v>
      </c>
      <c r="K296" s="12">
        <f t="shared" si="81"/>
        <v>0.80999999999999994</v>
      </c>
      <c r="L296" s="78"/>
      <c r="M296" s="78"/>
      <c r="N296" s="78"/>
      <c r="O296" s="36"/>
      <c r="P296" s="24" t="str">
        <f t="shared" si="69"/>
        <v xml:space="preserve"> </v>
      </c>
      <c r="Q296" s="25" t="str">
        <f t="shared" si="70"/>
        <v xml:space="preserve"> </v>
      </c>
      <c r="R296" s="25" t="str">
        <f t="shared" si="71"/>
        <v xml:space="preserve"> </v>
      </c>
      <c r="S296" s="26" t="str">
        <f t="shared" si="72"/>
        <v xml:space="preserve"> </v>
      </c>
      <c r="T296" s="7" t="str">
        <f t="shared" si="73"/>
        <v xml:space="preserve"> </v>
      </c>
      <c r="U296" s="8" t="str">
        <f t="shared" si="74"/>
        <v xml:space="preserve"> </v>
      </c>
      <c r="V296" s="9" t="str">
        <f t="shared" si="66"/>
        <v xml:space="preserve"> </v>
      </c>
      <c r="W296" s="9" t="str">
        <f t="shared" si="75"/>
        <v/>
      </c>
      <c r="X296" s="32"/>
      <c r="Y296" s="36"/>
    </row>
    <row r="297" spans="1:25" s="4" customFormat="1" ht="18" customHeight="1">
      <c r="A297" s="36"/>
      <c r="B297" s="69">
        <v>118.18</v>
      </c>
      <c r="C297" s="69" t="s">
        <v>589</v>
      </c>
      <c r="D297" s="31" t="s">
        <v>708</v>
      </c>
      <c r="E297" s="29" t="s">
        <v>34</v>
      </c>
      <c r="F297" s="28">
        <v>0.85</v>
      </c>
      <c r="G297" s="29">
        <v>0.04</v>
      </c>
      <c r="H297" s="29">
        <v>-0.04</v>
      </c>
      <c r="I297" s="30" t="s">
        <v>39</v>
      </c>
      <c r="J297" s="12">
        <f t="shared" si="80"/>
        <v>0.89</v>
      </c>
      <c r="K297" s="12">
        <f t="shared" si="81"/>
        <v>0.80999999999999994</v>
      </c>
      <c r="L297" s="78"/>
      <c r="M297" s="78"/>
      <c r="N297" s="78"/>
      <c r="O297" s="36"/>
      <c r="P297" s="24" t="str">
        <f t="shared" si="69"/>
        <v xml:space="preserve"> </v>
      </c>
      <c r="Q297" s="25" t="str">
        <f t="shared" si="70"/>
        <v xml:space="preserve"> </v>
      </c>
      <c r="R297" s="25" t="str">
        <f t="shared" si="71"/>
        <v xml:space="preserve"> </v>
      </c>
      <c r="S297" s="26" t="str">
        <f t="shared" si="72"/>
        <v xml:space="preserve"> </v>
      </c>
      <c r="T297" s="7" t="str">
        <f t="shared" si="73"/>
        <v xml:space="preserve"> </v>
      </c>
      <c r="U297" s="8" t="str">
        <f t="shared" si="74"/>
        <v xml:space="preserve"> </v>
      </c>
      <c r="V297" s="9" t="str">
        <f t="shared" si="66"/>
        <v xml:space="preserve"> </v>
      </c>
      <c r="W297" s="9" t="str">
        <f t="shared" si="75"/>
        <v/>
      </c>
      <c r="X297" s="32"/>
      <c r="Y297" s="36"/>
    </row>
    <row r="298" spans="1:25" s="4" customFormat="1" ht="18" customHeight="1">
      <c r="A298" s="36"/>
      <c r="B298" s="69">
        <v>118.19</v>
      </c>
      <c r="C298" s="69" t="s">
        <v>590</v>
      </c>
      <c r="D298" s="31" t="s">
        <v>708</v>
      </c>
      <c r="E298" s="29" t="s">
        <v>34</v>
      </c>
      <c r="F298" s="28">
        <v>0.85</v>
      </c>
      <c r="G298" s="29">
        <v>0.04</v>
      </c>
      <c r="H298" s="29">
        <v>-0.04</v>
      </c>
      <c r="I298" s="30" t="s">
        <v>39</v>
      </c>
      <c r="J298" s="12">
        <f t="shared" si="80"/>
        <v>0.89</v>
      </c>
      <c r="K298" s="12">
        <f t="shared" si="81"/>
        <v>0.80999999999999994</v>
      </c>
      <c r="L298" s="78"/>
      <c r="M298" s="78"/>
      <c r="N298" s="78"/>
      <c r="O298" s="36"/>
      <c r="P298" s="24" t="str">
        <f t="shared" si="69"/>
        <v xml:space="preserve"> </v>
      </c>
      <c r="Q298" s="25" t="str">
        <f t="shared" si="70"/>
        <v xml:space="preserve"> </v>
      </c>
      <c r="R298" s="25" t="str">
        <f t="shared" si="71"/>
        <v xml:space="preserve"> </v>
      </c>
      <c r="S298" s="26" t="str">
        <f t="shared" si="72"/>
        <v xml:space="preserve"> </v>
      </c>
      <c r="T298" s="7" t="str">
        <f t="shared" si="73"/>
        <v xml:space="preserve"> </v>
      </c>
      <c r="U298" s="8" t="str">
        <f t="shared" si="74"/>
        <v xml:space="preserve"> </v>
      </c>
      <c r="V298" s="9" t="str">
        <f t="shared" si="66"/>
        <v xml:space="preserve"> </v>
      </c>
      <c r="W298" s="9" t="str">
        <f t="shared" si="75"/>
        <v/>
      </c>
      <c r="X298" s="32"/>
      <c r="Y298" s="36"/>
    </row>
    <row r="299" spans="1:25" s="4" customFormat="1" ht="18" customHeight="1">
      <c r="A299" s="36"/>
      <c r="B299" s="69" t="s">
        <v>888</v>
      </c>
      <c r="C299" s="69" t="s">
        <v>591</v>
      </c>
      <c r="D299" s="31" t="s">
        <v>708</v>
      </c>
      <c r="E299" s="29" t="s">
        <v>34</v>
      </c>
      <c r="F299" s="28">
        <v>0.85</v>
      </c>
      <c r="G299" s="29">
        <v>0.04</v>
      </c>
      <c r="H299" s="29">
        <v>-0.04</v>
      </c>
      <c r="I299" s="30" t="s">
        <v>39</v>
      </c>
      <c r="J299" s="12">
        <f t="shared" si="80"/>
        <v>0.89</v>
      </c>
      <c r="K299" s="12">
        <f t="shared" si="81"/>
        <v>0.80999999999999994</v>
      </c>
      <c r="L299" s="78"/>
      <c r="M299" s="78"/>
      <c r="N299" s="78"/>
      <c r="O299" s="36"/>
      <c r="P299" s="24" t="str">
        <f t="shared" si="69"/>
        <v xml:space="preserve"> </v>
      </c>
      <c r="Q299" s="25" t="str">
        <f t="shared" si="70"/>
        <v xml:space="preserve"> </v>
      </c>
      <c r="R299" s="25" t="str">
        <f t="shared" si="71"/>
        <v xml:space="preserve"> </v>
      </c>
      <c r="S299" s="26" t="str">
        <f t="shared" si="72"/>
        <v xml:space="preserve"> </v>
      </c>
      <c r="T299" s="7" t="str">
        <f t="shared" si="73"/>
        <v xml:space="preserve"> </v>
      </c>
      <c r="U299" s="8" t="str">
        <f t="shared" si="74"/>
        <v xml:space="preserve"> </v>
      </c>
      <c r="V299" s="9" t="str">
        <f t="shared" si="66"/>
        <v xml:space="preserve"> </v>
      </c>
      <c r="W299" s="9" t="str">
        <f t="shared" si="75"/>
        <v/>
      </c>
      <c r="X299" s="32"/>
      <c r="Y299" s="36"/>
    </row>
    <row r="300" spans="1:25" s="4" customFormat="1" ht="18" customHeight="1">
      <c r="A300" s="36"/>
      <c r="B300" s="69">
        <v>118.21</v>
      </c>
      <c r="C300" s="69" t="s">
        <v>592</v>
      </c>
      <c r="D300" s="31" t="s">
        <v>708</v>
      </c>
      <c r="E300" s="29" t="s">
        <v>34</v>
      </c>
      <c r="F300" s="28">
        <v>0.85</v>
      </c>
      <c r="G300" s="29">
        <v>0.04</v>
      </c>
      <c r="H300" s="29">
        <v>-0.04</v>
      </c>
      <c r="I300" s="30" t="s">
        <v>39</v>
      </c>
      <c r="J300" s="12">
        <f t="shared" si="80"/>
        <v>0.89</v>
      </c>
      <c r="K300" s="12">
        <f t="shared" si="81"/>
        <v>0.80999999999999994</v>
      </c>
      <c r="L300" s="78"/>
      <c r="M300" s="78"/>
      <c r="N300" s="78"/>
      <c r="O300" s="36"/>
      <c r="P300" s="24" t="str">
        <f t="shared" si="69"/>
        <v xml:space="preserve"> </v>
      </c>
      <c r="Q300" s="25" t="str">
        <f t="shared" si="70"/>
        <v xml:space="preserve"> </v>
      </c>
      <c r="R300" s="25" t="str">
        <f t="shared" si="71"/>
        <v xml:space="preserve"> </v>
      </c>
      <c r="S300" s="26" t="str">
        <f t="shared" si="72"/>
        <v xml:space="preserve"> </v>
      </c>
      <c r="T300" s="7" t="str">
        <f t="shared" si="73"/>
        <v xml:space="preserve"> </v>
      </c>
      <c r="U300" s="8" t="str">
        <f t="shared" si="74"/>
        <v xml:space="preserve"> </v>
      </c>
      <c r="V300" s="9" t="str">
        <f t="shared" si="66"/>
        <v xml:space="preserve"> </v>
      </c>
      <c r="W300" s="9" t="str">
        <f t="shared" si="75"/>
        <v/>
      </c>
      <c r="X300" s="32"/>
      <c r="Y300" s="36"/>
    </row>
    <row r="301" spans="1:25" s="4" customFormat="1" ht="18" customHeight="1">
      <c r="A301" s="36"/>
      <c r="B301" s="69">
        <v>118.22</v>
      </c>
      <c r="C301" s="69" t="s">
        <v>593</v>
      </c>
      <c r="D301" s="31" t="s">
        <v>708</v>
      </c>
      <c r="E301" s="29" t="s">
        <v>34</v>
      </c>
      <c r="F301" s="28">
        <v>0.85</v>
      </c>
      <c r="G301" s="29">
        <v>0.04</v>
      </c>
      <c r="H301" s="29">
        <v>-0.04</v>
      </c>
      <c r="I301" s="30" t="s">
        <v>39</v>
      </c>
      <c r="J301" s="12">
        <f t="shared" si="80"/>
        <v>0.89</v>
      </c>
      <c r="K301" s="12">
        <f t="shared" si="81"/>
        <v>0.80999999999999994</v>
      </c>
      <c r="L301" s="78"/>
      <c r="M301" s="78"/>
      <c r="N301" s="78"/>
      <c r="O301" s="36"/>
      <c r="P301" s="24" t="str">
        <f t="shared" si="69"/>
        <v xml:space="preserve"> </v>
      </c>
      <c r="Q301" s="25" t="str">
        <f t="shared" si="70"/>
        <v xml:space="preserve"> </v>
      </c>
      <c r="R301" s="25" t="str">
        <f t="shared" si="71"/>
        <v xml:space="preserve"> </v>
      </c>
      <c r="S301" s="26" t="str">
        <f t="shared" si="72"/>
        <v xml:space="preserve"> </v>
      </c>
      <c r="T301" s="7" t="str">
        <f t="shared" si="73"/>
        <v xml:space="preserve"> </v>
      </c>
      <c r="U301" s="8" t="str">
        <f t="shared" si="74"/>
        <v xml:space="preserve"> </v>
      </c>
      <c r="V301" s="9" t="str">
        <f t="shared" si="66"/>
        <v xml:space="preserve"> </v>
      </c>
      <c r="W301" s="9" t="str">
        <f t="shared" si="75"/>
        <v/>
      </c>
      <c r="X301" s="32"/>
      <c r="Y301" s="36"/>
    </row>
    <row r="302" spans="1:25" s="4" customFormat="1" ht="18" customHeight="1">
      <c r="A302" s="36"/>
      <c r="B302" s="69">
        <v>118.23</v>
      </c>
      <c r="C302" s="69" t="s">
        <v>594</v>
      </c>
      <c r="D302" s="31" t="s">
        <v>708</v>
      </c>
      <c r="E302" s="29" t="s">
        <v>34</v>
      </c>
      <c r="F302" s="28">
        <v>0.85</v>
      </c>
      <c r="G302" s="29">
        <v>0.04</v>
      </c>
      <c r="H302" s="29">
        <v>-0.04</v>
      </c>
      <c r="I302" s="30" t="s">
        <v>39</v>
      </c>
      <c r="J302" s="12">
        <f t="shared" si="80"/>
        <v>0.89</v>
      </c>
      <c r="K302" s="12">
        <f t="shared" si="81"/>
        <v>0.80999999999999994</v>
      </c>
      <c r="L302" s="78"/>
      <c r="M302" s="78"/>
      <c r="N302" s="78"/>
      <c r="O302" s="36"/>
      <c r="P302" s="24" t="str">
        <f t="shared" si="69"/>
        <v xml:space="preserve"> </v>
      </c>
      <c r="Q302" s="25" t="str">
        <f t="shared" si="70"/>
        <v xml:space="preserve"> </v>
      </c>
      <c r="R302" s="25" t="str">
        <f t="shared" si="71"/>
        <v xml:space="preserve"> </v>
      </c>
      <c r="S302" s="26" t="str">
        <f t="shared" si="72"/>
        <v xml:space="preserve"> </v>
      </c>
      <c r="T302" s="7" t="str">
        <f t="shared" si="73"/>
        <v xml:space="preserve"> </v>
      </c>
      <c r="U302" s="8" t="str">
        <f t="shared" si="74"/>
        <v xml:space="preserve"> </v>
      </c>
      <c r="V302" s="9" t="str">
        <f t="shared" si="66"/>
        <v xml:space="preserve"> </v>
      </c>
      <c r="W302" s="9" t="str">
        <f t="shared" si="75"/>
        <v/>
      </c>
      <c r="X302" s="32"/>
      <c r="Y302" s="36"/>
    </row>
    <row r="303" spans="1:25" s="4" customFormat="1" ht="18" customHeight="1">
      <c r="A303" s="36"/>
      <c r="B303" s="69">
        <v>118.24</v>
      </c>
      <c r="C303" s="69" t="s">
        <v>595</v>
      </c>
      <c r="D303" s="31" t="s">
        <v>708</v>
      </c>
      <c r="E303" s="29" t="s">
        <v>34</v>
      </c>
      <c r="F303" s="28">
        <v>0.85</v>
      </c>
      <c r="G303" s="29">
        <v>0.04</v>
      </c>
      <c r="H303" s="29">
        <v>-0.04</v>
      </c>
      <c r="I303" s="30" t="s">
        <v>39</v>
      </c>
      <c r="J303" s="12">
        <f t="shared" si="80"/>
        <v>0.89</v>
      </c>
      <c r="K303" s="12">
        <f t="shared" si="81"/>
        <v>0.80999999999999994</v>
      </c>
      <c r="L303" s="78"/>
      <c r="M303" s="78"/>
      <c r="N303" s="78"/>
      <c r="O303" s="36"/>
      <c r="P303" s="24" t="str">
        <f t="shared" si="69"/>
        <v xml:space="preserve"> </v>
      </c>
      <c r="Q303" s="25" t="str">
        <f t="shared" si="70"/>
        <v xml:space="preserve"> </v>
      </c>
      <c r="R303" s="25" t="str">
        <f t="shared" si="71"/>
        <v xml:space="preserve"> </v>
      </c>
      <c r="S303" s="26" t="str">
        <f t="shared" si="72"/>
        <v xml:space="preserve"> </v>
      </c>
      <c r="T303" s="7" t="str">
        <f t="shared" si="73"/>
        <v xml:space="preserve"> </v>
      </c>
      <c r="U303" s="8" t="str">
        <f t="shared" si="74"/>
        <v xml:space="preserve"> </v>
      </c>
      <c r="V303" s="9" t="str">
        <f t="shared" si="66"/>
        <v xml:space="preserve"> </v>
      </c>
      <c r="W303" s="9" t="str">
        <f t="shared" si="75"/>
        <v/>
      </c>
      <c r="X303" s="32"/>
      <c r="Y303" s="36"/>
    </row>
    <row r="304" spans="1:25" s="4" customFormat="1" ht="18" customHeight="1">
      <c r="A304" s="36"/>
      <c r="B304" s="69">
        <v>118.25</v>
      </c>
      <c r="C304" s="69" t="s">
        <v>596</v>
      </c>
      <c r="D304" s="31" t="s">
        <v>708</v>
      </c>
      <c r="E304" s="29" t="s">
        <v>34</v>
      </c>
      <c r="F304" s="28">
        <v>0.85</v>
      </c>
      <c r="G304" s="29">
        <v>0.04</v>
      </c>
      <c r="H304" s="29">
        <v>-0.04</v>
      </c>
      <c r="I304" s="30" t="s">
        <v>39</v>
      </c>
      <c r="J304" s="12">
        <f t="shared" si="80"/>
        <v>0.89</v>
      </c>
      <c r="K304" s="12">
        <f t="shared" si="81"/>
        <v>0.80999999999999994</v>
      </c>
      <c r="L304" s="78"/>
      <c r="M304" s="78"/>
      <c r="N304" s="78"/>
      <c r="O304" s="36"/>
      <c r="P304" s="24" t="str">
        <f t="shared" si="69"/>
        <v xml:space="preserve"> </v>
      </c>
      <c r="Q304" s="25" t="str">
        <f t="shared" si="70"/>
        <v xml:space="preserve"> </v>
      </c>
      <c r="R304" s="25" t="str">
        <f t="shared" si="71"/>
        <v xml:space="preserve"> </v>
      </c>
      <c r="S304" s="26" t="str">
        <f t="shared" si="72"/>
        <v xml:space="preserve"> </v>
      </c>
      <c r="T304" s="7" t="str">
        <f t="shared" si="73"/>
        <v xml:space="preserve"> </v>
      </c>
      <c r="U304" s="8" t="str">
        <f t="shared" si="74"/>
        <v xml:space="preserve"> </v>
      </c>
      <c r="V304" s="9" t="str">
        <f t="shared" si="66"/>
        <v xml:space="preserve"> </v>
      </c>
      <c r="W304" s="9" t="str">
        <f t="shared" si="75"/>
        <v/>
      </c>
      <c r="X304" s="32"/>
      <c r="Y304" s="36"/>
    </row>
    <row r="305" spans="1:25" s="4" customFormat="1" ht="18" customHeight="1">
      <c r="A305" s="36"/>
      <c r="B305" s="69">
        <v>118.26</v>
      </c>
      <c r="C305" s="69" t="s">
        <v>597</v>
      </c>
      <c r="D305" s="31" t="s">
        <v>708</v>
      </c>
      <c r="E305" s="29" t="s">
        <v>34</v>
      </c>
      <c r="F305" s="28">
        <v>0.85</v>
      </c>
      <c r="G305" s="29">
        <v>0.04</v>
      </c>
      <c r="H305" s="29">
        <v>-0.04</v>
      </c>
      <c r="I305" s="30" t="s">
        <v>39</v>
      </c>
      <c r="J305" s="12">
        <f t="shared" si="80"/>
        <v>0.89</v>
      </c>
      <c r="K305" s="12">
        <f t="shared" si="81"/>
        <v>0.80999999999999994</v>
      </c>
      <c r="L305" s="78"/>
      <c r="M305" s="78"/>
      <c r="N305" s="78"/>
      <c r="O305" s="36"/>
      <c r="P305" s="24" t="str">
        <f t="shared" si="69"/>
        <v xml:space="preserve"> </v>
      </c>
      <c r="Q305" s="25" t="str">
        <f t="shared" si="70"/>
        <v xml:space="preserve"> </v>
      </c>
      <c r="R305" s="25" t="str">
        <f t="shared" si="71"/>
        <v xml:space="preserve"> </v>
      </c>
      <c r="S305" s="26" t="str">
        <f t="shared" si="72"/>
        <v xml:space="preserve"> </v>
      </c>
      <c r="T305" s="7" t="str">
        <f t="shared" si="73"/>
        <v xml:space="preserve"> </v>
      </c>
      <c r="U305" s="8" t="str">
        <f t="shared" si="74"/>
        <v xml:space="preserve"> </v>
      </c>
      <c r="V305" s="9" t="str">
        <f t="shared" si="66"/>
        <v xml:space="preserve"> </v>
      </c>
      <c r="W305" s="9" t="str">
        <f t="shared" si="75"/>
        <v/>
      </c>
      <c r="X305" s="32"/>
      <c r="Y305" s="36"/>
    </row>
    <row r="306" spans="1:25" s="4" customFormat="1" ht="18" customHeight="1">
      <c r="A306" s="36"/>
      <c r="B306" s="69">
        <v>118.27</v>
      </c>
      <c r="C306" s="69" t="s">
        <v>598</v>
      </c>
      <c r="D306" s="31" t="s">
        <v>708</v>
      </c>
      <c r="E306" s="29" t="s">
        <v>34</v>
      </c>
      <c r="F306" s="28">
        <v>0.85</v>
      </c>
      <c r="G306" s="29">
        <v>0.04</v>
      </c>
      <c r="H306" s="29">
        <v>-0.04</v>
      </c>
      <c r="I306" s="30" t="s">
        <v>39</v>
      </c>
      <c r="J306" s="12">
        <f t="shared" si="80"/>
        <v>0.89</v>
      </c>
      <c r="K306" s="12">
        <f t="shared" si="81"/>
        <v>0.80999999999999994</v>
      </c>
      <c r="L306" s="78"/>
      <c r="M306" s="78"/>
      <c r="N306" s="78"/>
      <c r="O306" s="36"/>
      <c r="P306" s="24" t="str">
        <f t="shared" si="69"/>
        <v xml:space="preserve"> </v>
      </c>
      <c r="Q306" s="25" t="str">
        <f t="shared" si="70"/>
        <v xml:space="preserve"> </v>
      </c>
      <c r="R306" s="25" t="str">
        <f t="shared" si="71"/>
        <v xml:space="preserve"> </v>
      </c>
      <c r="S306" s="26" t="str">
        <f t="shared" si="72"/>
        <v xml:space="preserve"> </v>
      </c>
      <c r="T306" s="7" t="str">
        <f t="shared" si="73"/>
        <v xml:space="preserve"> </v>
      </c>
      <c r="U306" s="8" t="str">
        <f t="shared" si="74"/>
        <v xml:space="preserve"> </v>
      </c>
      <c r="V306" s="9" t="str">
        <f t="shared" si="66"/>
        <v xml:space="preserve"> </v>
      </c>
      <c r="W306" s="9" t="str">
        <f t="shared" si="75"/>
        <v/>
      </c>
      <c r="X306" s="32"/>
      <c r="Y306" s="36"/>
    </row>
    <row r="307" spans="1:25" s="4" customFormat="1" ht="18" customHeight="1">
      <c r="A307" s="36"/>
      <c r="B307" s="69">
        <v>118.28</v>
      </c>
      <c r="C307" s="69" t="s">
        <v>599</v>
      </c>
      <c r="D307" s="31" t="s">
        <v>708</v>
      </c>
      <c r="E307" s="29" t="s">
        <v>34</v>
      </c>
      <c r="F307" s="28">
        <v>0.85</v>
      </c>
      <c r="G307" s="29">
        <v>0.04</v>
      </c>
      <c r="H307" s="29">
        <v>-0.04</v>
      </c>
      <c r="I307" s="30" t="s">
        <v>39</v>
      </c>
      <c r="J307" s="12">
        <f t="shared" si="80"/>
        <v>0.89</v>
      </c>
      <c r="K307" s="12">
        <f t="shared" si="81"/>
        <v>0.80999999999999994</v>
      </c>
      <c r="L307" s="78"/>
      <c r="M307" s="78"/>
      <c r="N307" s="78"/>
      <c r="O307" s="36"/>
      <c r="P307" s="24" t="str">
        <f t="shared" si="69"/>
        <v xml:space="preserve"> </v>
      </c>
      <c r="Q307" s="25" t="str">
        <f t="shared" si="70"/>
        <v xml:space="preserve"> </v>
      </c>
      <c r="R307" s="25" t="str">
        <f t="shared" si="71"/>
        <v xml:space="preserve"> </v>
      </c>
      <c r="S307" s="26" t="str">
        <f t="shared" si="72"/>
        <v xml:space="preserve"> </v>
      </c>
      <c r="T307" s="7" t="str">
        <f t="shared" si="73"/>
        <v xml:space="preserve"> </v>
      </c>
      <c r="U307" s="8" t="str">
        <f t="shared" si="74"/>
        <v xml:space="preserve"> </v>
      </c>
      <c r="V307" s="9" t="str">
        <f t="shared" si="66"/>
        <v xml:space="preserve"> </v>
      </c>
      <c r="W307" s="9" t="str">
        <f t="shared" si="75"/>
        <v/>
      </c>
      <c r="X307" s="32"/>
      <c r="Y307" s="36"/>
    </row>
    <row r="308" spans="1:25" s="4" customFormat="1" ht="18" customHeight="1">
      <c r="A308" s="36"/>
      <c r="B308" s="69">
        <v>118.29</v>
      </c>
      <c r="C308" s="69" t="s">
        <v>600</v>
      </c>
      <c r="D308" s="31" t="s">
        <v>708</v>
      </c>
      <c r="E308" s="29" t="s">
        <v>34</v>
      </c>
      <c r="F308" s="28">
        <v>0.85</v>
      </c>
      <c r="G308" s="29">
        <v>0.04</v>
      </c>
      <c r="H308" s="29">
        <v>-0.04</v>
      </c>
      <c r="I308" s="30" t="s">
        <v>39</v>
      </c>
      <c r="J308" s="12">
        <f t="shared" si="80"/>
        <v>0.89</v>
      </c>
      <c r="K308" s="12">
        <f t="shared" si="81"/>
        <v>0.80999999999999994</v>
      </c>
      <c r="L308" s="78"/>
      <c r="M308" s="78"/>
      <c r="N308" s="78"/>
      <c r="O308" s="36"/>
      <c r="P308" s="24" t="str">
        <f t="shared" si="69"/>
        <v xml:space="preserve"> </v>
      </c>
      <c r="Q308" s="25" t="str">
        <f t="shared" si="70"/>
        <v xml:space="preserve"> </v>
      </c>
      <c r="R308" s="25" t="str">
        <f t="shared" si="71"/>
        <v xml:space="preserve"> </v>
      </c>
      <c r="S308" s="26" t="str">
        <f t="shared" si="72"/>
        <v xml:space="preserve"> </v>
      </c>
      <c r="T308" s="7" t="str">
        <f t="shared" si="73"/>
        <v xml:space="preserve"> </v>
      </c>
      <c r="U308" s="8" t="str">
        <f t="shared" si="74"/>
        <v xml:space="preserve"> </v>
      </c>
      <c r="V308" s="9" t="str">
        <f t="shared" si="66"/>
        <v xml:space="preserve"> </v>
      </c>
      <c r="W308" s="9" t="str">
        <f t="shared" si="75"/>
        <v/>
      </c>
      <c r="X308" s="32"/>
      <c r="Y308" s="36"/>
    </row>
    <row r="309" spans="1:25" s="4" customFormat="1" ht="18" customHeight="1">
      <c r="A309" s="36"/>
      <c r="B309" s="69" t="s">
        <v>889</v>
      </c>
      <c r="C309" s="69" t="s">
        <v>601</v>
      </c>
      <c r="D309" s="31" t="s">
        <v>708</v>
      </c>
      <c r="E309" s="29" t="s">
        <v>34</v>
      </c>
      <c r="F309" s="28">
        <v>0.85</v>
      </c>
      <c r="G309" s="29">
        <v>0.04</v>
      </c>
      <c r="H309" s="29">
        <v>-0.04</v>
      </c>
      <c r="I309" s="30" t="s">
        <v>39</v>
      </c>
      <c r="J309" s="12">
        <f t="shared" si="80"/>
        <v>0.89</v>
      </c>
      <c r="K309" s="12">
        <f t="shared" si="81"/>
        <v>0.80999999999999994</v>
      </c>
      <c r="L309" s="78"/>
      <c r="M309" s="78"/>
      <c r="N309" s="78"/>
      <c r="O309" s="36"/>
      <c r="P309" s="24" t="str">
        <f t="shared" si="69"/>
        <v xml:space="preserve"> </v>
      </c>
      <c r="Q309" s="25" t="str">
        <f t="shared" si="70"/>
        <v xml:space="preserve"> </v>
      </c>
      <c r="R309" s="25" t="str">
        <f t="shared" si="71"/>
        <v xml:space="preserve"> </v>
      </c>
      <c r="S309" s="26" t="str">
        <f t="shared" si="72"/>
        <v xml:space="preserve"> </v>
      </c>
      <c r="T309" s="7" t="str">
        <f t="shared" si="73"/>
        <v xml:space="preserve"> </v>
      </c>
      <c r="U309" s="8" t="str">
        <f t="shared" si="74"/>
        <v xml:space="preserve"> </v>
      </c>
      <c r="V309" s="9" t="str">
        <f t="shared" si="66"/>
        <v xml:space="preserve"> </v>
      </c>
      <c r="W309" s="9" t="str">
        <f t="shared" si="75"/>
        <v/>
      </c>
      <c r="X309" s="32"/>
      <c r="Y309" s="36"/>
    </row>
    <row r="310" spans="1:25" s="4" customFormat="1" ht="18" customHeight="1">
      <c r="A310" s="36"/>
      <c r="B310" s="69">
        <v>118.31</v>
      </c>
      <c r="C310" s="69" t="s">
        <v>602</v>
      </c>
      <c r="D310" s="31" t="s">
        <v>708</v>
      </c>
      <c r="E310" s="29" t="s">
        <v>34</v>
      </c>
      <c r="F310" s="28">
        <v>0.85</v>
      </c>
      <c r="G310" s="29">
        <v>0.04</v>
      </c>
      <c r="H310" s="29">
        <v>-0.04</v>
      </c>
      <c r="I310" s="30" t="s">
        <v>39</v>
      </c>
      <c r="J310" s="12">
        <f t="shared" si="80"/>
        <v>0.89</v>
      </c>
      <c r="K310" s="12">
        <f t="shared" si="81"/>
        <v>0.80999999999999994</v>
      </c>
      <c r="L310" s="78"/>
      <c r="M310" s="78"/>
      <c r="N310" s="78"/>
      <c r="O310" s="36"/>
      <c r="P310" s="24" t="str">
        <f t="shared" si="69"/>
        <v xml:space="preserve"> </v>
      </c>
      <c r="Q310" s="25" t="str">
        <f t="shared" si="70"/>
        <v xml:space="preserve"> </v>
      </c>
      <c r="R310" s="25" t="str">
        <f t="shared" si="71"/>
        <v xml:space="preserve"> </v>
      </c>
      <c r="S310" s="26" t="str">
        <f t="shared" si="72"/>
        <v xml:space="preserve"> </v>
      </c>
      <c r="T310" s="7" t="str">
        <f t="shared" si="73"/>
        <v xml:space="preserve"> </v>
      </c>
      <c r="U310" s="8" t="str">
        <f t="shared" si="74"/>
        <v xml:space="preserve"> </v>
      </c>
      <c r="V310" s="9" t="str">
        <f t="shared" si="66"/>
        <v xml:space="preserve"> </v>
      </c>
      <c r="W310" s="9" t="str">
        <f t="shared" si="75"/>
        <v/>
      </c>
      <c r="X310" s="32"/>
      <c r="Y310" s="36"/>
    </row>
    <row r="311" spans="1:25" s="4" customFormat="1" ht="18" customHeight="1">
      <c r="A311" s="36"/>
      <c r="B311" s="69">
        <v>118.32</v>
      </c>
      <c r="C311" s="69" t="s">
        <v>603</v>
      </c>
      <c r="D311" s="31" t="s">
        <v>708</v>
      </c>
      <c r="E311" s="29" t="s">
        <v>34</v>
      </c>
      <c r="F311" s="28">
        <v>0.85</v>
      </c>
      <c r="G311" s="29">
        <v>0.04</v>
      </c>
      <c r="H311" s="29">
        <v>-0.04</v>
      </c>
      <c r="I311" s="30" t="s">
        <v>39</v>
      </c>
      <c r="J311" s="12">
        <f t="shared" si="80"/>
        <v>0.89</v>
      </c>
      <c r="K311" s="12">
        <f t="shared" si="81"/>
        <v>0.80999999999999994</v>
      </c>
      <c r="L311" s="78"/>
      <c r="M311" s="78"/>
      <c r="N311" s="78"/>
      <c r="O311" s="36"/>
      <c r="P311" s="24" t="str">
        <f t="shared" si="69"/>
        <v xml:space="preserve"> </v>
      </c>
      <c r="Q311" s="25" t="str">
        <f t="shared" si="70"/>
        <v xml:space="preserve"> </v>
      </c>
      <c r="R311" s="25" t="str">
        <f t="shared" si="71"/>
        <v xml:space="preserve"> </v>
      </c>
      <c r="S311" s="26" t="str">
        <f t="shared" si="72"/>
        <v xml:space="preserve"> </v>
      </c>
      <c r="T311" s="7" t="str">
        <f t="shared" si="73"/>
        <v xml:space="preserve"> </v>
      </c>
      <c r="U311" s="8" t="str">
        <f t="shared" si="74"/>
        <v xml:space="preserve"> </v>
      </c>
      <c r="V311" s="9" t="str">
        <f t="shared" si="66"/>
        <v xml:space="preserve"> </v>
      </c>
      <c r="W311" s="9" t="str">
        <f t="shared" si="75"/>
        <v/>
      </c>
      <c r="X311" s="32"/>
      <c r="Y311" s="36"/>
    </row>
    <row r="312" spans="1:25" s="4" customFormat="1" ht="18" customHeight="1">
      <c r="A312" s="36"/>
      <c r="B312" s="69">
        <v>118.33</v>
      </c>
      <c r="C312" s="69" t="s">
        <v>604</v>
      </c>
      <c r="D312" s="31" t="s">
        <v>708</v>
      </c>
      <c r="E312" s="29" t="s">
        <v>34</v>
      </c>
      <c r="F312" s="28">
        <v>0.85</v>
      </c>
      <c r="G312" s="29">
        <v>0.04</v>
      </c>
      <c r="H312" s="29">
        <v>-0.04</v>
      </c>
      <c r="I312" s="30" t="s">
        <v>39</v>
      </c>
      <c r="J312" s="12">
        <f t="shared" si="80"/>
        <v>0.89</v>
      </c>
      <c r="K312" s="12">
        <f t="shared" si="81"/>
        <v>0.80999999999999994</v>
      </c>
      <c r="L312" s="78"/>
      <c r="M312" s="78"/>
      <c r="N312" s="78"/>
      <c r="O312" s="36"/>
      <c r="P312" s="24" t="str">
        <f t="shared" si="69"/>
        <v xml:space="preserve"> </v>
      </c>
      <c r="Q312" s="25" t="str">
        <f t="shared" si="70"/>
        <v xml:space="preserve"> </v>
      </c>
      <c r="R312" s="25" t="str">
        <f t="shared" si="71"/>
        <v xml:space="preserve"> </v>
      </c>
      <c r="S312" s="26" t="str">
        <f t="shared" si="72"/>
        <v xml:space="preserve"> </v>
      </c>
      <c r="T312" s="7" t="str">
        <f t="shared" si="73"/>
        <v xml:space="preserve"> </v>
      </c>
      <c r="U312" s="8" t="str">
        <f t="shared" si="74"/>
        <v xml:space="preserve"> </v>
      </c>
      <c r="V312" s="9" t="str">
        <f t="shared" si="66"/>
        <v xml:space="preserve"> </v>
      </c>
      <c r="W312" s="9" t="str">
        <f t="shared" si="75"/>
        <v/>
      </c>
      <c r="X312" s="32"/>
      <c r="Y312" s="36"/>
    </row>
    <row r="313" spans="1:25" s="4" customFormat="1" ht="18" customHeight="1">
      <c r="A313" s="36"/>
      <c r="B313" s="69">
        <v>118.34</v>
      </c>
      <c r="C313" s="69" t="s">
        <v>605</v>
      </c>
      <c r="D313" s="31" t="s">
        <v>708</v>
      </c>
      <c r="E313" s="29" t="s">
        <v>34</v>
      </c>
      <c r="F313" s="28">
        <v>0.85</v>
      </c>
      <c r="G313" s="29">
        <v>0.04</v>
      </c>
      <c r="H313" s="29">
        <v>-0.04</v>
      </c>
      <c r="I313" s="30" t="s">
        <v>39</v>
      </c>
      <c r="J313" s="12">
        <f t="shared" si="80"/>
        <v>0.89</v>
      </c>
      <c r="K313" s="12">
        <f t="shared" si="81"/>
        <v>0.80999999999999994</v>
      </c>
      <c r="L313" s="78"/>
      <c r="M313" s="78"/>
      <c r="N313" s="78"/>
      <c r="O313" s="36"/>
      <c r="P313" s="24" t="str">
        <f t="shared" si="69"/>
        <v xml:space="preserve"> </v>
      </c>
      <c r="Q313" s="25" t="str">
        <f t="shared" si="70"/>
        <v xml:space="preserve"> </v>
      </c>
      <c r="R313" s="25" t="str">
        <f t="shared" si="71"/>
        <v xml:space="preserve"> </v>
      </c>
      <c r="S313" s="26" t="str">
        <f t="shared" si="72"/>
        <v xml:space="preserve"> </v>
      </c>
      <c r="T313" s="7" t="str">
        <f t="shared" si="73"/>
        <v xml:space="preserve"> </v>
      </c>
      <c r="U313" s="8" t="str">
        <f t="shared" si="74"/>
        <v xml:space="preserve"> </v>
      </c>
      <c r="V313" s="9" t="str">
        <f t="shared" si="66"/>
        <v xml:space="preserve"> </v>
      </c>
      <c r="W313" s="9" t="str">
        <f t="shared" si="75"/>
        <v/>
      </c>
      <c r="X313" s="32"/>
      <c r="Y313" s="36"/>
    </row>
    <row r="314" spans="1:25" s="4" customFormat="1" ht="18" customHeight="1">
      <c r="A314" s="36"/>
      <c r="B314" s="69">
        <v>118.35</v>
      </c>
      <c r="C314" s="69" t="s">
        <v>606</v>
      </c>
      <c r="D314" s="31" t="s">
        <v>708</v>
      </c>
      <c r="E314" s="29" t="s">
        <v>34</v>
      </c>
      <c r="F314" s="28">
        <v>0.85</v>
      </c>
      <c r="G314" s="29">
        <v>0.04</v>
      </c>
      <c r="H314" s="29">
        <v>-0.04</v>
      </c>
      <c r="I314" s="30" t="s">
        <v>39</v>
      </c>
      <c r="J314" s="12">
        <f t="shared" si="80"/>
        <v>0.89</v>
      </c>
      <c r="K314" s="12">
        <f t="shared" si="81"/>
        <v>0.80999999999999994</v>
      </c>
      <c r="L314" s="78"/>
      <c r="M314" s="78"/>
      <c r="N314" s="78"/>
      <c r="O314" s="36"/>
      <c r="P314" s="24" t="str">
        <f t="shared" si="69"/>
        <v xml:space="preserve"> </v>
      </c>
      <c r="Q314" s="25" t="str">
        <f t="shared" si="70"/>
        <v xml:space="preserve"> </v>
      </c>
      <c r="R314" s="25" t="str">
        <f t="shared" si="71"/>
        <v xml:space="preserve"> </v>
      </c>
      <c r="S314" s="26" t="str">
        <f t="shared" si="72"/>
        <v xml:space="preserve"> </v>
      </c>
      <c r="T314" s="7" t="str">
        <f t="shared" si="73"/>
        <v xml:space="preserve"> </v>
      </c>
      <c r="U314" s="8" t="str">
        <f t="shared" si="74"/>
        <v xml:space="preserve"> </v>
      </c>
      <c r="V314" s="9" t="str">
        <f t="shared" si="66"/>
        <v xml:space="preserve"> </v>
      </c>
      <c r="W314" s="9" t="str">
        <f t="shared" si="75"/>
        <v/>
      </c>
      <c r="X314" s="32"/>
      <c r="Y314" s="36"/>
    </row>
    <row r="315" spans="1:25" s="4" customFormat="1" ht="18" customHeight="1">
      <c r="A315" s="36"/>
      <c r="B315" s="69">
        <v>118.36</v>
      </c>
      <c r="C315" s="69" t="s">
        <v>607</v>
      </c>
      <c r="D315" s="31" t="s">
        <v>708</v>
      </c>
      <c r="E315" s="29" t="s">
        <v>34</v>
      </c>
      <c r="F315" s="28">
        <v>0.85</v>
      </c>
      <c r="G315" s="29">
        <v>0.04</v>
      </c>
      <c r="H315" s="29">
        <v>-0.04</v>
      </c>
      <c r="I315" s="30" t="s">
        <v>39</v>
      </c>
      <c r="J315" s="12">
        <f t="shared" si="80"/>
        <v>0.89</v>
      </c>
      <c r="K315" s="12">
        <f t="shared" si="81"/>
        <v>0.80999999999999994</v>
      </c>
      <c r="L315" s="78"/>
      <c r="M315" s="78"/>
      <c r="N315" s="78"/>
      <c r="O315" s="36"/>
      <c r="P315" s="24" t="str">
        <f t="shared" si="69"/>
        <v xml:space="preserve"> </v>
      </c>
      <c r="Q315" s="25" t="str">
        <f t="shared" si="70"/>
        <v xml:space="preserve"> </v>
      </c>
      <c r="R315" s="25" t="str">
        <f t="shared" si="71"/>
        <v xml:space="preserve"> </v>
      </c>
      <c r="S315" s="26" t="str">
        <f t="shared" si="72"/>
        <v xml:space="preserve"> </v>
      </c>
      <c r="T315" s="7" t="str">
        <f t="shared" si="73"/>
        <v xml:space="preserve"> </v>
      </c>
      <c r="U315" s="8" t="str">
        <f t="shared" si="74"/>
        <v xml:space="preserve"> </v>
      </c>
      <c r="V315" s="9" t="str">
        <f t="shared" si="66"/>
        <v xml:space="preserve"> </v>
      </c>
      <c r="W315" s="9" t="str">
        <f t="shared" si="75"/>
        <v/>
      </c>
      <c r="X315" s="32"/>
      <c r="Y315" s="36"/>
    </row>
    <row r="316" spans="1:25" s="4" customFormat="1" ht="18" customHeight="1">
      <c r="A316" s="36"/>
      <c r="B316" s="69">
        <v>118.37</v>
      </c>
      <c r="C316" s="69" t="s">
        <v>608</v>
      </c>
      <c r="D316" s="31" t="s">
        <v>708</v>
      </c>
      <c r="E316" s="29" t="s">
        <v>34</v>
      </c>
      <c r="F316" s="28">
        <v>0.85</v>
      </c>
      <c r="G316" s="29">
        <v>0.04</v>
      </c>
      <c r="H316" s="29">
        <v>-0.04</v>
      </c>
      <c r="I316" s="30" t="s">
        <v>39</v>
      </c>
      <c r="J316" s="12">
        <f t="shared" si="80"/>
        <v>0.89</v>
      </c>
      <c r="K316" s="12">
        <f t="shared" si="81"/>
        <v>0.80999999999999994</v>
      </c>
      <c r="L316" s="78"/>
      <c r="M316" s="78"/>
      <c r="N316" s="78"/>
      <c r="O316" s="36"/>
      <c r="P316" s="24" t="str">
        <f t="shared" si="69"/>
        <v xml:space="preserve"> </v>
      </c>
      <c r="Q316" s="25" t="str">
        <f t="shared" si="70"/>
        <v xml:space="preserve"> </v>
      </c>
      <c r="R316" s="25" t="str">
        <f t="shared" si="71"/>
        <v xml:space="preserve"> </v>
      </c>
      <c r="S316" s="26" t="str">
        <f t="shared" si="72"/>
        <v xml:space="preserve"> </v>
      </c>
      <c r="T316" s="7" t="str">
        <f t="shared" si="73"/>
        <v xml:space="preserve"> </v>
      </c>
      <c r="U316" s="8" t="str">
        <f t="shared" si="74"/>
        <v xml:space="preserve"> </v>
      </c>
      <c r="V316" s="9" t="str">
        <f t="shared" si="66"/>
        <v xml:space="preserve"> </v>
      </c>
      <c r="W316" s="9" t="str">
        <f t="shared" si="75"/>
        <v/>
      </c>
      <c r="X316" s="32"/>
      <c r="Y316" s="36"/>
    </row>
    <row r="317" spans="1:25" s="4" customFormat="1" ht="18" customHeight="1">
      <c r="A317" s="36"/>
      <c r="B317" s="69">
        <v>118.38</v>
      </c>
      <c r="C317" s="69" t="s">
        <v>609</v>
      </c>
      <c r="D317" s="31" t="s">
        <v>708</v>
      </c>
      <c r="E317" s="29" t="s">
        <v>34</v>
      </c>
      <c r="F317" s="28">
        <v>0.85</v>
      </c>
      <c r="G317" s="29">
        <v>0.04</v>
      </c>
      <c r="H317" s="29">
        <v>-0.04</v>
      </c>
      <c r="I317" s="30" t="s">
        <v>39</v>
      </c>
      <c r="J317" s="12">
        <f t="shared" si="80"/>
        <v>0.89</v>
      </c>
      <c r="K317" s="12">
        <f t="shared" si="81"/>
        <v>0.80999999999999994</v>
      </c>
      <c r="L317" s="78"/>
      <c r="M317" s="78"/>
      <c r="N317" s="78"/>
      <c r="O317" s="36"/>
      <c r="P317" s="24" t="str">
        <f t="shared" si="69"/>
        <v xml:space="preserve"> </v>
      </c>
      <c r="Q317" s="25" t="str">
        <f t="shared" si="70"/>
        <v xml:space="preserve"> </v>
      </c>
      <c r="R317" s="25" t="str">
        <f t="shared" si="71"/>
        <v xml:space="preserve"> </v>
      </c>
      <c r="S317" s="26" t="str">
        <f t="shared" si="72"/>
        <v xml:space="preserve"> </v>
      </c>
      <c r="T317" s="7" t="str">
        <f t="shared" si="73"/>
        <v xml:space="preserve"> </v>
      </c>
      <c r="U317" s="8" t="str">
        <f t="shared" si="74"/>
        <v xml:space="preserve"> </v>
      </c>
      <c r="V317" s="9" t="str">
        <f t="shared" si="66"/>
        <v xml:space="preserve"> </v>
      </c>
      <c r="W317" s="9" t="str">
        <f t="shared" si="75"/>
        <v/>
      </c>
      <c r="X317" s="32"/>
      <c r="Y317" s="36"/>
    </row>
    <row r="318" spans="1:25" s="4" customFormat="1" ht="18" customHeight="1">
      <c r="A318" s="36"/>
      <c r="B318" s="69">
        <v>118.39</v>
      </c>
      <c r="C318" s="69" t="s">
        <v>610</v>
      </c>
      <c r="D318" s="31" t="s">
        <v>708</v>
      </c>
      <c r="E318" s="29" t="s">
        <v>34</v>
      </c>
      <c r="F318" s="28">
        <v>0.85</v>
      </c>
      <c r="G318" s="29">
        <v>0.04</v>
      </c>
      <c r="H318" s="29">
        <v>-0.04</v>
      </c>
      <c r="I318" s="30" t="s">
        <v>39</v>
      </c>
      <c r="J318" s="12">
        <f t="shared" si="80"/>
        <v>0.89</v>
      </c>
      <c r="K318" s="12">
        <f t="shared" si="81"/>
        <v>0.80999999999999994</v>
      </c>
      <c r="L318" s="78"/>
      <c r="M318" s="78"/>
      <c r="N318" s="78"/>
      <c r="O318" s="36"/>
      <c r="P318" s="24" t="str">
        <f t="shared" si="69"/>
        <v xml:space="preserve"> </v>
      </c>
      <c r="Q318" s="25" t="str">
        <f t="shared" si="70"/>
        <v xml:space="preserve"> </v>
      </c>
      <c r="R318" s="25" t="str">
        <f t="shared" si="71"/>
        <v xml:space="preserve"> </v>
      </c>
      <c r="S318" s="26" t="str">
        <f t="shared" si="72"/>
        <v xml:space="preserve"> </v>
      </c>
      <c r="T318" s="7" t="str">
        <f t="shared" si="73"/>
        <v xml:space="preserve"> </v>
      </c>
      <c r="U318" s="8" t="str">
        <f t="shared" si="74"/>
        <v xml:space="preserve"> </v>
      </c>
      <c r="V318" s="9" t="str">
        <f t="shared" si="66"/>
        <v xml:space="preserve"> </v>
      </c>
      <c r="W318" s="9" t="str">
        <f t="shared" si="75"/>
        <v/>
      </c>
      <c r="X318" s="32"/>
      <c r="Y318" s="36"/>
    </row>
    <row r="319" spans="1:25" s="4" customFormat="1" ht="18" customHeight="1">
      <c r="A319" s="36"/>
      <c r="B319" s="69" t="s">
        <v>890</v>
      </c>
      <c r="C319" s="69" t="s">
        <v>611</v>
      </c>
      <c r="D319" s="31" t="s">
        <v>708</v>
      </c>
      <c r="E319" s="29" t="s">
        <v>34</v>
      </c>
      <c r="F319" s="28">
        <v>0.85</v>
      </c>
      <c r="G319" s="29">
        <v>0.04</v>
      </c>
      <c r="H319" s="29">
        <v>-0.04</v>
      </c>
      <c r="I319" s="30" t="s">
        <v>39</v>
      </c>
      <c r="J319" s="12">
        <f t="shared" si="80"/>
        <v>0.89</v>
      </c>
      <c r="K319" s="12">
        <f t="shared" si="81"/>
        <v>0.80999999999999994</v>
      </c>
      <c r="L319" s="78"/>
      <c r="M319" s="78"/>
      <c r="N319" s="78"/>
      <c r="O319" s="36"/>
      <c r="P319" s="24" t="str">
        <f t="shared" si="69"/>
        <v xml:space="preserve"> </v>
      </c>
      <c r="Q319" s="25" t="str">
        <f t="shared" si="70"/>
        <v xml:space="preserve"> </v>
      </c>
      <c r="R319" s="25" t="str">
        <f t="shared" si="71"/>
        <v xml:space="preserve"> </v>
      </c>
      <c r="S319" s="26" t="str">
        <f t="shared" si="72"/>
        <v xml:space="preserve"> </v>
      </c>
      <c r="T319" s="7" t="str">
        <f t="shared" si="73"/>
        <v xml:space="preserve"> </v>
      </c>
      <c r="U319" s="8" t="str">
        <f t="shared" si="74"/>
        <v xml:space="preserve"> </v>
      </c>
      <c r="V319" s="9" t="str">
        <f t="shared" si="66"/>
        <v xml:space="preserve"> </v>
      </c>
      <c r="W319" s="9" t="str">
        <f t="shared" si="75"/>
        <v/>
      </c>
      <c r="X319" s="32"/>
      <c r="Y319" s="36"/>
    </row>
    <row r="320" spans="1:25" s="4" customFormat="1" ht="18" customHeight="1">
      <c r="A320" s="36"/>
      <c r="B320" s="69">
        <v>118.41</v>
      </c>
      <c r="C320" s="69" t="s">
        <v>612</v>
      </c>
      <c r="D320" s="31" t="s">
        <v>708</v>
      </c>
      <c r="E320" s="29" t="s">
        <v>34</v>
      </c>
      <c r="F320" s="28">
        <v>0.85</v>
      </c>
      <c r="G320" s="29">
        <v>0.04</v>
      </c>
      <c r="H320" s="29">
        <v>-0.04</v>
      </c>
      <c r="I320" s="30" t="s">
        <v>39</v>
      </c>
      <c r="J320" s="12">
        <f t="shared" si="80"/>
        <v>0.89</v>
      </c>
      <c r="K320" s="12">
        <f t="shared" si="81"/>
        <v>0.80999999999999994</v>
      </c>
      <c r="L320" s="78"/>
      <c r="M320" s="78"/>
      <c r="N320" s="78"/>
      <c r="O320" s="36"/>
      <c r="P320" s="24" t="str">
        <f t="shared" si="69"/>
        <v xml:space="preserve"> </v>
      </c>
      <c r="Q320" s="25" t="str">
        <f t="shared" si="70"/>
        <v xml:space="preserve"> </v>
      </c>
      <c r="R320" s="25" t="str">
        <f t="shared" si="71"/>
        <v xml:space="preserve"> </v>
      </c>
      <c r="S320" s="26" t="str">
        <f t="shared" si="72"/>
        <v xml:space="preserve"> </v>
      </c>
      <c r="T320" s="7" t="str">
        <f t="shared" si="73"/>
        <v xml:space="preserve"> </v>
      </c>
      <c r="U320" s="8" t="str">
        <f t="shared" si="74"/>
        <v xml:space="preserve"> </v>
      </c>
      <c r="V320" s="9" t="str">
        <f t="shared" si="66"/>
        <v xml:space="preserve"> </v>
      </c>
      <c r="W320" s="9" t="str">
        <f t="shared" si="75"/>
        <v/>
      </c>
      <c r="X320" s="32"/>
      <c r="Y320" s="36"/>
    </row>
    <row r="321" spans="1:25" s="4" customFormat="1" ht="18" customHeight="1">
      <c r="A321" s="36"/>
      <c r="B321" s="69">
        <v>118.42</v>
      </c>
      <c r="C321" s="69" t="s">
        <v>613</v>
      </c>
      <c r="D321" s="31" t="s">
        <v>708</v>
      </c>
      <c r="E321" s="29" t="s">
        <v>34</v>
      </c>
      <c r="F321" s="28">
        <v>0.85</v>
      </c>
      <c r="G321" s="29">
        <v>0.04</v>
      </c>
      <c r="H321" s="29">
        <v>-0.04</v>
      </c>
      <c r="I321" s="30" t="s">
        <v>39</v>
      </c>
      <c r="J321" s="12">
        <f t="shared" si="80"/>
        <v>0.89</v>
      </c>
      <c r="K321" s="12">
        <f t="shared" si="81"/>
        <v>0.80999999999999994</v>
      </c>
      <c r="L321" s="78"/>
      <c r="M321" s="78"/>
      <c r="N321" s="78"/>
      <c r="O321" s="36"/>
      <c r="P321" s="24" t="str">
        <f t="shared" si="69"/>
        <v xml:space="preserve"> </v>
      </c>
      <c r="Q321" s="25" t="str">
        <f t="shared" si="70"/>
        <v xml:space="preserve"> </v>
      </c>
      <c r="R321" s="25" t="str">
        <f t="shared" si="71"/>
        <v xml:space="preserve"> </v>
      </c>
      <c r="S321" s="26" t="str">
        <f t="shared" si="72"/>
        <v xml:space="preserve"> </v>
      </c>
      <c r="T321" s="7" t="str">
        <f t="shared" si="73"/>
        <v xml:space="preserve"> </v>
      </c>
      <c r="U321" s="8" t="str">
        <f t="shared" si="74"/>
        <v xml:space="preserve"> </v>
      </c>
      <c r="V321" s="9" t="str">
        <f t="shared" si="66"/>
        <v xml:space="preserve"> </v>
      </c>
      <c r="W321" s="9" t="str">
        <f t="shared" si="75"/>
        <v/>
      </c>
      <c r="X321" s="32"/>
      <c r="Y321" s="36"/>
    </row>
    <row r="322" spans="1:25" s="4" customFormat="1" ht="18" customHeight="1">
      <c r="A322" s="36"/>
      <c r="B322" s="69">
        <v>118.43</v>
      </c>
      <c r="C322" s="69" t="s">
        <v>614</v>
      </c>
      <c r="D322" s="31" t="s">
        <v>708</v>
      </c>
      <c r="E322" s="29" t="s">
        <v>34</v>
      </c>
      <c r="F322" s="28">
        <v>0.85</v>
      </c>
      <c r="G322" s="29">
        <v>0.04</v>
      </c>
      <c r="H322" s="29">
        <v>-0.04</v>
      </c>
      <c r="I322" s="30" t="s">
        <v>39</v>
      </c>
      <c r="J322" s="12">
        <f t="shared" si="80"/>
        <v>0.89</v>
      </c>
      <c r="K322" s="12">
        <f t="shared" si="81"/>
        <v>0.80999999999999994</v>
      </c>
      <c r="L322" s="78"/>
      <c r="M322" s="78"/>
      <c r="N322" s="78"/>
      <c r="O322" s="36"/>
      <c r="P322" s="24" t="str">
        <f t="shared" si="69"/>
        <v xml:space="preserve"> </v>
      </c>
      <c r="Q322" s="25" t="str">
        <f t="shared" si="70"/>
        <v xml:space="preserve"> </v>
      </c>
      <c r="R322" s="25" t="str">
        <f t="shared" si="71"/>
        <v xml:space="preserve"> </v>
      </c>
      <c r="S322" s="26" t="str">
        <f t="shared" si="72"/>
        <v xml:space="preserve"> </v>
      </c>
      <c r="T322" s="7" t="str">
        <f t="shared" si="73"/>
        <v xml:space="preserve"> </v>
      </c>
      <c r="U322" s="8" t="str">
        <f t="shared" si="74"/>
        <v xml:space="preserve"> </v>
      </c>
      <c r="V322" s="9" t="str">
        <f t="shared" si="66"/>
        <v xml:space="preserve"> </v>
      </c>
      <c r="W322" s="9" t="str">
        <f t="shared" si="75"/>
        <v/>
      </c>
      <c r="X322" s="32"/>
      <c r="Y322" s="36"/>
    </row>
    <row r="323" spans="1:25" s="4" customFormat="1" ht="18" customHeight="1">
      <c r="A323" s="36"/>
      <c r="B323" s="69">
        <v>118.44</v>
      </c>
      <c r="C323" s="69" t="s">
        <v>615</v>
      </c>
      <c r="D323" s="31" t="s">
        <v>708</v>
      </c>
      <c r="E323" s="29" t="s">
        <v>34</v>
      </c>
      <c r="F323" s="28">
        <v>0.85</v>
      </c>
      <c r="G323" s="29">
        <v>0.04</v>
      </c>
      <c r="H323" s="29">
        <v>-0.04</v>
      </c>
      <c r="I323" s="30" t="s">
        <v>39</v>
      </c>
      <c r="J323" s="12">
        <f t="shared" si="80"/>
        <v>0.89</v>
      </c>
      <c r="K323" s="12">
        <f t="shared" si="81"/>
        <v>0.80999999999999994</v>
      </c>
      <c r="L323" s="78"/>
      <c r="M323" s="78"/>
      <c r="N323" s="78"/>
      <c r="O323" s="36"/>
      <c r="P323" s="24" t="str">
        <f t="shared" si="69"/>
        <v xml:space="preserve"> </v>
      </c>
      <c r="Q323" s="25" t="str">
        <f t="shared" si="70"/>
        <v xml:space="preserve"> </v>
      </c>
      <c r="R323" s="25" t="str">
        <f t="shared" si="71"/>
        <v xml:space="preserve"> </v>
      </c>
      <c r="S323" s="26" t="str">
        <f t="shared" si="72"/>
        <v xml:space="preserve"> </v>
      </c>
      <c r="T323" s="7" t="str">
        <f t="shared" si="73"/>
        <v xml:space="preserve"> </v>
      </c>
      <c r="U323" s="8" t="str">
        <f t="shared" si="74"/>
        <v xml:space="preserve"> </v>
      </c>
      <c r="V323" s="9" t="str">
        <f t="shared" si="66"/>
        <v xml:space="preserve"> </v>
      </c>
      <c r="W323" s="9" t="str">
        <f t="shared" si="75"/>
        <v/>
      </c>
      <c r="X323" s="32"/>
      <c r="Y323" s="36"/>
    </row>
    <row r="324" spans="1:25" s="4" customFormat="1" ht="18" customHeight="1">
      <c r="A324" s="36"/>
      <c r="B324" s="69">
        <v>118.45</v>
      </c>
      <c r="C324" s="69" t="s">
        <v>616</v>
      </c>
      <c r="D324" s="31" t="s">
        <v>708</v>
      </c>
      <c r="E324" s="29" t="s">
        <v>34</v>
      </c>
      <c r="F324" s="28">
        <v>0.85</v>
      </c>
      <c r="G324" s="29">
        <v>0.04</v>
      </c>
      <c r="H324" s="29">
        <v>-0.04</v>
      </c>
      <c r="I324" s="30" t="s">
        <v>39</v>
      </c>
      <c r="J324" s="12">
        <f t="shared" si="80"/>
        <v>0.89</v>
      </c>
      <c r="K324" s="12">
        <f t="shared" si="81"/>
        <v>0.80999999999999994</v>
      </c>
      <c r="L324" s="78"/>
      <c r="M324" s="78"/>
      <c r="N324" s="78"/>
      <c r="O324" s="36"/>
      <c r="P324" s="24" t="str">
        <f t="shared" si="69"/>
        <v xml:space="preserve"> </v>
      </c>
      <c r="Q324" s="25" t="str">
        <f t="shared" si="70"/>
        <v xml:space="preserve"> </v>
      </c>
      <c r="R324" s="25" t="str">
        <f t="shared" si="71"/>
        <v xml:space="preserve"> </v>
      </c>
      <c r="S324" s="26" t="str">
        <f t="shared" si="72"/>
        <v xml:space="preserve"> </v>
      </c>
      <c r="T324" s="7" t="str">
        <f t="shared" si="73"/>
        <v xml:space="preserve"> </v>
      </c>
      <c r="U324" s="8" t="str">
        <f t="shared" si="74"/>
        <v xml:space="preserve"> </v>
      </c>
      <c r="V324" s="9" t="str">
        <f t="shared" si="66"/>
        <v xml:space="preserve"> </v>
      </c>
      <c r="W324" s="9" t="str">
        <f t="shared" si="75"/>
        <v/>
      </c>
      <c r="X324" s="32"/>
      <c r="Y324" s="36"/>
    </row>
    <row r="325" spans="1:25" s="4" customFormat="1" ht="18" customHeight="1">
      <c r="A325" s="36"/>
      <c r="B325" s="69">
        <v>118.46</v>
      </c>
      <c r="C325" s="69" t="s">
        <v>617</v>
      </c>
      <c r="D325" s="31" t="s">
        <v>708</v>
      </c>
      <c r="E325" s="29" t="s">
        <v>34</v>
      </c>
      <c r="F325" s="28">
        <v>0.85</v>
      </c>
      <c r="G325" s="29">
        <v>0.04</v>
      </c>
      <c r="H325" s="29">
        <v>-0.04</v>
      </c>
      <c r="I325" s="30" t="s">
        <v>39</v>
      </c>
      <c r="J325" s="12">
        <f t="shared" si="80"/>
        <v>0.89</v>
      </c>
      <c r="K325" s="12">
        <f t="shared" si="81"/>
        <v>0.80999999999999994</v>
      </c>
      <c r="L325" s="78"/>
      <c r="M325" s="78"/>
      <c r="N325" s="78"/>
      <c r="O325" s="36"/>
      <c r="P325" s="24" t="str">
        <f t="shared" si="69"/>
        <v xml:space="preserve"> </v>
      </c>
      <c r="Q325" s="25" t="str">
        <f t="shared" si="70"/>
        <v xml:space="preserve"> </v>
      </c>
      <c r="R325" s="25" t="str">
        <f t="shared" si="71"/>
        <v xml:space="preserve"> </v>
      </c>
      <c r="S325" s="26" t="str">
        <f t="shared" si="72"/>
        <v xml:space="preserve"> </v>
      </c>
      <c r="T325" s="7" t="str">
        <f t="shared" si="73"/>
        <v xml:space="preserve"> </v>
      </c>
      <c r="U325" s="8" t="str">
        <f t="shared" si="74"/>
        <v xml:space="preserve"> </v>
      </c>
      <c r="V325" s="9" t="str">
        <f t="shared" si="66"/>
        <v xml:space="preserve"> </v>
      </c>
      <c r="W325" s="9" t="str">
        <f t="shared" si="75"/>
        <v/>
      </c>
      <c r="X325" s="32"/>
      <c r="Y325" s="36"/>
    </row>
    <row r="326" spans="1:25" s="4" customFormat="1" ht="18" customHeight="1">
      <c r="A326" s="36"/>
      <c r="B326" s="69">
        <v>118.47</v>
      </c>
      <c r="C326" s="69" t="s">
        <v>618</v>
      </c>
      <c r="D326" s="31" t="s">
        <v>708</v>
      </c>
      <c r="E326" s="29" t="s">
        <v>34</v>
      </c>
      <c r="F326" s="28">
        <v>0.85</v>
      </c>
      <c r="G326" s="29">
        <v>0.04</v>
      </c>
      <c r="H326" s="29">
        <v>-0.04</v>
      </c>
      <c r="I326" s="30" t="s">
        <v>39</v>
      </c>
      <c r="J326" s="12">
        <f t="shared" si="80"/>
        <v>0.89</v>
      </c>
      <c r="K326" s="12">
        <f t="shared" si="81"/>
        <v>0.80999999999999994</v>
      </c>
      <c r="L326" s="78"/>
      <c r="M326" s="78"/>
      <c r="N326" s="78"/>
      <c r="O326" s="36"/>
      <c r="P326" s="24" t="str">
        <f t="shared" si="69"/>
        <v xml:space="preserve"> </v>
      </c>
      <c r="Q326" s="25" t="str">
        <f t="shared" si="70"/>
        <v xml:space="preserve"> </v>
      </c>
      <c r="R326" s="25" t="str">
        <f t="shared" si="71"/>
        <v xml:space="preserve"> </v>
      </c>
      <c r="S326" s="26" t="str">
        <f t="shared" si="72"/>
        <v xml:space="preserve"> </v>
      </c>
      <c r="T326" s="7" t="str">
        <f t="shared" si="73"/>
        <v xml:space="preserve"> </v>
      </c>
      <c r="U326" s="8" t="str">
        <f t="shared" si="74"/>
        <v xml:space="preserve"> </v>
      </c>
      <c r="V326" s="9" t="str">
        <f t="shared" si="66"/>
        <v xml:space="preserve"> </v>
      </c>
      <c r="W326" s="9" t="str">
        <f t="shared" si="75"/>
        <v/>
      </c>
      <c r="X326" s="32"/>
      <c r="Y326" s="36"/>
    </row>
    <row r="327" spans="1:25" s="4" customFormat="1" ht="18" customHeight="1">
      <c r="A327" s="36"/>
      <c r="B327" s="69">
        <v>118.48</v>
      </c>
      <c r="C327" s="69" t="s">
        <v>619</v>
      </c>
      <c r="D327" s="31" t="s">
        <v>708</v>
      </c>
      <c r="E327" s="29" t="s">
        <v>34</v>
      </c>
      <c r="F327" s="28">
        <v>0.85</v>
      </c>
      <c r="G327" s="29">
        <v>0.04</v>
      </c>
      <c r="H327" s="29">
        <v>-0.04</v>
      </c>
      <c r="I327" s="30" t="s">
        <v>39</v>
      </c>
      <c r="J327" s="12">
        <f t="shared" si="80"/>
        <v>0.89</v>
      </c>
      <c r="K327" s="12">
        <f t="shared" si="81"/>
        <v>0.80999999999999994</v>
      </c>
      <c r="L327" s="78"/>
      <c r="M327" s="78"/>
      <c r="N327" s="78"/>
      <c r="O327" s="36"/>
      <c r="P327" s="24" t="str">
        <f t="shared" si="69"/>
        <v xml:space="preserve"> </v>
      </c>
      <c r="Q327" s="25" t="str">
        <f t="shared" si="70"/>
        <v xml:space="preserve"> </v>
      </c>
      <c r="R327" s="25" t="str">
        <f t="shared" si="71"/>
        <v xml:space="preserve"> </v>
      </c>
      <c r="S327" s="26" t="str">
        <f t="shared" si="72"/>
        <v xml:space="preserve"> </v>
      </c>
      <c r="T327" s="7" t="str">
        <f t="shared" si="73"/>
        <v xml:space="preserve"> </v>
      </c>
      <c r="U327" s="8" t="str">
        <f t="shared" si="74"/>
        <v xml:space="preserve"> </v>
      </c>
      <c r="V327" s="9" t="str">
        <f t="shared" si="66"/>
        <v xml:space="preserve"> </v>
      </c>
      <c r="W327" s="9" t="str">
        <f t="shared" si="75"/>
        <v/>
      </c>
      <c r="X327" s="32"/>
      <c r="Y327" s="36"/>
    </row>
    <row r="328" spans="1:25" s="4" customFormat="1" ht="18" customHeight="1">
      <c r="A328" s="36"/>
      <c r="B328" s="69">
        <v>118.49</v>
      </c>
      <c r="C328" s="69" t="s">
        <v>620</v>
      </c>
      <c r="D328" s="31" t="s">
        <v>708</v>
      </c>
      <c r="E328" s="29" t="s">
        <v>34</v>
      </c>
      <c r="F328" s="28">
        <v>0.85</v>
      </c>
      <c r="G328" s="29">
        <v>0.04</v>
      </c>
      <c r="H328" s="29">
        <v>-0.04</v>
      </c>
      <c r="I328" s="30" t="s">
        <v>39</v>
      </c>
      <c r="J328" s="12">
        <f t="shared" si="80"/>
        <v>0.89</v>
      </c>
      <c r="K328" s="12">
        <f t="shared" si="81"/>
        <v>0.80999999999999994</v>
      </c>
      <c r="L328" s="78"/>
      <c r="M328" s="78"/>
      <c r="N328" s="78"/>
      <c r="O328" s="36"/>
      <c r="P328" s="24" t="str">
        <f t="shared" si="69"/>
        <v xml:space="preserve"> </v>
      </c>
      <c r="Q328" s="25" t="str">
        <f t="shared" si="70"/>
        <v xml:space="preserve"> </v>
      </c>
      <c r="R328" s="25" t="str">
        <f t="shared" si="71"/>
        <v xml:space="preserve"> </v>
      </c>
      <c r="S328" s="26" t="str">
        <f t="shared" si="72"/>
        <v xml:space="preserve"> </v>
      </c>
      <c r="T328" s="7" t="str">
        <f t="shared" si="73"/>
        <v xml:space="preserve"> </v>
      </c>
      <c r="U328" s="8" t="str">
        <f t="shared" si="74"/>
        <v xml:space="preserve"> </v>
      </c>
      <c r="V328" s="9" t="str">
        <f t="shared" si="66"/>
        <v xml:space="preserve"> </v>
      </c>
      <c r="W328" s="9" t="str">
        <f t="shared" si="75"/>
        <v/>
      </c>
      <c r="X328" s="32"/>
      <c r="Y328" s="36"/>
    </row>
    <row r="329" spans="1:25" s="4" customFormat="1" ht="18" customHeight="1">
      <c r="A329" s="36"/>
      <c r="B329" s="69" t="s">
        <v>892</v>
      </c>
      <c r="C329" s="69" t="s">
        <v>621</v>
      </c>
      <c r="D329" s="31" t="s">
        <v>708</v>
      </c>
      <c r="E329" s="29" t="s">
        <v>34</v>
      </c>
      <c r="F329" s="28">
        <v>0.85</v>
      </c>
      <c r="G329" s="29">
        <v>0.04</v>
      </c>
      <c r="H329" s="29">
        <v>-0.04</v>
      </c>
      <c r="I329" s="30" t="s">
        <v>39</v>
      </c>
      <c r="J329" s="12">
        <f t="shared" si="80"/>
        <v>0.89</v>
      </c>
      <c r="K329" s="12">
        <f t="shared" si="81"/>
        <v>0.80999999999999994</v>
      </c>
      <c r="L329" s="78"/>
      <c r="M329" s="78"/>
      <c r="N329" s="78"/>
      <c r="O329" s="36"/>
      <c r="P329" s="24" t="str">
        <f t="shared" si="69"/>
        <v xml:space="preserve"> </v>
      </c>
      <c r="Q329" s="25" t="str">
        <f t="shared" si="70"/>
        <v xml:space="preserve"> </v>
      </c>
      <c r="R329" s="25" t="str">
        <f t="shared" si="71"/>
        <v xml:space="preserve"> </v>
      </c>
      <c r="S329" s="26" t="str">
        <f t="shared" si="72"/>
        <v xml:space="preserve"> </v>
      </c>
      <c r="T329" s="7" t="str">
        <f t="shared" si="73"/>
        <v xml:space="preserve"> </v>
      </c>
      <c r="U329" s="8" t="str">
        <f t="shared" si="74"/>
        <v xml:space="preserve"> </v>
      </c>
      <c r="V329" s="9" t="str">
        <f t="shared" si="66"/>
        <v xml:space="preserve"> </v>
      </c>
      <c r="W329" s="9" t="str">
        <f t="shared" si="75"/>
        <v/>
      </c>
      <c r="X329" s="32"/>
      <c r="Y329" s="36"/>
    </row>
    <row r="330" spans="1:25" s="4" customFormat="1" ht="18" customHeight="1">
      <c r="A330" s="36"/>
      <c r="B330" s="69">
        <v>118.51</v>
      </c>
      <c r="C330" s="69" t="s">
        <v>622</v>
      </c>
      <c r="D330" s="31" t="s">
        <v>708</v>
      </c>
      <c r="E330" s="29" t="s">
        <v>34</v>
      </c>
      <c r="F330" s="28">
        <v>0.85</v>
      </c>
      <c r="G330" s="29">
        <v>0.04</v>
      </c>
      <c r="H330" s="29">
        <v>-0.04</v>
      </c>
      <c r="I330" s="30" t="s">
        <v>39</v>
      </c>
      <c r="J330" s="12">
        <f t="shared" si="80"/>
        <v>0.89</v>
      </c>
      <c r="K330" s="12">
        <f t="shared" si="81"/>
        <v>0.80999999999999994</v>
      </c>
      <c r="L330" s="78"/>
      <c r="M330" s="78"/>
      <c r="N330" s="78"/>
      <c r="O330" s="36"/>
      <c r="P330" s="24" t="str">
        <f t="shared" si="69"/>
        <v xml:space="preserve"> </v>
      </c>
      <c r="Q330" s="25" t="str">
        <f t="shared" si="70"/>
        <v xml:space="preserve"> </v>
      </c>
      <c r="R330" s="25" t="str">
        <f t="shared" si="71"/>
        <v xml:space="preserve"> </v>
      </c>
      <c r="S330" s="26" t="str">
        <f t="shared" si="72"/>
        <v xml:space="preserve"> </v>
      </c>
      <c r="T330" s="7" t="str">
        <f t="shared" si="73"/>
        <v xml:space="preserve"> </v>
      </c>
      <c r="U330" s="8" t="str">
        <f t="shared" si="74"/>
        <v xml:space="preserve"> </v>
      </c>
      <c r="V330" s="9" t="str">
        <f t="shared" si="66"/>
        <v xml:space="preserve"> </v>
      </c>
      <c r="W330" s="9" t="str">
        <f t="shared" si="75"/>
        <v/>
      </c>
      <c r="X330" s="32"/>
      <c r="Y330" s="36"/>
    </row>
    <row r="331" spans="1:25" s="4" customFormat="1" ht="18" customHeight="1">
      <c r="A331" s="36"/>
      <c r="B331" s="69">
        <v>118.52</v>
      </c>
      <c r="C331" s="69" t="s">
        <v>623</v>
      </c>
      <c r="D331" s="31" t="s">
        <v>708</v>
      </c>
      <c r="E331" s="29" t="s">
        <v>34</v>
      </c>
      <c r="F331" s="28">
        <v>0.85</v>
      </c>
      <c r="G331" s="29">
        <v>0.04</v>
      </c>
      <c r="H331" s="29">
        <v>-0.04</v>
      </c>
      <c r="I331" s="30" t="s">
        <v>39</v>
      </c>
      <c r="J331" s="12">
        <f t="shared" si="80"/>
        <v>0.89</v>
      </c>
      <c r="K331" s="12">
        <f t="shared" si="81"/>
        <v>0.80999999999999994</v>
      </c>
      <c r="L331" s="78"/>
      <c r="M331" s="78"/>
      <c r="N331" s="78"/>
      <c r="O331" s="36"/>
      <c r="P331" s="24" t="str">
        <f t="shared" si="69"/>
        <v xml:space="preserve"> </v>
      </c>
      <c r="Q331" s="25" t="str">
        <f t="shared" si="70"/>
        <v xml:space="preserve"> </v>
      </c>
      <c r="R331" s="25" t="str">
        <f t="shared" si="71"/>
        <v xml:space="preserve"> </v>
      </c>
      <c r="S331" s="26" t="str">
        <f t="shared" si="72"/>
        <v xml:space="preserve"> </v>
      </c>
      <c r="T331" s="7" t="str">
        <f t="shared" si="73"/>
        <v xml:space="preserve"> </v>
      </c>
      <c r="U331" s="8" t="str">
        <f t="shared" si="74"/>
        <v xml:space="preserve"> </v>
      </c>
      <c r="V331" s="9" t="str">
        <f t="shared" si="66"/>
        <v xml:space="preserve"> </v>
      </c>
      <c r="W331" s="9" t="str">
        <f t="shared" si="75"/>
        <v/>
      </c>
      <c r="X331" s="32"/>
      <c r="Y331" s="36"/>
    </row>
    <row r="332" spans="1:25" s="4" customFormat="1" ht="18" customHeight="1">
      <c r="A332" s="36"/>
      <c r="B332" s="69">
        <v>118.53</v>
      </c>
      <c r="C332" s="69" t="s">
        <v>624</v>
      </c>
      <c r="D332" s="31" t="s">
        <v>708</v>
      </c>
      <c r="E332" s="29" t="s">
        <v>34</v>
      </c>
      <c r="F332" s="28">
        <v>0.85</v>
      </c>
      <c r="G332" s="29">
        <v>0.04</v>
      </c>
      <c r="H332" s="29">
        <v>-0.04</v>
      </c>
      <c r="I332" s="30" t="s">
        <v>39</v>
      </c>
      <c r="J332" s="12">
        <f t="shared" si="80"/>
        <v>0.89</v>
      </c>
      <c r="K332" s="12">
        <f t="shared" si="81"/>
        <v>0.80999999999999994</v>
      </c>
      <c r="L332" s="78"/>
      <c r="M332" s="78"/>
      <c r="N332" s="78"/>
      <c r="O332" s="36"/>
      <c r="P332" s="24" t="str">
        <f t="shared" si="69"/>
        <v xml:space="preserve"> </v>
      </c>
      <c r="Q332" s="25" t="str">
        <f t="shared" si="70"/>
        <v xml:space="preserve"> </v>
      </c>
      <c r="R332" s="25" t="str">
        <f t="shared" si="71"/>
        <v xml:space="preserve"> </v>
      </c>
      <c r="S332" s="26" t="str">
        <f t="shared" si="72"/>
        <v xml:space="preserve"> </v>
      </c>
      <c r="T332" s="7" t="str">
        <f t="shared" si="73"/>
        <v xml:space="preserve"> </v>
      </c>
      <c r="U332" s="8" t="str">
        <f t="shared" si="74"/>
        <v xml:space="preserve"> </v>
      </c>
      <c r="V332" s="9" t="str">
        <f t="shared" si="66"/>
        <v xml:space="preserve"> </v>
      </c>
      <c r="W332" s="9" t="str">
        <f t="shared" si="75"/>
        <v/>
      </c>
      <c r="X332" s="32"/>
      <c r="Y332" s="36"/>
    </row>
    <row r="333" spans="1:25" s="4" customFormat="1" ht="18" customHeight="1">
      <c r="A333" s="36"/>
      <c r="B333" s="69">
        <v>118.54</v>
      </c>
      <c r="C333" s="69" t="s">
        <v>625</v>
      </c>
      <c r="D333" s="31" t="s">
        <v>708</v>
      </c>
      <c r="E333" s="29" t="s">
        <v>34</v>
      </c>
      <c r="F333" s="28">
        <v>0.85</v>
      </c>
      <c r="G333" s="29">
        <v>0.04</v>
      </c>
      <c r="H333" s="29">
        <v>-0.04</v>
      </c>
      <c r="I333" s="30" t="s">
        <v>39</v>
      </c>
      <c r="J333" s="12">
        <f t="shared" si="80"/>
        <v>0.89</v>
      </c>
      <c r="K333" s="12">
        <f t="shared" si="81"/>
        <v>0.80999999999999994</v>
      </c>
      <c r="L333" s="78"/>
      <c r="M333" s="78"/>
      <c r="N333" s="78"/>
      <c r="O333" s="36"/>
      <c r="P333" s="24" t="str">
        <f t="shared" si="69"/>
        <v xml:space="preserve"> </v>
      </c>
      <c r="Q333" s="25" t="str">
        <f t="shared" si="70"/>
        <v xml:space="preserve"> </v>
      </c>
      <c r="R333" s="25" t="str">
        <f t="shared" si="71"/>
        <v xml:space="preserve"> </v>
      </c>
      <c r="S333" s="26" t="str">
        <f t="shared" si="72"/>
        <v xml:space="preserve"> </v>
      </c>
      <c r="T333" s="7" t="str">
        <f t="shared" si="73"/>
        <v xml:space="preserve"> </v>
      </c>
      <c r="U333" s="8" t="str">
        <f t="shared" si="74"/>
        <v xml:space="preserve"> </v>
      </c>
      <c r="V333" s="9" t="str">
        <f t="shared" si="66"/>
        <v xml:space="preserve"> </v>
      </c>
      <c r="W333" s="9" t="str">
        <f t="shared" si="75"/>
        <v/>
      </c>
      <c r="X333" s="32"/>
      <c r="Y333" s="36"/>
    </row>
    <row r="334" spans="1:25" s="4" customFormat="1" ht="18" customHeight="1">
      <c r="A334" s="36"/>
      <c r="B334" s="69">
        <v>118.55</v>
      </c>
      <c r="C334" s="69" t="s">
        <v>626</v>
      </c>
      <c r="D334" s="31" t="s">
        <v>708</v>
      </c>
      <c r="E334" s="29" t="s">
        <v>34</v>
      </c>
      <c r="F334" s="28">
        <v>0.85</v>
      </c>
      <c r="G334" s="29">
        <v>0.04</v>
      </c>
      <c r="H334" s="29">
        <v>-0.04</v>
      </c>
      <c r="I334" s="30" t="s">
        <v>39</v>
      </c>
      <c r="J334" s="12">
        <f t="shared" si="80"/>
        <v>0.89</v>
      </c>
      <c r="K334" s="12">
        <f t="shared" si="81"/>
        <v>0.80999999999999994</v>
      </c>
      <c r="L334" s="78"/>
      <c r="M334" s="78"/>
      <c r="N334" s="78"/>
      <c r="O334" s="36"/>
      <c r="P334" s="24" t="str">
        <f t="shared" si="69"/>
        <v xml:space="preserve"> </v>
      </c>
      <c r="Q334" s="25" t="str">
        <f t="shared" si="70"/>
        <v xml:space="preserve"> </v>
      </c>
      <c r="R334" s="25" t="str">
        <f t="shared" si="71"/>
        <v xml:space="preserve"> </v>
      </c>
      <c r="S334" s="26" t="str">
        <f t="shared" si="72"/>
        <v xml:space="preserve"> </v>
      </c>
      <c r="T334" s="7" t="str">
        <f t="shared" si="73"/>
        <v xml:space="preserve"> </v>
      </c>
      <c r="U334" s="8" t="str">
        <f t="shared" si="74"/>
        <v xml:space="preserve"> </v>
      </c>
      <c r="V334" s="9" t="str">
        <f t="shared" si="66"/>
        <v xml:space="preserve"> </v>
      </c>
      <c r="W334" s="9" t="str">
        <f t="shared" si="75"/>
        <v/>
      </c>
      <c r="X334" s="32"/>
      <c r="Y334" s="36"/>
    </row>
    <row r="335" spans="1:25" s="4" customFormat="1" ht="18" customHeight="1">
      <c r="A335" s="36"/>
      <c r="B335" s="69">
        <v>118.56</v>
      </c>
      <c r="C335" s="69" t="s">
        <v>627</v>
      </c>
      <c r="D335" s="31" t="s">
        <v>708</v>
      </c>
      <c r="E335" s="29" t="s">
        <v>34</v>
      </c>
      <c r="F335" s="28">
        <v>0.85</v>
      </c>
      <c r="G335" s="29">
        <v>0.04</v>
      </c>
      <c r="H335" s="29">
        <v>-0.04</v>
      </c>
      <c r="I335" s="30" t="s">
        <v>39</v>
      </c>
      <c r="J335" s="12">
        <f t="shared" si="80"/>
        <v>0.89</v>
      </c>
      <c r="K335" s="12">
        <f t="shared" si="81"/>
        <v>0.80999999999999994</v>
      </c>
      <c r="L335" s="78"/>
      <c r="M335" s="78"/>
      <c r="N335" s="78"/>
      <c r="O335" s="36"/>
      <c r="P335" s="24" t="str">
        <f t="shared" si="69"/>
        <v xml:space="preserve"> </v>
      </c>
      <c r="Q335" s="25" t="str">
        <f t="shared" si="70"/>
        <v xml:space="preserve"> </v>
      </c>
      <c r="R335" s="25" t="str">
        <f t="shared" si="71"/>
        <v xml:space="preserve"> </v>
      </c>
      <c r="S335" s="26" t="str">
        <f t="shared" si="72"/>
        <v xml:space="preserve"> </v>
      </c>
      <c r="T335" s="7" t="str">
        <f t="shared" si="73"/>
        <v xml:space="preserve"> </v>
      </c>
      <c r="U335" s="8" t="str">
        <f t="shared" si="74"/>
        <v xml:space="preserve"> </v>
      </c>
      <c r="V335" s="9" t="str">
        <f t="shared" si="66"/>
        <v xml:space="preserve"> </v>
      </c>
      <c r="W335" s="9" t="str">
        <f t="shared" si="75"/>
        <v/>
      </c>
      <c r="X335" s="32"/>
      <c r="Y335" s="36"/>
    </row>
    <row r="336" spans="1:25" s="4" customFormat="1" ht="18" customHeight="1">
      <c r="A336" s="36"/>
      <c r="B336" s="69">
        <v>118.57</v>
      </c>
      <c r="C336" s="69" t="s">
        <v>628</v>
      </c>
      <c r="D336" s="31" t="s">
        <v>708</v>
      </c>
      <c r="E336" s="29" t="s">
        <v>34</v>
      </c>
      <c r="F336" s="28">
        <v>0.85</v>
      </c>
      <c r="G336" s="29">
        <v>0.04</v>
      </c>
      <c r="H336" s="29">
        <v>-0.04</v>
      </c>
      <c r="I336" s="30" t="s">
        <v>39</v>
      </c>
      <c r="J336" s="12">
        <f t="shared" si="80"/>
        <v>0.89</v>
      </c>
      <c r="K336" s="12">
        <f t="shared" si="81"/>
        <v>0.80999999999999994</v>
      </c>
      <c r="L336" s="78"/>
      <c r="M336" s="78"/>
      <c r="N336" s="78"/>
      <c r="O336" s="36"/>
      <c r="P336" s="24" t="str">
        <f t="shared" si="69"/>
        <v xml:space="preserve"> </v>
      </c>
      <c r="Q336" s="25" t="str">
        <f t="shared" si="70"/>
        <v xml:space="preserve"> </v>
      </c>
      <c r="R336" s="25" t="str">
        <f t="shared" si="71"/>
        <v xml:space="preserve"> </v>
      </c>
      <c r="S336" s="26" t="str">
        <f t="shared" si="72"/>
        <v xml:space="preserve"> </v>
      </c>
      <c r="T336" s="7" t="str">
        <f t="shared" si="73"/>
        <v xml:space="preserve"> </v>
      </c>
      <c r="U336" s="8" t="str">
        <f t="shared" si="74"/>
        <v xml:space="preserve"> </v>
      </c>
      <c r="V336" s="9" t="str">
        <f t="shared" si="66"/>
        <v xml:space="preserve"> </v>
      </c>
      <c r="W336" s="9" t="str">
        <f t="shared" si="75"/>
        <v/>
      </c>
      <c r="X336" s="32"/>
      <c r="Y336" s="36"/>
    </row>
    <row r="337" spans="1:25" s="4" customFormat="1" ht="18" customHeight="1">
      <c r="A337" s="36"/>
      <c r="B337" s="69">
        <v>118.58</v>
      </c>
      <c r="C337" s="69" t="s">
        <v>629</v>
      </c>
      <c r="D337" s="31" t="s">
        <v>708</v>
      </c>
      <c r="E337" s="29" t="s">
        <v>34</v>
      </c>
      <c r="F337" s="28">
        <v>0.85</v>
      </c>
      <c r="G337" s="29">
        <v>0.04</v>
      </c>
      <c r="H337" s="29">
        <v>-0.04</v>
      </c>
      <c r="I337" s="30" t="s">
        <v>39</v>
      </c>
      <c r="J337" s="12">
        <f t="shared" si="80"/>
        <v>0.89</v>
      </c>
      <c r="K337" s="12">
        <f t="shared" si="81"/>
        <v>0.80999999999999994</v>
      </c>
      <c r="L337" s="78"/>
      <c r="M337" s="78"/>
      <c r="N337" s="78"/>
      <c r="O337" s="36"/>
      <c r="P337" s="24" t="str">
        <f t="shared" si="69"/>
        <v xml:space="preserve"> </v>
      </c>
      <c r="Q337" s="25" t="str">
        <f t="shared" si="70"/>
        <v xml:space="preserve"> </v>
      </c>
      <c r="R337" s="25" t="str">
        <f t="shared" si="71"/>
        <v xml:space="preserve"> </v>
      </c>
      <c r="S337" s="26" t="str">
        <f t="shared" si="72"/>
        <v xml:space="preserve"> </v>
      </c>
      <c r="T337" s="7" t="str">
        <f t="shared" si="73"/>
        <v xml:space="preserve"> </v>
      </c>
      <c r="U337" s="8" t="str">
        <f t="shared" si="74"/>
        <v xml:space="preserve"> </v>
      </c>
      <c r="V337" s="9" t="str">
        <f t="shared" si="66"/>
        <v xml:space="preserve"> </v>
      </c>
      <c r="W337" s="9" t="str">
        <f t="shared" si="75"/>
        <v/>
      </c>
      <c r="X337" s="32"/>
      <c r="Y337" s="36"/>
    </row>
    <row r="338" spans="1:25" s="4" customFormat="1" ht="18" customHeight="1">
      <c r="A338" s="36"/>
      <c r="B338" s="69">
        <v>118.59</v>
      </c>
      <c r="C338" s="69" t="s">
        <v>630</v>
      </c>
      <c r="D338" s="31" t="s">
        <v>708</v>
      </c>
      <c r="E338" s="29" t="s">
        <v>34</v>
      </c>
      <c r="F338" s="28">
        <v>0.85</v>
      </c>
      <c r="G338" s="29">
        <v>0.04</v>
      </c>
      <c r="H338" s="29">
        <v>-0.04</v>
      </c>
      <c r="I338" s="30" t="s">
        <v>39</v>
      </c>
      <c r="J338" s="12">
        <f t="shared" si="80"/>
        <v>0.89</v>
      </c>
      <c r="K338" s="12">
        <f t="shared" si="81"/>
        <v>0.80999999999999994</v>
      </c>
      <c r="L338" s="78"/>
      <c r="M338" s="78"/>
      <c r="N338" s="78"/>
      <c r="O338" s="36"/>
      <c r="P338" s="24" t="str">
        <f t="shared" si="69"/>
        <v xml:space="preserve"> </v>
      </c>
      <c r="Q338" s="25" t="str">
        <f t="shared" si="70"/>
        <v xml:space="preserve"> </v>
      </c>
      <c r="R338" s="25" t="str">
        <f t="shared" si="71"/>
        <v xml:space="preserve"> </v>
      </c>
      <c r="S338" s="26" t="str">
        <f t="shared" si="72"/>
        <v xml:space="preserve"> </v>
      </c>
      <c r="T338" s="7" t="str">
        <f t="shared" si="73"/>
        <v xml:space="preserve"> </v>
      </c>
      <c r="U338" s="8" t="str">
        <f t="shared" si="74"/>
        <v xml:space="preserve"> </v>
      </c>
      <c r="V338" s="9" t="str">
        <f t="shared" si="66"/>
        <v xml:space="preserve"> </v>
      </c>
      <c r="W338" s="9" t="str">
        <f t="shared" si="75"/>
        <v/>
      </c>
      <c r="X338" s="32"/>
      <c r="Y338" s="36"/>
    </row>
    <row r="339" spans="1:25" s="4" customFormat="1" ht="18" customHeight="1">
      <c r="A339" s="36"/>
      <c r="B339" s="69" t="s">
        <v>894</v>
      </c>
      <c r="C339" s="69" t="s">
        <v>631</v>
      </c>
      <c r="D339" s="31" t="s">
        <v>708</v>
      </c>
      <c r="E339" s="29" t="s">
        <v>34</v>
      </c>
      <c r="F339" s="28">
        <v>0.85</v>
      </c>
      <c r="G339" s="29">
        <v>0.04</v>
      </c>
      <c r="H339" s="29">
        <v>-0.04</v>
      </c>
      <c r="I339" s="30" t="s">
        <v>39</v>
      </c>
      <c r="J339" s="12">
        <f t="shared" si="80"/>
        <v>0.89</v>
      </c>
      <c r="K339" s="12">
        <f t="shared" si="81"/>
        <v>0.80999999999999994</v>
      </c>
      <c r="L339" s="78"/>
      <c r="M339" s="78"/>
      <c r="N339" s="78"/>
      <c r="O339" s="36"/>
      <c r="P339" s="24" t="str">
        <f t="shared" si="69"/>
        <v xml:space="preserve"> </v>
      </c>
      <c r="Q339" s="25" t="str">
        <f t="shared" si="70"/>
        <v xml:space="preserve"> </v>
      </c>
      <c r="R339" s="25" t="str">
        <f t="shared" si="71"/>
        <v xml:space="preserve"> </v>
      </c>
      <c r="S339" s="26" t="str">
        <f t="shared" si="72"/>
        <v xml:space="preserve"> </v>
      </c>
      <c r="T339" s="7" t="str">
        <f t="shared" si="73"/>
        <v xml:space="preserve"> </v>
      </c>
      <c r="U339" s="8" t="str">
        <f t="shared" si="74"/>
        <v xml:space="preserve"> </v>
      </c>
      <c r="V339" s="9" t="str">
        <f t="shared" si="66"/>
        <v xml:space="preserve"> </v>
      </c>
      <c r="W339" s="9" t="str">
        <f t="shared" si="75"/>
        <v/>
      </c>
      <c r="X339" s="32"/>
      <c r="Y339" s="36"/>
    </row>
    <row r="340" spans="1:25" s="4" customFormat="1" ht="18" customHeight="1">
      <c r="A340" s="36"/>
      <c r="B340" s="69">
        <v>118.61</v>
      </c>
      <c r="C340" s="69" t="s">
        <v>632</v>
      </c>
      <c r="D340" s="31" t="s">
        <v>708</v>
      </c>
      <c r="E340" s="29" t="s">
        <v>34</v>
      </c>
      <c r="F340" s="28">
        <v>0.85</v>
      </c>
      <c r="G340" s="29">
        <v>0.04</v>
      </c>
      <c r="H340" s="29">
        <v>-0.04</v>
      </c>
      <c r="I340" s="30" t="s">
        <v>39</v>
      </c>
      <c r="J340" s="12">
        <f t="shared" si="80"/>
        <v>0.89</v>
      </c>
      <c r="K340" s="12">
        <f t="shared" si="81"/>
        <v>0.80999999999999994</v>
      </c>
      <c r="L340" s="78"/>
      <c r="M340" s="78"/>
      <c r="N340" s="78"/>
      <c r="O340" s="36"/>
      <c r="P340" s="24" t="str">
        <f t="shared" si="69"/>
        <v xml:space="preserve"> </v>
      </c>
      <c r="Q340" s="25" t="str">
        <f t="shared" si="70"/>
        <v xml:space="preserve"> </v>
      </c>
      <c r="R340" s="25" t="str">
        <f t="shared" si="71"/>
        <v xml:space="preserve"> </v>
      </c>
      <c r="S340" s="26" t="str">
        <f t="shared" si="72"/>
        <v xml:space="preserve"> </v>
      </c>
      <c r="T340" s="7" t="str">
        <f t="shared" si="73"/>
        <v xml:space="preserve"> </v>
      </c>
      <c r="U340" s="8" t="str">
        <f t="shared" si="74"/>
        <v xml:space="preserve"> </v>
      </c>
      <c r="V340" s="9" t="str">
        <f t="shared" si="66"/>
        <v xml:space="preserve"> </v>
      </c>
      <c r="W340" s="9" t="str">
        <f t="shared" si="75"/>
        <v/>
      </c>
      <c r="X340" s="32"/>
      <c r="Y340" s="36"/>
    </row>
    <row r="341" spans="1:25" s="4" customFormat="1" ht="18" customHeight="1">
      <c r="A341" s="36"/>
      <c r="B341" s="69">
        <v>118.62</v>
      </c>
      <c r="C341" s="69" t="s">
        <v>633</v>
      </c>
      <c r="D341" s="31" t="s">
        <v>708</v>
      </c>
      <c r="E341" s="29" t="s">
        <v>34</v>
      </c>
      <c r="F341" s="28">
        <v>0.85</v>
      </c>
      <c r="G341" s="29">
        <v>0.04</v>
      </c>
      <c r="H341" s="29">
        <v>-0.04</v>
      </c>
      <c r="I341" s="30" t="s">
        <v>39</v>
      </c>
      <c r="J341" s="12">
        <f t="shared" si="80"/>
        <v>0.89</v>
      </c>
      <c r="K341" s="12">
        <f t="shared" si="81"/>
        <v>0.80999999999999994</v>
      </c>
      <c r="L341" s="78"/>
      <c r="M341" s="78"/>
      <c r="N341" s="78"/>
      <c r="O341" s="36"/>
      <c r="P341" s="24" t="str">
        <f t="shared" si="69"/>
        <v xml:space="preserve"> </v>
      </c>
      <c r="Q341" s="25" t="str">
        <f t="shared" si="70"/>
        <v xml:space="preserve"> </v>
      </c>
      <c r="R341" s="25" t="str">
        <f t="shared" si="71"/>
        <v xml:space="preserve"> </v>
      </c>
      <c r="S341" s="26" t="str">
        <f t="shared" si="72"/>
        <v xml:space="preserve"> </v>
      </c>
      <c r="T341" s="7" t="str">
        <f t="shared" si="73"/>
        <v xml:space="preserve"> </v>
      </c>
      <c r="U341" s="8" t="str">
        <f t="shared" si="74"/>
        <v xml:space="preserve"> </v>
      </c>
      <c r="V341" s="9" t="str">
        <f t="shared" si="66"/>
        <v xml:space="preserve"> </v>
      </c>
      <c r="W341" s="9" t="str">
        <f t="shared" si="75"/>
        <v/>
      </c>
      <c r="X341" s="32"/>
      <c r="Y341" s="36"/>
    </row>
    <row r="342" spans="1:25" s="4" customFormat="1" ht="18" customHeight="1">
      <c r="A342" s="36"/>
      <c r="B342" s="69">
        <v>118.63</v>
      </c>
      <c r="C342" s="69" t="s">
        <v>634</v>
      </c>
      <c r="D342" s="31" t="s">
        <v>708</v>
      </c>
      <c r="E342" s="29" t="s">
        <v>34</v>
      </c>
      <c r="F342" s="28">
        <v>0.85</v>
      </c>
      <c r="G342" s="29">
        <v>0.04</v>
      </c>
      <c r="H342" s="29">
        <v>-0.04</v>
      </c>
      <c r="I342" s="30" t="s">
        <v>39</v>
      </c>
      <c r="J342" s="12">
        <f t="shared" si="80"/>
        <v>0.89</v>
      </c>
      <c r="K342" s="12">
        <f t="shared" si="81"/>
        <v>0.80999999999999994</v>
      </c>
      <c r="L342" s="78"/>
      <c r="M342" s="78"/>
      <c r="N342" s="78"/>
      <c r="O342" s="36"/>
      <c r="P342" s="24" t="str">
        <f t="shared" si="69"/>
        <v xml:space="preserve"> </v>
      </c>
      <c r="Q342" s="25" t="str">
        <f t="shared" si="70"/>
        <v xml:space="preserve"> </v>
      </c>
      <c r="R342" s="25" t="str">
        <f t="shared" si="71"/>
        <v xml:space="preserve"> </v>
      </c>
      <c r="S342" s="26" t="str">
        <f t="shared" si="72"/>
        <v xml:space="preserve"> </v>
      </c>
      <c r="T342" s="7" t="str">
        <f t="shared" si="73"/>
        <v xml:space="preserve"> </v>
      </c>
      <c r="U342" s="8" t="str">
        <f t="shared" si="74"/>
        <v xml:space="preserve"> </v>
      </c>
      <c r="V342" s="9" t="str">
        <f t="shared" si="66"/>
        <v xml:space="preserve"> </v>
      </c>
      <c r="W342" s="9" t="str">
        <f t="shared" si="75"/>
        <v/>
      </c>
      <c r="X342" s="32"/>
      <c r="Y342" s="36"/>
    </row>
    <row r="343" spans="1:25" s="4" customFormat="1" ht="18" customHeight="1">
      <c r="A343" s="36"/>
      <c r="B343" s="69">
        <v>118.64</v>
      </c>
      <c r="C343" s="69" t="s">
        <v>635</v>
      </c>
      <c r="D343" s="31" t="s">
        <v>708</v>
      </c>
      <c r="E343" s="29" t="s">
        <v>34</v>
      </c>
      <c r="F343" s="28">
        <v>0.85</v>
      </c>
      <c r="G343" s="29">
        <v>0.04</v>
      </c>
      <c r="H343" s="29">
        <v>-0.04</v>
      </c>
      <c r="I343" s="30" t="s">
        <v>39</v>
      </c>
      <c r="J343" s="12">
        <f t="shared" si="80"/>
        <v>0.89</v>
      </c>
      <c r="K343" s="12">
        <f t="shared" si="81"/>
        <v>0.80999999999999994</v>
      </c>
      <c r="L343" s="78"/>
      <c r="M343" s="78"/>
      <c r="N343" s="78"/>
      <c r="O343" s="36"/>
      <c r="P343" s="24" t="str">
        <f t="shared" si="69"/>
        <v xml:space="preserve"> </v>
      </c>
      <c r="Q343" s="25" t="str">
        <f t="shared" si="70"/>
        <v xml:space="preserve"> </v>
      </c>
      <c r="R343" s="25" t="str">
        <f t="shared" si="71"/>
        <v xml:space="preserve"> </v>
      </c>
      <c r="S343" s="26" t="str">
        <f t="shared" si="72"/>
        <v xml:space="preserve"> </v>
      </c>
      <c r="T343" s="7" t="str">
        <f t="shared" si="73"/>
        <v xml:space="preserve"> </v>
      </c>
      <c r="U343" s="8" t="str">
        <f t="shared" si="74"/>
        <v xml:space="preserve"> </v>
      </c>
      <c r="V343" s="9" t="str">
        <f t="shared" si="66"/>
        <v xml:space="preserve"> </v>
      </c>
      <c r="W343" s="9" t="str">
        <f t="shared" si="75"/>
        <v/>
      </c>
      <c r="X343" s="32"/>
      <c r="Y343" s="36"/>
    </row>
    <row r="344" spans="1:25" s="4" customFormat="1" ht="18" customHeight="1">
      <c r="A344" s="36"/>
      <c r="B344" s="69">
        <v>118.65</v>
      </c>
      <c r="C344" s="69" t="s">
        <v>636</v>
      </c>
      <c r="D344" s="31" t="s">
        <v>708</v>
      </c>
      <c r="E344" s="29" t="s">
        <v>34</v>
      </c>
      <c r="F344" s="28">
        <v>0.85</v>
      </c>
      <c r="G344" s="29">
        <v>0.04</v>
      </c>
      <c r="H344" s="29">
        <v>-0.04</v>
      </c>
      <c r="I344" s="30" t="s">
        <v>39</v>
      </c>
      <c r="J344" s="12">
        <f t="shared" si="80"/>
        <v>0.89</v>
      </c>
      <c r="K344" s="12">
        <f t="shared" si="81"/>
        <v>0.80999999999999994</v>
      </c>
      <c r="L344" s="78"/>
      <c r="M344" s="78"/>
      <c r="N344" s="78"/>
      <c r="O344" s="36"/>
      <c r="P344" s="24" t="str">
        <f t="shared" si="69"/>
        <v xml:space="preserve"> </v>
      </c>
      <c r="Q344" s="25" t="str">
        <f t="shared" si="70"/>
        <v xml:space="preserve"> </v>
      </c>
      <c r="R344" s="25" t="str">
        <f t="shared" si="71"/>
        <v xml:space="preserve"> </v>
      </c>
      <c r="S344" s="26" t="str">
        <f t="shared" si="72"/>
        <v xml:space="preserve"> </v>
      </c>
      <c r="T344" s="7" t="str">
        <f t="shared" si="73"/>
        <v xml:space="preserve"> </v>
      </c>
      <c r="U344" s="8" t="str">
        <f t="shared" si="74"/>
        <v xml:space="preserve"> </v>
      </c>
      <c r="V344" s="9" t="str">
        <f t="shared" ref="V344:V396" si="82">IF(ISNUMBER($T344)=TRUE,IF($T344&gt;0.651,IF($T344&gt;1.001,"Reject","Alert")," ")," ")</f>
        <v xml:space="preserve"> </v>
      </c>
      <c r="W344" s="9" t="str">
        <f t="shared" si="75"/>
        <v/>
      </c>
      <c r="X344" s="32"/>
      <c r="Y344" s="36"/>
    </row>
    <row r="345" spans="1:25" s="4" customFormat="1" ht="18" customHeight="1">
      <c r="A345" s="36"/>
      <c r="B345" s="69">
        <v>118.66</v>
      </c>
      <c r="C345" s="69" t="s">
        <v>637</v>
      </c>
      <c r="D345" s="31" t="s">
        <v>708</v>
      </c>
      <c r="E345" s="29" t="s">
        <v>34</v>
      </c>
      <c r="F345" s="28">
        <v>0.85</v>
      </c>
      <c r="G345" s="29">
        <v>0.04</v>
      </c>
      <c r="H345" s="29">
        <v>-0.04</v>
      </c>
      <c r="I345" s="30" t="s">
        <v>39</v>
      </c>
      <c r="J345" s="12">
        <f t="shared" si="80"/>
        <v>0.89</v>
      </c>
      <c r="K345" s="12">
        <f t="shared" si="81"/>
        <v>0.80999999999999994</v>
      </c>
      <c r="L345" s="78"/>
      <c r="M345" s="78"/>
      <c r="N345" s="78"/>
      <c r="O345" s="36"/>
      <c r="P345" s="24" t="str">
        <f t="shared" si="69"/>
        <v xml:space="preserve"> </v>
      </c>
      <c r="Q345" s="25" t="str">
        <f t="shared" si="70"/>
        <v xml:space="preserve"> </v>
      </c>
      <c r="R345" s="25" t="str">
        <f t="shared" si="71"/>
        <v xml:space="preserve"> </v>
      </c>
      <c r="S345" s="26" t="str">
        <f t="shared" si="72"/>
        <v xml:space="preserve"> </v>
      </c>
      <c r="T345" s="7" t="str">
        <f t="shared" si="73"/>
        <v xml:space="preserve"> </v>
      </c>
      <c r="U345" s="8" t="str">
        <f t="shared" si="74"/>
        <v xml:space="preserve"> </v>
      </c>
      <c r="V345" s="9" t="str">
        <f t="shared" si="82"/>
        <v xml:space="preserve"> </v>
      </c>
      <c r="W345" s="9" t="str">
        <f t="shared" si="75"/>
        <v/>
      </c>
      <c r="X345" s="32"/>
      <c r="Y345" s="36"/>
    </row>
    <row r="346" spans="1:25" s="4" customFormat="1" ht="18" customHeight="1">
      <c r="A346" s="36"/>
      <c r="B346" s="69">
        <v>118.67</v>
      </c>
      <c r="C346" s="69" t="s">
        <v>638</v>
      </c>
      <c r="D346" s="31" t="s">
        <v>708</v>
      </c>
      <c r="E346" s="29" t="s">
        <v>34</v>
      </c>
      <c r="F346" s="28">
        <v>0.85</v>
      </c>
      <c r="G346" s="29">
        <v>0.04</v>
      </c>
      <c r="H346" s="29">
        <v>-0.04</v>
      </c>
      <c r="I346" s="30" t="s">
        <v>39</v>
      </c>
      <c r="J346" s="12">
        <f t="shared" si="80"/>
        <v>0.89</v>
      </c>
      <c r="K346" s="12">
        <f t="shared" si="81"/>
        <v>0.80999999999999994</v>
      </c>
      <c r="L346" s="78"/>
      <c r="M346" s="78"/>
      <c r="N346" s="78"/>
      <c r="O346" s="36"/>
      <c r="P346" s="24" t="str">
        <f t="shared" si="69"/>
        <v xml:space="preserve"> </v>
      </c>
      <c r="Q346" s="25" t="str">
        <f t="shared" si="70"/>
        <v xml:space="preserve"> </v>
      </c>
      <c r="R346" s="25" t="str">
        <f t="shared" si="71"/>
        <v xml:space="preserve"> </v>
      </c>
      <c r="S346" s="26" t="str">
        <f t="shared" si="72"/>
        <v xml:space="preserve"> </v>
      </c>
      <c r="T346" s="7" t="str">
        <f t="shared" si="73"/>
        <v xml:space="preserve"> </v>
      </c>
      <c r="U346" s="8" t="str">
        <f t="shared" si="74"/>
        <v xml:space="preserve"> </v>
      </c>
      <c r="V346" s="9" t="str">
        <f t="shared" si="82"/>
        <v xml:space="preserve"> </v>
      </c>
      <c r="W346" s="9" t="str">
        <f t="shared" si="75"/>
        <v/>
      </c>
      <c r="X346" s="32"/>
      <c r="Y346" s="36"/>
    </row>
    <row r="347" spans="1:25" s="4" customFormat="1" ht="18" customHeight="1">
      <c r="A347" s="36"/>
      <c r="B347" s="69">
        <v>118.68</v>
      </c>
      <c r="C347" s="69" t="s">
        <v>639</v>
      </c>
      <c r="D347" s="31" t="s">
        <v>708</v>
      </c>
      <c r="E347" s="29" t="s">
        <v>34</v>
      </c>
      <c r="F347" s="28">
        <v>0.85</v>
      </c>
      <c r="G347" s="29">
        <v>0.04</v>
      </c>
      <c r="H347" s="29">
        <v>-0.04</v>
      </c>
      <c r="I347" s="30" t="s">
        <v>39</v>
      </c>
      <c r="J347" s="12">
        <f t="shared" si="80"/>
        <v>0.89</v>
      </c>
      <c r="K347" s="12">
        <f t="shared" si="81"/>
        <v>0.80999999999999994</v>
      </c>
      <c r="L347" s="78"/>
      <c r="M347" s="78"/>
      <c r="N347" s="78"/>
      <c r="O347" s="36"/>
      <c r="P347" s="24" t="str">
        <f t="shared" si="69"/>
        <v xml:space="preserve"> </v>
      </c>
      <c r="Q347" s="25" t="str">
        <f t="shared" si="70"/>
        <v xml:space="preserve"> </v>
      </c>
      <c r="R347" s="25" t="str">
        <f t="shared" si="71"/>
        <v xml:space="preserve"> </v>
      </c>
      <c r="S347" s="26" t="str">
        <f t="shared" si="72"/>
        <v xml:space="preserve"> </v>
      </c>
      <c r="T347" s="7" t="str">
        <f t="shared" si="73"/>
        <v xml:space="preserve"> </v>
      </c>
      <c r="U347" s="8" t="str">
        <f t="shared" si="74"/>
        <v xml:space="preserve"> </v>
      </c>
      <c r="V347" s="9" t="str">
        <f t="shared" si="82"/>
        <v xml:space="preserve"> </v>
      </c>
      <c r="W347" s="9" t="str">
        <f t="shared" si="75"/>
        <v/>
      </c>
      <c r="X347" s="32"/>
      <c r="Y347" s="36"/>
    </row>
    <row r="348" spans="1:25" s="4" customFormat="1" ht="18" customHeight="1">
      <c r="A348" s="36"/>
      <c r="B348" s="69">
        <v>118.689999999999</v>
      </c>
      <c r="C348" s="69" t="s">
        <v>640</v>
      </c>
      <c r="D348" s="31" t="s">
        <v>708</v>
      </c>
      <c r="E348" s="29" t="s">
        <v>34</v>
      </c>
      <c r="F348" s="28">
        <v>0.85</v>
      </c>
      <c r="G348" s="29">
        <v>0.04</v>
      </c>
      <c r="H348" s="29">
        <v>-0.04</v>
      </c>
      <c r="I348" s="30" t="s">
        <v>39</v>
      </c>
      <c r="J348" s="12">
        <f t="shared" si="80"/>
        <v>0.89</v>
      </c>
      <c r="K348" s="12">
        <f t="shared" si="81"/>
        <v>0.80999999999999994</v>
      </c>
      <c r="L348" s="78"/>
      <c r="M348" s="78"/>
      <c r="N348" s="78"/>
      <c r="O348" s="36"/>
      <c r="P348" s="24" t="str">
        <f t="shared" si="69"/>
        <v xml:space="preserve"> </v>
      </c>
      <c r="Q348" s="25" t="str">
        <f t="shared" si="70"/>
        <v xml:space="preserve"> </v>
      </c>
      <c r="R348" s="25" t="str">
        <f t="shared" si="71"/>
        <v xml:space="preserve"> </v>
      </c>
      <c r="S348" s="26" t="str">
        <f t="shared" si="72"/>
        <v xml:space="preserve"> </v>
      </c>
      <c r="T348" s="7" t="str">
        <f t="shared" si="73"/>
        <v xml:space="preserve"> </v>
      </c>
      <c r="U348" s="8" t="str">
        <f t="shared" si="74"/>
        <v xml:space="preserve"> </v>
      </c>
      <c r="V348" s="9" t="str">
        <f t="shared" si="82"/>
        <v xml:space="preserve"> </v>
      </c>
      <c r="W348" s="9" t="str">
        <f t="shared" si="75"/>
        <v/>
      </c>
      <c r="X348" s="32"/>
      <c r="Y348" s="36"/>
    </row>
    <row r="349" spans="1:25" s="4" customFormat="1" ht="18" customHeight="1">
      <c r="A349" s="36"/>
      <c r="B349" s="69" t="s">
        <v>895</v>
      </c>
      <c r="C349" s="69" t="s">
        <v>641</v>
      </c>
      <c r="D349" s="31" t="s">
        <v>708</v>
      </c>
      <c r="E349" s="29" t="s">
        <v>34</v>
      </c>
      <c r="F349" s="28">
        <v>0.85</v>
      </c>
      <c r="G349" s="29">
        <v>0.04</v>
      </c>
      <c r="H349" s="29">
        <v>-0.04</v>
      </c>
      <c r="I349" s="30" t="s">
        <v>39</v>
      </c>
      <c r="J349" s="12">
        <f t="shared" si="80"/>
        <v>0.89</v>
      </c>
      <c r="K349" s="12">
        <f t="shared" si="81"/>
        <v>0.80999999999999994</v>
      </c>
      <c r="L349" s="78"/>
      <c r="M349" s="78"/>
      <c r="N349" s="78"/>
      <c r="O349" s="36"/>
      <c r="P349" s="24" t="str">
        <f t="shared" si="69"/>
        <v xml:space="preserve"> </v>
      </c>
      <c r="Q349" s="25" t="str">
        <f t="shared" si="70"/>
        <v xml:space="preserve"> </v>
      </c>
      <c r="R349" s="25" t="str">
        <f t="shared" si="71"/>
        <v xml:space="preserve"> </v>
      </c>
      <c r="S349" s="26" t="str">
        <f t="shared" si="72"/>
        <v xml:space="preserve"> </v>
      </c>
      <c r="T349" s="7" t="str">
        <f t="shared" si="73"/>
        <v xml:space="preserve"> </v>
      </c>
      <c r="U349" s="8" t="str">
        <f t="shared" si="74"/>
        <v xml:space="preserve"> </v>
      </c>
      <c r="V349" s="9" t="str">
        <f t="shared" si="82"/>
        <v xml:space="preserve"> </v>
      </c>
      <c r="W349" s="9" t="str">
        <f t="shared" si="75"/>
        <v/>
      </c>
      <c r="X349" s="32"/>
      <c r="Y349" s="36"/>
    </row>
    <row r="350" spans="1:25" s="4" customFormat="1" ht="18" customHeight="1">
      <c r="A350" s="36"/>
      <c r="B350" s="69" t="s">
        <v>896</v>
      </c>
      <c r="C350" s="69" t="s">
        <v>642</v>
      </c>
      <c r="D350" s="31" t="s">
        <v>708</v>
      </c>
      <c r="E350" s="29" t="s">
        <v>34</v>
      </c>
      <c r="F350" s="28">
        <v>0.85</v>
      </c>
      <c r="G350" s="29">
        <v>0.04</v>
      </c>
      <c r="H350" s="29">
        <v>-0.04</v>
      </c>
      <c r="I350" s="30" t="s">
        <v>39</v>
      </c>
      <c r="J350" s="12">
        <f t="shared" si="80"/>
        <v>0.89</v>
      </c>
      <c r="K350" s="12">
        <f t="shared" si="81"/>
        <v>0.80999999999999994</v>
      </c>
      <c r="L350" s="78"/>
      <c r="M350" s="78"/>
      <c r="N350" s="78"/>
      <c r="O350" s="36"/>
      <c r="P350" s="24" t="str">
        <f t="shared" si="69"/>
        <v xml:space="preserve"> </v>
      </c>
      <c r="Q350" s="25" t="str">
        <f t="shared" si="70"/>
        <v xml:space="preserve"> </v>
      </c>
      <c r="R350" s="25" t="str">
        <f t="shared" si="71"/>
        <v xml:space="preserve"> </v>
      </c>
      <c r="S350" s="26" t="str">
        <f t="shared" si="72"/>
        <v xml:space="preserve"> </v>
      </c>
      <c r="T350" s="7" t="str">
        <f t="shared" si="73"/>
        <v xml:space="preserve"> </v>
      </c>
      <c r="U350" s="8" t="str">
        <f t="shared" si="74"/>
        <v xml:space="preserve"> </v>
      </c>
      <c r="V350" s="9" t="str">
        <f t="shared" si="82"/>
        <v xml:space="preserve"> </v>
      </c>
      <c r="W350" s="9" t="str">
        <f t="shared" si="75"/>
        <v/>
      </c>
      <c r="X350" s="32"/>
      <c r="Y350" s="36"/>
    </row>
    <row r="351" spans="1:25" s="4" customFormat="1" ht="18" customHeight="1">
      <c r="A351" s="36"/>
      <c r="B351" s="69" t="s">
        <v>897</v>
      </c>
      <c r="C351" s="69" t="s">
        <v>643</v>
      </c>
      <c r="D351" s="31" t="s">
        <v>708</v>
      </c>
      <c r="E351" s="29" t="s">
        <v>34</v>
      </c>
      <c r="F351" s="28">
        <v>0.85</v>
      </c>
      <c r="G351" s="29">
        <v>0.04</v>
      </c>
      <c r="H351" s="29">
        <v>-0.04</v>
      </c>
      <c r="I351" s="30" t="s">
        <v>39</v>
      </c>
      <c r="J351" s="12">
        <f t="shared" si="80"/>
        <v>0.89</v>
      </c>
      <c r="K351" s="12">
        <f t="shared" si="81"/>
        <v>0.80999999999999994</v>
      </c>
      <c r="L351" s="78"/>
      <c r="M351" s="78"/>
      <c r="N351" s="78"/>
      <c r="O351" s="36"/>
      <c r="P351" s="24" t="str">
        <f t="shared" si="69"/>
        <v xml:space="preserve"> </v>
      </c>
      <c r="Q351" s="25" t="str">
        <f t="shared" si="70"/>
        <v xml:space="preserve"> </v>
      </c>
      <c r="R351" s="25" t="str">
        <f t="shared" si="71"/>
        <v xml:space="preserve"> </v>
      </c>
      <c r="S351" s="26" t="str">
        <f t="shared" si="72"/>
        <v xml:space="preserve"> </v>
      </c>
      <c r="T351" s="7" t="str">
        <f t="shared" si="73"/>
        <v xml:space="preserve"> </v>
      </c>
      <c r="U351" s="8" t="str">
        <f t="shared" si="74"/>
        <v xml:space="preserve"> </v>
      </c>
      <c r="V351" s="9" t="str">
        <f t="shared" si="82"/>
        <v xml:space="preserve"> </v>
      </c>
      <c r="W351" s="9" t="str">
        <f t="shared" si="75"/>
        <v/>
      </c>
      <c r="X351" s="32"/>
      <c r="Y351" s="36"/>
    </row>
    <row r="352" spans="1:25" s="4" customFormat="1" ht="18" customHeight="1">
      <c r="A352" s="36"/>
      <c r="B352" s="69" t="s">
        <v>898</v>
      </c>
      <c r="C352" s="69" t="s">
        <v>644</v>
      </c>
      <c r="D352" s="31" t="s">
        <v>708</v>
      </c>
      <c r="E352" s="29" t="s">
        <v>34</v>
      </c>
      <c r="F352" s="28">
        <v>0.85</v>
      </c>
      <c r="G352" s="29">
        <v>0.04</v>
      </c>
      <c r="H352" s="29">
        <v>-0.04</v>
      </c>
      <c r="I352" s="30" t="s">
        <v>39</v>
      </c>
      <c r="J352" s="12">
        <f t="shared" si="80"/>
        <v>0.89</v>
      </c>
      <c r="K352" s="12">
        <f t="shared" si="81"/>
        <v>0.80999999999999994</v>
      </c>
      <c r="L352" s="78"/>
      <c r="M352" s="78"/>
      <c r="N352" s="78"/>
      <c r="O352" s="36"/>
      <c r="P352" s="24" t="str">
        <f t="shared" si="69"/>
        <v xml:space="preserve"> </v>
      </c>
      <c r="Q352" s="25" t="str">
        <f t="shared" si="70"/>
        <v xml:space="preserve"> </v>
      </c>
      <c r="R352" s="25" t="str">
        <f t="shared" si="71"/>
        <v xml:space="preserve"> </v>
      </c>
      <c r="S352" s="26" t="str">
        <f t="shared" si="72"/>
        <v xml:space="preserve"> </v>
      </c>
      <c r="T352" s="7" t="str">
        <f t="shared" si="73"/>
        <v xml:space="preserve"> </v>
      </c>
      <c r="U352" s="8" t="str">
        <f t="shared" si="74"/>
        <v xml:space="preserve"> </v>
      </c>
      <c r="V352" s="9" t="str">
        <f t="shared" si="82"/>
        <v xml:space="preserve"> </v>
      </c>
      <c r="W352" s="9" t="str">
        <f t="shared" si="75"/>
        <v/>
      </c>
      <c r="X352" s="32"/>
      <c r="Y352" s="36"/>
    </row>
    <row r="353" spans="1:25" s="4" customFormat="1" ht="18" customHeight="1">
      <c r="A353" s="36"/>
      <c r="B353" s="69" t="s">
        <v>899</v>
      </c>
      <c r="C353" s="69" t="s">
        <v>645</v>
      </c>
      <c r="D353" s="31" t="s">
        <v>708</v>
      </c>
      <c r="E353" s="29" t="s">
        <v>34</v>
      </c>
      <c r="F353" s="28">
        <v>0.85</v>
      </c>
      <c r="G353" s="29">
        <v>0.04</v>
      </c>
      <c r="H353" s="29">
        <v>-0.04</v>
      </c>
      <c r="I353" s="30" t="s">
        <v>39</v>
      </c>
      <c r="J353" s="12">
        <f t="shared" si="80"/>
        <v>0.89</v>
      </c>
      <c r="K353" s="12">
        <f t="shared" si="81"/>
        <v>0.80999999999999994</v>
      </c>
      <c r="L353" s="78"/>
      <c r="M353" s="78"/>
      <c r="N353" s="78"/>
      <c r="O353" s="36"/>
      <c r="P353" s="24" t="str">
        <f t="shared" si="69"/>
        <v xml:space="preserve"> </v>
      </c>
      <c r="Q353" s="25" t="str">
        <f t="shared" si="70"/>
        <v xml:space="preserve"> </v>
      </c>
      <c r="R353" s="25" t="str">
        <f t="shared" si="71"/>
        <v xml:space="preserve"> </v>
      </c>
      <c r="S353" s="26" t="str">
        <f t="shared" si="72"/>
        <v xml:space="preserve"> </v>
      </c>
      <c r="T353" s="7" t="str">
        <f t="shared" si="73"/>
        <v xml:space="preserve"> </v>
      </c>
      <c r="U353" s="8" t="str">
        <f t="shared" si="74"/>
        <v xml:space="preserve"> </v>
      </c>
      <c r="V353" s="9" t="str">
        <f t="shared" si="82"/>
        <v xml:space="preserve"> </v>
      </c>
      <c r="W353" s="9" t="str">
        <f t="shared" si="75"/>
        <v/>
      </c>
      <c r="X353" s="32"/>
      <c r="Y353" s="36"/>
    </row>
    <row r="354" spans="1:25" s="4" customFormat="1" ht="18" customHeight="1">
      <c r="A354" s="36"/>
      <c r="B354" s="69" t="s">
        <v>900</v>
      </c>
      <c r="C354" s="69" t="s">
        <v>646</v>
      </c>
      <c r="D354" s="31" t="s">
        <v>708</v>
      </c>
      <c r="E354" s="29" t="s">
        <v>34</v>
      </c>
      <c r="F354" s="28">
        <v>0.85</v>
      </c>
      <c r="G354" s="29">
        <v>0.04</v>
      </c>
      <c r="H354" s="29">
        <v>-0.04</v>
      </c>
      <c r="I354" s="30" t="s">
        <v>39</v>
      </c>
      <c r="J354" s="12">
        <f t="shared" si="80"/>
        <v>0.89</v>
      </c>
      <c r="K354" s="12">
        <f t="shared" si="81"/>
        <v>0.80999999999999994</v>
      </c>
      <c r="L354" s="78"/>
      <c r="M354" s="78"/>
      <c r="N354" s="78"/>
      <c r="O354" s="36"/>
      <c r="P354" s="24" t="str">
        <f t="shared" si="69"/>
        <v xml:space="preserve"> </v>
      </c>
      <c r="Q354" s="25" t="str">
        <f t="shared" si="70"/>
        <v xml:space="preserve"> </v>
      </c>
      <c r="R354" s="25" t="str">
        <f t="shared" si="71"/>
        <v xml:space="preserve"> </v>
      </c>
      <c r="S354" s="26" t="str">
        <f t="shared" si="72"/>
        <v xml:space="preserve"> </v>
      </c>
      <c r="T354" s="7" t="str">
        <f t="shared" si="73"/>
        <v xml:space="preserve"> </v>
      </c>
      <c r="U354" s="8" t="str">
        <f t="shared" si="74"/>
        <v xml:space="preserve"> </v>
      </c>
      <c r="V354" s="9" t="str">
        <f t="shared" si="82"/>
        <v xml:space="preserve"> </v>
      </c>
      <c r="W354" s="9" t="str">
        <f t="shared" si="75"/>
        <v/>
      </c>
      <c r="X354" s="32"/>
      <c r="Y354" s="36"/>
    </row>
    <row r="355" spans="1:25" s="4" customFormat="1" ht="18" customHeight="1">
      <c r="A355" s="36"/>
      <c r="B355" s="69" t="s">
        <v>901</v>
      </c>
      <c r="C355" s="69" t="s">
        <v>647</v>
      </c>
      <c r="D355" s="31" t="s">
        <v>708</v>
      </c>
      <c r="E355" s="29" t="s">
        <v>34</v>
      </c>
      <c r="F355" s="28">
        <v>0.85</v>
      </c>
      <c r="G355" s="29">
        <v>0.04</v>
      </c>
      <c r="H355" s="29">
        <v>-0.04</v>
      </c>
      <c r="I355" s="30" t="s">
        <v>39</v>
      </c>
      <c r="J355" s="12">
        <f t="shared" si="80"/>
        <v>0.89</v>
      </c>
      <c r="K355" s="12">
        <f t="shared" si="81"/>
        <v>0.80999999999999994</v>
      </c>
      <c r="L355" s="78"/>
      <c r="M355" s="78"/>
      <c r="N355" s="78"/>
      <c r="O355" s="36"/>
      <c r="P355" s="24" t="str">
        <f t="shared" si="69"/>
        <v xml:space="preserve"> </v>
      </c>
      <c r="Q355" s="25" t="str">
        <f t="shared" si="70"/>
        <v xml:space="preserve"> </v>
      </c>
      <c r="R355" s="25" t="str">
        <f t="shared" si="71"/>
        <v xml:space="preserve"> </v>
      </c>
      <c r="S355" s="26" t="str">
        <f t="shared" si="72"/>
        <v xml:space="preserve"> </v>
      </c>
      <c r="T355" s="7" t="str">
        <f t="shared" si="73"/>
        <v xml:space="preserve"> </v>
      </c>
      <c r="U355" s="8" t="str">
        <f t="shared" si="74"/>
        <v xml:space="preserve"> </v>
      </c>
      <c r="V355" s="9" t="str">
        <f t="shared" si="82"/>
        <v xml:space="preserve"> </v>
      </c>
      <c r="W355" s="9" t="str">
        <f t="shared" si="75"/>
        <v/>
      </c>
      <c r="X355" s="32"/>
      <c r="Y355" s="36"/>
    </row>
    <row r="356" spans="1:25" s="4" customFormat="1" ht="18" customHeight="1">
      <c r="A356" s="36"/>
      <c r="B356" s="69" t="s">
        <v>902</v>
      </c>
      <c r="C356" s="69" t="s">
        <v>648</v>
      </c>
      <c r="D356" s="31" t="s">
        <v>708</v>
      </c>
      <c r="E356" s="29" t="s">
        <v>34</v>
      </c>
      <c r="F356" s="28">
        <v>0.85</v>
      </c>
      <c r="G356" s="29">
        <v>0.04</v>
      </c>
      <c r="H356" s="29">
        <v>-0.04</v>
      </c>
      <c r="I356" s="30" t="s">
        <v>39</v>
      </c>
      <c r="J356" s="12">
        <f t="shared" si="80"/>
        <v>0.89</v>
      </c>
      <c r="K356" s="12">
        <f t="shared" si="81"/>
        <v>0.80999999999999994</v>
      </c>
      <c r="L356" s="78"/>
      <c r="M356" s="78"/>
      <c r="N356" s="78"/>
      <c r="O356" s="36"/>
      <c r="P356" s="24" t="str">
        <f t="shared" si="69"/>
        <v xml:space="preserve"> </v>
      </c>
      <c r="Q356" s="25" t="str">
        <f t="shared" si="70"/>
        <v xml:space="preserve"> </v>
      </c>
      <c r="R356" s="25" t="str">
        <f t="shared" si="71"/>
        <v xml:space="preserve"> </v>
      </c>
      <c r="S356" s="26" t="str">
        <f t="shared" si="72"/>
        <v xml:space="preserve"> </v>
      </c>
      <c r="T356" s="7" t="str">
        <f t="shared" si="73"/>
        <v xml:space="preserve"> </v>
      </c>
      <c r="U356" s="8" t="str">
        <f t="shared" si="74"/>
        <v xml:space="preserve"> </v>
      </c>
      <c r="V356" s="9" t="str">
        <f t="shared" si="82"/>
        <v xml:space="preserve"> </v>
      </c>
      <c r="W356" s="9" t="str">
        <f t="shared" si="75"/>
        <v/>
      </c>
      <c r="X356" s="32"/>
      <c r="Y356" s="36"/>
    </row>
    <row r="357" spans="1:25" s="4" customFormat="1" ht="18" customHeight="1">
      <c r="A357" s="36"/>
      <c r="B357" s="69" t="s">
        <v>903</v>
      </c>
      <c r="C357" s="69" t="s">
        <v>649</v>
      </c>
      <c r="D357" s="31" t="s">
        <v>708</v>
      </c>
      <c r="E357" s="29" t="s">
        <v>34</v>
      </c>
      <c r="F357" s="28">
        <v>0.85</v>
      </c>
      <c r="G357" s="29">
        <v>0.04</v>
      </c>
      <c r="H357" s="29">
        <v>-0.04</v>
      </c>
      <c r="I357" s="30" t="s">
        <v>39</v>
      </c>
      <c r="J357" s="12">
        <f t="shared" si="80"/>
        <v>0.89</v>
      </c>
      <c r="K357" s="12">
        <f t="shared" si="81"/>
        <v>0.80999999999999994</v>
      </c>
      <c r="L357" s="78"/>
      <c r="M357" s="78"/>
      <c r="N357" s="78"/>
      <c r="O357" s="36"/>
      <c r="P357" s="24" t="str">
        <f t="shared" si="69"/>
        <v xml:space="preserve"> </v>
      </c>
      <c r="Q357" s="25" t="str">
        <f t="shared" si="70"/>
        <v xml:space="preserve"> </v>
      </c>
      <c r="R357" s="25" t="str">
        <f t="shared" si="71"/>
        <v xml:space="preserve"> </v>
      </c>
      <c r="S357" s="26" t="str">
        <f t="shared" si="72"/>
        <v xml:space="preserve"> </v>
      </c>
      <c r="T357" s="7" t="str">
        <f t="shared" si="73"/>
        <v xml:space="preserve"> </v>
      </c>
      <c r="U357" s="8" t="str">
        <f t="shared" si="74"/>
        <v xml:space="preserve"> </v>
      </c>
      <c r="V357" s="9" t="str">
        <f t="shared" si="82"/>
        <v xml:space="preserve"> </v>
      </c>
      <c r="W357" s="9" t="str">
        <f t="shared" si="75"/>
        <v/>
      </c>
      <c r="X357" s="32"/>
      <c r="Y357" s="36"/>
    </row>
    <row r="358" spans="1:25" s="4" customFormat="1" ht="18" customHeight="1">
      <c r="A358" s="36"/>
      <c r="B358" s="69" t="s">
        <v>904</v>
      </c>
      <c r="C358" s="69" t="s">
        <v>650</v>
      </c>
      <c r="D358" s="31" t="s">
        <v>708</v>
      </c>
      <c r="E358" s="29" t="s">
        <v>34</v>
      </c>
      <c r="F358" s="28">
        <v>0.85</v>
      </c>
      <c r="G358" s="29">
        <v>0.04</v>
      </c>
      <c r="H358" s="29">
        <v>-0.04</v>
      </c>
      <c r="I358" s="30" t="s">
        <v>39</v>
      </c>
      <c r="J358" s="12">
        <f t="shared" ref="J358:J421" si="83">IF(AND(F358="",G358=""),"",IF(F358="",G358,F358+G358))</f>
        <v>0.89</v>
      </c>
      <c r="K358" s="12">
        <f t="shared" ref="K358:K421" si="84">IF(AND(F358="",H358=""),"",IF(F358="",H358,F358+H358))</f>
        <v>0.80999999999999994</v>
      </c>
      <c r="L358" s="78"/>
      <c r="M358" s="78"/>
      <c r="N358" s="78"/>
      <c r="O358" s="36"/>
      <c r="P358" s="24" t="str">
        <f t="shared" si="69"/>
        <v xml:space="preserve"> </v>
      </c>
      <c r="Q358" s="25" t="str">
        <f t="shared" si="70"/>
        <v xml:space="preserve"> </v>
      </c>
      <c r="R358" s="25" t="str">
        <f t="shared" si="71"/>
        <v xml:space="preserve"> </v>
      </c>
      <c r="S358" s="26" t="str">
        <f t="shared" si="72"/>
        <v xml:space="preserve"> </v>
      </c>
      <c r="T358" s="7" t="str">
        <f t="shared" si="73"/>
        <v xml:space="preserve"> </v>
      </c>
      <c r="U358" s="8" t="str">
        <f t="shared" si="74"/>
        <v xml:space="preserve"> </v>
      </c>
      <c r="V358" s="9" t="str">
        <f t="shared" si="82"/>
        <v xml:space="preserve"> </v>
      </c>
      <c r="W358" s="9" t="str">
        <f t="shared" si="75"/>
        <v/>
      </c>
      <c r="X358" s="32"/>
      <c r="Y358" s="36"/>
    </row>
    <row r="359" spans="1:25" s="4" customFormat="1" ht="18" customHeight="1">
      <c r="A359" s="36"/>
      <c r="B359" s="69" t="s">
        <v>905</v>
      </c>
      <c r="C359" s="69" t="s">
        <v>651</v>
      </c>
      <c r="D359" s="31" t="s">
        <v>708</v>
      </c>
      <c r="E359" s="29" t="s">
        <v>34</v>
      </c>
      <c r="F359" s="28">
        <v>0.85</v>
      </c>
      <c r="G359" s="29">
        <v>0.04</v>
      </c>
      <c r="H359" s="29">
        <v>-0.04</v>
      </c>
      <c r="I359" s="30" t="s">
        <v>39</v>
      </c>
      <c r="J359" s="12">
        <f t="shared" si="83"/>
        <v>0.89</v>
      </c>
      <c r="K359" s="12">
        <f t="shared" si="84"/>
        <v>0.80999999999999994</v>
      </c>
      <c r="L359" s="78"/>
      <c r="M359" s="78"/>
      <c r="N359" s="78"/>
      <c r="O359" s="36"/>
      <c r="P359" s="24" t="str">
        <f t="shared" si="69"/>
        <v xml:space="preserve"> </v>
      </c>
      <c r="Q359" s="25" t="str">
        <f t="shared" si="70"/>
        <v xml:space="preserve"> </v>
      </c>
      <c r="R359" s="25" t="str">
        <f t="shared" si="71"/>
        <v xml:space="preserve"> </v>
      </c>
      <c r="S359" s="26" t="str">
        <f t="shared" si="72"/>
        <v xml:space="preserve"> </v>
      </c>
      <c r="T359" s="7" t="str">
        <f t="shared" si="73"/>
        <v xml:space="preserve"> </v>
      </c>
      <c r="U359" s="8" t="str">
        <f t="shared" si="74"/>
        <v xml:space="preserve"> </v>
      </c>
      <c r="V359" s="9" t="str">
        <f t="shared" si="82"/>
        <v xml:space="preserve"> </v>
      </c>
      <c r="W359" s="9" t="str">
        <f t="shared" si="75"/>
        <v/>
      </c>
      <c r="X359" s="32"/>
      <c r="Y359" s="36"/>
    </row>
    <row r="360" spans="1:25" s="4" customFormat="1" ht="18" customHeight="1">
      <c r="A360" s="36"/>
      <c r="B360" s="69" t="s">
        <v>906</v>
      </c>
      <c r="C360" s="69" t="s">
        <v>652</v>
      </c>
      <c r="D360" s="31" t="s">
        <v>708</v>
      </c>
      <c r="E360" s="29" t="s">
        <v>34</v>
      </c>
      <c r="F360" s="28">
        <v>0.85</v>
      </c>
      <c r="G360" s="29">
        <v>0.04</v>
      </c>
      <c r="H360" s="29">
        <v>-0.04</v>
      </c>
      <c r="I360" s="30" t="s">
        <v>39</v>
      </c>
      <c r="J360" s="12">
        <f t="shared" si="83"/>
        <v>0.89</v>
      </c>
      <c r="K360" s="12">
        <f t="shared" si="84"/>
        <v>0.80999999999999994</v>
      </c>
      <c r="L360" s="78"/>
      <c r="M360" s="78"/>
      <c r="N360" s="78"/>
      <c r="O360" s="36"/>
      <c r="P360" s="24" t="str">
        <f t="shared" si="69"/>
        <v xml:space="preserve"> </v>
      </c>
      <c r="Q360" s="25" t="str">
        <f t="shared" si="70"/>
        <v xml:space="preserve"> </v>
      </c>
      <c r="R360" s="25" t="str">
        <f t="shared" si="71"/>
        <v xml:space="preserve"> </v>
      </c>
      <c r="S360" s="26" t="str">
        <f t="shared" si="72"/>
        <v xml:space="preserve"> </v>
      </c>
      <c r="T360" s="7" t="str">
        <f t="shared" si="73"/>
        <v xml:space="preserve"> </v>
      </c>
      <c r="U360" s="8" t="str">
        <f t="shared" si="74"/>
        <v xml:space="preserve"> </v>
      </c>
      <c r="V360" s="9" t="str">
        <f t="shared" si="82"/>
        <v xml:space="preserve"> </v>
      </c>
      <c r="W360" s="9" t="str">
        <f t="shared" si="75"/>
        <v/>
      </c>
      <c r="X360" s="32"/>
      <c r="Y360" s="36"/>
    </row>
    <row r="361" spans="1:25" s="4" customFormat="1" ht="18" customHeight="1">
      <c r="A361" s="36"/>
      <c r="B361" s="69" t="s">
        <v>907</v>
      </c>
      <c r="C361" s="69" t="s">
        <v>653</v>
      </c>
      <c r="D361" s="31" t="s">
        <v>708</v>
      </c>
      <c r="E361" s="29" t="s">
        <v>34</v>
      </c>
      <c r="F361" s="28">
        <v>0.85</v>
      </c>
      <c r="G361" s="29">
        <v>0.04</v>
      </c>
      <c r="H361" s="29">
        <v>-0.04</v>
      </c>
      <c r="I361" s="30" t="s">
        <v>39</v>
      </c>
      <c r="J361" s="12">
        <f t="shared" si="83"/>
        <v>0.89</v>
      </c>
      <c r="K361" s="12">
        <f t="shared" si="84"/>
        <v>0.80999999999999994</v>
      </c>
      <c r="L361" s="78"/>
      <c r="M361" s="78"/>
      <c r="N361" s="78"/>
      <c r="O361" s="36"/>
      <c r="P361" s="24" t="str">
        <f t="shared" si="69"/>
        <v xml:space="preserve"> </v>
      </c>
      <c r="Q361" s="25" t="str">
        <f t="shared" si="70"/>
        <v xml:space="preserve"> </v>
      </c>
      <c r="R361" s="25" t="str">
        <f t="shared" si="71"/>
        <v xml:space="preserve"> </v>
      </c>
      <c r="S361" s="26" t="str">
        <f t="shared" si="72"/>
        <v xml:space="preserve"> </v>
      </c>
      <c r="T361" s="7" t="str">
        <f t="shared" si="73"/>
        <v xml:space="preserve"> </v>
      </c>
      <c r="U361" s="8" t="str">
        <f t="shared" si="74"/>
        <v xml:space="preserve"> </v>
      </c>
      <c r="V361" s="9" t="str">
        <f t="shared" si="82"/>
        <v xml:space="preserve"> </v>
      </c>
      <c r="W361" s="9" t="str">
        <f t="shared" si="75"/>
        <v/>
      </c>
      <c r="X361" s="32"/>
      <c r="Y361" s="36"/>
    </row>
    <row r="362" spans="1:25" s="4" customFormat="1" ht="18" customHeight="1">
      <c r="A362" s="36"/>
      <c r="B362" s="69" t="s">
        <v>908</v>
      </c>
      <c r="C362" s="69" t="s">
        <v>654</v>
      </c>
      <c r="D362" s="31" t="s">
        <v>708</v>
      </c>
      <c r="E362" s="29" t="s">
        <v>34</v>
      </c>
      <c r="F362" s="28">
        <v>0.85</v>
      </c>
      <c r="G362" s="29">
        <v>0.04</v>
      </c>
      <c r="H362" s="29">
        <v>-0.04</v>
      </c>
      <c r="I362" s="30" t="s">
        <v>39</v>
      </c>
      <c r="J362" s="12">
        <f t="shared" si="83"/>
        <v>0.89</v>
      </c>
      <c r="K362" s="12">
        <f t="shared" si="84"/>
        <v>0.80999999999999994</v>
      </c>
      <c r="L362" s="78"/>
      <c r="M362" s="78"/>
      <c r="N362" s="78"/>
      <c r="O362" s="36"/>
      <c r="P362" s="24" t="str">
        <f t="shared" si="69"/>
        <v xml:space="preserve"> </v>
      </c>
      <c r="Q362" s="25" t="str">
        <f t="shared" si="70"/>
        <v xml:space="preserve"> </v>
      </c>
      <c r="R362" s="25" t="str">
        <f t="shared" si="71"/>
        <v xml:space="preserve"> </v>
      </c>
      <c r="S362" s="26" t="str">
        <f t="shared" si="72"/>
        <v xml:space="preserve"> </v>
      </c>
      <c r="T362" s="7" t="str">
        <f t="shared" si="73"/>
        <v xml:space="preserve"> </v>
      </c>
      <c r="U362" s="8" t="str">
        <f t="shared" si="74"/>
        <v xml:space="preserve"> </v>
      </c>
      <c r="V362" s="9" t="str">
        <f t="shared" si="82"/>
        <v xml:space="preserve"> </v>
      </c>
      <c r="W362" s="9" t="str">
        <f t="shared" si="75"/>
        <v/>
      </c>
      <c r="X362" s="32"/>
      <c r="Y362" s="36"/>
    </row>
    <row r="363" spans="1:25" s="4" customFormat="1" ht="18" customHeight="1">
      <c r="A363" s="36"/>
      <c r="B363" s="69" t="s">
        <v>909</v>
      </c>
      <c r="C363" s="69" t="s">
        <v>655</v>
      </c>
      <c r="D363" s="31" t="s">
        <v>708</v>
      </c>
      <c r="E363" s="29" t="s">
        <v>34</v>
      </c>
      <c r="F363" s="28">
        <v>0.85</v>
      </c>
      <c r="G363" s="29">
        <v>0.04</v>
      </c>
      <c r="H363" s="29">
        <v>-0.04</v>
      </c>
      <c r="I363" s="30" t="s">
        <v>39</v>
      </c>
      <c r="J363" s="12">
        <f t="shared" si="83"/>
        <v>0.89</v>
      </c>
      <c r="K363" s="12">
        <f t="shared" si="84"/>
        <v>0.80999999999999994</v>
      </c>
      <c r="L363" s="78"/>
      <c r="M363" s="78"/>
      <c r="N363" s="78"/>
      <c r="O363" s="36"/>
      <c r="P363" s="24" t="str">
        <f t="shared" si="69"/>
        <v xml:space="preserve"> </v>
      </c>
      <c r="Q363" s="25" t="str">
        <f t="shared" si="70"/>
        <v xml:space="preserve"> </v>
      </c>
      <c r="R363" s="25" t="str">
        <f t="shared" si="71"/>
        <v xml:space="preserve"> </v>
      </c>
      <c r="S363" s="26" t="str">
        <f t="shared" si="72"/>
        <v xml:space="preserve"> </v>
      </c>
      <c r="T363" s="7" t="str">
        <f t="shared" si="73"/>
        <v xml:space="preserve"> </v>
      </c>
      <c r="U363" s="8" t="str">
        <f t="shared" si="74"/>
        <v xml:space="preserve"> </v>
      </c>
      <c r="V363" s="9" t="str">
        <f t="shared" si="82"/>
        <v xml:space="preserve"> </v>
      </c>
      <c r="W363" s="9" t="str">
        <f t="shared" si="75"/>
        <v/>
      </c>
      <c r="X363" s="32"/>
      <c r="Y363" s="36"/>
    </row>
    <row r="364" spans="1:25" s="4" customFormat="1" ht="18" customHeight="1">
      <c r="A364" s="36"/>
      <c r="B364" s="69" t="s">
        <v>910</v>
      </c>
      <c r="C364" s="69" t="s">
        <v>656</v>
      </c>
      <c r="D364" s="31" t="s">
        <v>708</v>
      </c>
      <c r="E364" s="29" t="s">
        <v>34</v>
      </c>
      <c r="F364" s="28">
        <v>0.85</v>
      </c>
      <c r="G364" s="29">
        <v>0.04</v>
      </c>
      <c r="H364" s="29">
        <v>-0.04</v>
      </c>
      <c r="I364" s="30" t="s">
        <v>39</v>
      </c>
      <c r="J364" s="12">
        <f t="shared" si="83"/>
        <v>0.89</v>
      </c>
      <c r="K364" s="12">
        <f t="shared" si="84"/>
        <v>0.80999999999999994</v>
      </c>
      <c r="L364" s="78"/>
      <c r="M364" s="78"/>
      <c r="N364" s="78"/>
      <c r="O364" s="36"/>
      <c r="P364" s="24" t="str">
        <f t="shared" si="69"/>
        <v xml:space="preserve"> </v>
      </c>
      <c r="Q364" s="25" t="str">
        <f t="shared" si="70"/>
        <v xml:space="preserve"> </v>
      </c>
      <c r="R364" s="25" t="str">
        <f t="shared" si="71"/>
        <v xml:space="preserve"> </v>
      </c>
      <c r="S364" s="26" t="str">
        <f t="shared" si="72"/>
        <v xml:space="preserve"> </v>
      </c>
      <c r="T364" s="7" t="str">
        <f t="shared" si="73"/>
        <v xml:space="preserve"> </v>
      </c>
      <c r="U364" s="8" t="str">
        <f t="shared" si="74"/>
        <v xml:space="preserve"> </v>
      </c>
      <c r="V364" s="9" t="str">
        <f t="shared" si="82"/>
        <v xml:space="preserve"> </v>
      </c>
      <c r="W364" s="9" t="str">
        <f t="shared" si="75"/>
        <v/>
      </c>
      <c r="X364" s="32"/>
      <c r="Y364" s="36"/>
    </row>
    <row r="365" spans="1:25" s="4" customFormat="1" ht="18" customHeight="1">
      <c r="A365" s="36"/>
      <c r="B365" s="69" t="s">
        <v>911</v>
      </c>
      <c r="C365" s="69" t="s">
        <v>657</v>
      </c>
      <c r="D365" s="31" t="s">
        <v>708</v>
      </c>
      <c r="E365" s="29" t="s">
        <v>34</v>
      </c>
      <c r="F365" s="28">
        <v>0.85</v>
      </c>
      <c r="G365" s="29">
        <v>0.04</v>
      </c>
      <c r="H365" s="29">
        <v>-0.04</v>
      </c>
      <c r="I365" s="30" t="s">
        <v>39</v>
      </c>
      <c r="J365" s="12">
        <f t="shared" si="83"/>
        <v>0.89</v>
      </c>
      <c r="K365" s="12">
        <f t="shared" si="84"/>
        <v>0.80999999999999994</v>
      </c>
      <c r="L365" s="78"/>
      <c r="M365" s="78"/>
      <c r="N365" s="78"/>
      <c r="O365" s="36"/>
      <c r="P365" s="24" t="str">
        <f t="shared" si="69"/>
        <v xml:space="preserve"> </v>
      </c>
      <c r="Q365" s="25" t="str">
        <f t="shared" si="70"/>
        <v xml:space="preserve"> </v>
      </c>
      <c r="R365" s="25" t="str">
        <f t="shared" si="71"/>
        <v xml:space="preserve"> </v>
      </c>
      <c r="S365" s="26" t="str">
        <f t="shared" si="72"/>
        <v xml:space="preserve"> </v>
      </c>
      <c r="T365" s="7" t="str">
        <f t="shared" si="73"/>
        <v xml:space="preserve"> </v>
      </c>
      <c r="U365" s="8" t="str">
        <f t="shared" si="74"/>
        <v xml:space="preserve"> </v>
      </c>
      <c r="V365" s="9" t="str">
        <f t="shared" si="82"/>
        <v xml:space="preserve"> </v>
      </c>
      <c r="W365" s="9" t="str">
        <f t="shared" si="75"/>
        <v/>
      </c>
      <c r="X365" s="32"/>
      <c r="Y365" s="36"/>
    </row>
    <row r="366" spans="1:25" s="4" customFormat="1" ht="18" customHeight="1">
      <c r="A366" s="36"/>
      <c r="B366" s="69" t="s">
        <v>912</v>
      </c>
      <c r="C366" s="69" t="s">
        <v>658</v>
      </c>
      <c r="D366" s="31" t="s">
        <v>708</v>
      </c>
      <c r="E366" s="29" t="s">
        <v>34</v>
      </c>
      <c r="F366" s="28">
        <v>0.85</v>
      </c>
      <c r="G366" s="29">
        <v>0.04</v>
      </c>
      <c r="H366" s="29">
        <v>-0.04</v>
      </c>
      <c r="I366" s="30" t="s">
        <v>39</v>
      </c>
      <c r="J366" s="12">
        <f t="shared" si="83"/>
        <v>0.89</v>
      </c>
      <c r="K366" s="12">
        <f t="shared" si="84"/>
        <v>0.80999999999999994</v>
      </c>
      <c r="L366" s="78"/>
      <c r="M366" s="78"/>
      <c r="N366" s="78"/>
      <c r="O366" s="36"/>
      <c r="P366" s="24" t="str">
        <f t="shared" si="69"/>
        <v xml:space="preserve"> </v>
      </c>
      <c r="Q366" s="25" t="str">
        <f t="shared" si="70"/>
        <v xml:space="preserve"> </v>
      </c>
      <c r="R366" s="25" t="str">
        <f t="shared" si="71"/>
        <v xml:space="preserve"> </v>
      </c>
      <c r="S366" s="26" t="str">
        <f t="shared" si="72"/>
        <v xml:space="preserve"> </v>
      </c>
      <c r="T366" s="7" t="str">
        <f t="shared" si="73"/>
        <v xml:space="preserve"> </v>
      </c>
      <c r="U366" s="8" t="str">
        <f t="shared" si="74"/>
        <v xml:space="preserve"> </v>
      </c>
      <c r="V366" s="9" t="str">
        <f t="shared" si="82"/>
        <v xml:space="preserve"> </v>
      </c>
      <c r="W366" s="9" t="str">
        <f t="shared" si="75"/>
        <v/>
      </c>
      <c r="X366" s="32"/>
      <c r="Y366" s="36"/>
    </row>
    <row r="367" spans="1:25" s="4" customFormat="1" ht="18" customHeight="1">
      <c r="A367" s="36"/>
      <c r="B367" s="69" t="s">
        <v>913</v>
      </c>
      <c r="C367" s="69" t="s">
        <v>659</v>
      </c>
      <c r="D367" s="31" t="s">
        <v>708</v>
      </c>
      <c r="E367" s="29" t="s">
        <v>34</v>
      </c>
      <c r="F367" s="28">
        <v>0.85</v>
      </c>
      <c r="G367" s="29">
        <v>0.04</v>
      </c>
      <c r="H367" s="29">
        <v>-0.04</v>
      </c>
      <c r="I367" s="30" t="s">
        <v>39</v>
      </c>
      <c r="J367" s="12">
        <f t="shared" si="83"/>
        <v>0.89</v>
      </c>
      <c r="K367" s="12">
        <f t="shared" si="84"/>
        <v>0.80999999999999994</v>
      </c>
      <c r="L367" s="78"/>
      <c r="M367" s="78"/>
      <c r="N367" s="78"/>
      <c r="O367" s="36"/>
      <c r="P367" s="24" t="str">
        <f t="shared" si="69"/>
        <v xml:space="preserve"> </v>
      </c>
      <c r="Q367" s="25" t="str">
        <f t="shared" si="70"/>
        <v xml:space="preserve"> </v>
      </c>
      <c r="R367" s="25" t="str">
        <f t="shared" si="71"/>
        <v xml:space="preserve"> </v>
      </c>
      <c r="S367" s="26" t="str">
        <f t="shared" si="72"/>
        <v xml:space="preserve"> </v>
      </c>
      <c r="T367" s="7" t="str">
        <f t="shared" si="73"/>
        <v xml:space="preserve"> </v>
      </c>
      <c r="U367" s="8" t="str">
        <f t="shared" si="74"/>
        <v xml:space="preserve"> </v>
      </c>
      <c r="V367" s="9" t="str">
        <f t="shared" si="82"/>
        <v xml:space="preserve"> </v>
      </c>
      <c r="W367" s="9" t="str">
        <f t="shared" si="75"/>
        <v/>
      </c>
      <c r="X367" s="32"/>
      <c r="Y367" s="36"/>
    </row>
    <row r="368" spans="1:25" s="4" customFormat="1" ht="18" customHeight="1">
      <c r="A368" s="36"/>
      <c r="B368" s="69" t="s">
        <v>914</v>
      </c>
      <c r="C368" s="69" t="s">
        <v>660</v>
      </c>
      <c r="D368" s="31" t="s">
        <v>708</v>
      </c>
      <c r="E368" s="29" t="s">
        <v>34</v>
      </c>
      <c r="F368" s="28">
        <v>0.85</v>
      </c>
      <c r="G368" s="29">
        <v>0.04</v>
      </c>
      <c r="H368" s="29">
        <v>-0.04</v>
      </c>
      <c r="I368" s="30" t="s">
        <v>39</v>
      </c>
      <c r="J368" s="12">
        <f t="shared" si="83"/>
        <v>0.89</v>
      </c>
      <c r="K368" s="12">
        <f t="shared" si="84"/>
        <v>0.80999999999999994</v>
      </c>
      <c r="L368" s="78"/>
      <c r="M368" s="78"/>
      <c r="N368" s="78"/>
      <c r="O368" s="36"/>
      <c r="P368" s="24" t="str">
        <f t="shared" si="69"/>
        <v xml:space="preserve"> </v>
      </c>
      <c r="Q368" s="25" t="str">
        <f t="shared" si="70"/>
        <v xml:space="preserve"> </v>
      </c>
      <c r="R368" s="25" t="str">
        <f t="shared" si="71"/>
        <v xml:space="preserve"> </v>
      </c>
      <c r="S368" s="26" t="str">
        <f t="shared" si="72"/>
        <v xml:space="preserve"> </v>
      </c>
      <c r="T368" s="7" t="str">
        <f t="shared" si="73"/>
        <v xml:space="preserve"> </v>
      </c>
      <c r="U368" s="8" t="str">
        <f t="shared" si="74"/>
        <v xml:space="preserve"> </v>
      </c>
      <c r="V368" s="9" t="str">
        <f t="shared" si="82"/>
        <v xml:space="preserve"> </v>
      </c>
      <c r="W368" s="9" t="str">
        <f t="shared" si="75"/>
        <v/>
      </c>
      <c r="X368" s="32"/>
      <c r="Y368" s="36"/>
    </row>
    <row r="369" spans="1:25" s="4" customFormat="1" ht="18" customHeight="1">
      <c r="A369" s="36"/>
      <c r="B369" s="69" t="s">
        <v>915</v>
      </c>
      <c r="C369" s="69" t="s">
        <v>661</v>
      </c>
      <c r="D369" s="31" t="s">
        <v>708</v>
      </c>
      <c r="E369" s="29" t="s">
        <v>34</v>
      </c>
      <c r="F369" s="28">
        <v>0.85</v>
      </c>
      <c r="G369" s="29">
        <v>0.04</v>
      </c>
      <c r="H369" s="29">
        <v>-0.04</v>
      </c>
      <c r="I369" s="30" t="s">
        <v>39</v>
      </c>
      <c r="J369" s="12">
        <f t="shared" si="83"/>
        <v>0.89</v>
      </c>
      <c r="K369" s="12">
        <f t="shared" si="84"/>
        <v>0.80999999999999994</v>
      </c>
      <c r="L369" s="78"/>
      <c r="M369" s="78"/>
      <c r="N369" s="78"/>
      <c r="O369" s="36"/>
      <c r="P369" s="24" t="str">
        <f t="shared" si="69"/>
        <v xml:space="preserve"> </v>
      </c>
      <c r="Q369" s="25" t="str">
        <f t="shared" si="70"/>
        <v xml:space="preserve"> </v>
      </c>
      <c r="R369" s="25" t="str">
        <f t="shared" si="71"/>
        <v xml:space="preserve"> </v>
      </c>
      <c r="S369" s="26" t="str">
        <f t="shared" si="72"/>
        <v xml:space="preserve"> </v>
      </c>
      <c r="T369" s="7" t="str">
        <f t="shared" si="73"/>
        <v xml:space="preserve"> </v>
      </c>
      <c r="U369" s="8" t="str">
        <f t="shared" si="74"/>
        <v xml:space="preserve"> </v>
      </c>
      <c r="V369" s="9" t="str">
        <f t="shared" si="82"/>
        <v xml:space="preserve"> </v>
      </c>
      <c r="W369" s="9" t="str">
        <f t="shared" si="75"/>
        <v/>
      </c>
      <c r="X369" s="32"/>
      <c r="Y369" s="36"/>
    </row>
    <row r="370" spans="1:25" s="4" customFormat="1" ht="18" customHeight="1">
      <c r="A370" s="36"/>
      <c r="B370" s="69" t="s">
        <v>916</v>
      </c>
      <c r="C370" s="69" t="s">
        <v>662</v>
      </c>
      <c r="D370" s="31" t="s">
        <v>708</v>
      </c>
      <c r="E370" s="29" t="s">
        <v>34</v>
      </c>
      <c r="F370" s="28">
        <v>0.85</v>
      </c>
      <c r="G370" s="29">
        <v>0.04</v>
      </c>
      <c r="H370" s="29">
        <v>-0.04</v>
      </c>
      <c r="I370" s="30" t="s">
        <v>39</v>
      </c>
      <c r="J370" s="12">
        <f t="shared" si="83"/>
        <v>0.89</v>
      </c>
      <c r="K370" s="12">
        <f t="shared" si="84"/>
        <v>0.80999999999999994</v>
      </c>
      <c r="L370" s="78"/>
      <c r="M370" s="78"/>
      <c r="N370" s="78"/>
      <c r="O370" s="36"/>
      <c r="P370" s="24" t="str">
        <f t="shared" si="69"/>
        <v xml:space="preserve"> </v>
      </c>
      <c r="Q370" s="25" t="str">
        <f t="shared" si="70"/>
        <v xml:space="preserve"> </v>
      </c>
      <c r="R370" s="25" t="str">
        <f t="shared" si="71"/>
        <v xml:space="preserve"> </v>
      </c>
      <c r="S370" s="26" t="str">
        <f t="shared" si="72"/>
        <v xml:space="preserve"> </v>
      </c>
      <c r="T370" s="7" t="str">
        <f t="shared" si="73"/>
        <v xml:space="preserve"> </v>
      </c>
      <c r="U370" s="8" t="str">
        <f t="shared" si="74"/>
        <v xml:space="preserve"> </v>
      </c>
      <c r="V370" s="9" t="str">
        <f t="shared" si="82"/>
        <v xml:space="preserve"> </v>
      </c>
      <c r="W370" s="9" t="str">
        <f t="shared" si="75"/>
        <v/>
      </c>
      <c r="X370" s="32"/>
      <c r="Y370" s="36"/>
    </row>
    <row r="371" spans="1:25" s="4" customFormat="1" ht="18" customHeight="1">
      <c r="A371" s="36"/>
      <c r="B371" s="69" t="s">
        <v>917</v>
      </c>
      <c r="C371" s="69" t="s">
        <v>663</v>
      </c>
      <c r="D371" s="31" t="s">
        <v>708</v>
      </c>
      <c r="E371" s="29" t="s">
        <v>34</v>
      </c>
      <c r="F371" s="28">
        <v>0.85</v>
      </c>
      <c r="G371" s="29">
        <v>0.04</v>
      </c>
      <c r="H371" s="29">
        <v>-0.04</v>
      </c>
      <c r="I371" s="30" t="s">
        <v>39</v>
      </c>
      <c r="J371" s="12">
        <f t="shared" si="83"/>
        <v>0.89</v>
      </c>
      <c r="K371" s="12">
        <f t="shared" si="84"/>
        <v>0.80999999999999994</v>
      </c>
      <c r="L371" s="78"/>
      <c r="M371" s="78"/>
      <c r="N371" s="78"/>
      <c r="O371" s="36"/>
      <c r="P371" s="24" t="str">
        <f t="shared" si="69"/>
        <v xml:space="preserve"> </v>
      </c>
      <c r="Q371" s="25" t="str">
        <f t="shared" si="70"/>
        <v xml:space="preserve"> </v>
      </c>
      <c r="R371" s="25" t="str">
        <f t="shared" si="71"/>
        <v xml:space="preserve"> </v>
      </c>
      <c r="S371" s="26" t="str">
        <f t="shared" si="72"/>
        <v xml:space="preserve"> </v>
      </c>
      <c r="T371" s="7" t="str">
        <f t="shared" si="73"/>
        <v xml:space="preserve"> </v>
      </c>
      <c r="U371" s="8" t="str">
        <f t="shared" si="74"/>
        <v xml:space="preserve"> </v>
      </c>
      <c r="V371" s="9" t="str">
        <f t="shared" si="82"/>
        <v xml:space="preserve"> </v>
      </c>
      <c r="W371" s="9" t="str">
        <f t="shared" si="75"/>
        <v/>
      </c>
      <c r="X371" s="32"/>
      <c r="Y371" s="36"/>
    </row>
    <row r="372" spans="1:25" s="4" customFormat="1" ht="18" customHeight="1">
      <c r="A372" s="36"/>
      <c r="B372" s="69" t="s">
        <v>918</v>
      </c>
      <c r="C372" s="69" t="s">
        <v>664</v>
      </c>
      <c r="D372" s="31" t="s">
        <v>708</v>
      </c>
      <c r="E372" s="29" t="s">
        <v>34</v>
      </c>
      <c r="F372" s="28">
        <v>0.85</v>
      </c>
      <c r="G372" s="29">
        <v>0.04</v>
      </c>
      <c r="H372" s="29">
        <v>-0.04</v>
      </c>
      <c r="I372" s="30" t="s">
        <v>39</v>
      </c>
      <c r="J372" s="12">
        <f t="shared" si="83"/>
        <v>0.89</v>
      </c>
      <c r="K372" s="12">
        <f t="shared" si="84"/>
        <v>0.80999999999999994</v>
      </c>
      <c r="L372" s="78"/>
      <c r="M372" s="78"/>
      <c r="N372" s="78"/>
      <c r="O372" s="36"/>
      <c r="P372" s="24" t="str">
        <f t="shared" si="69"/>
        <v xml:space="preserve"> </v>
      </c>
      <c r="Q372" s="25" t="str">
        <f t="shared" si="70"/>
        <v xml:space="preserve"> </v>
      </c>
      <c r="R372" s="25" t="str">
        <f t="shared" si="71"/>
        <v xml:space="preserve"> </v>
      </c>
      <c r="S372" s="26" t="str">
        <f t="shared" si="72"/>
        <v xml:space="preserve"> </v>
      </c>
      <c r="T372" s="7" t="str">
        <f t="shared" si="73"/>
        <v xml:space="preserve"> </v>
      </c>
      <c r="U372" s="8" t="str">
        <f t="shared" si="74"/>
        <v xml:space="preserve"> </v>
      </c>
      <c r="V372" s="9" t="str">
        <f t="shared" si="82"/>
        <v xml:space="preserve"> </v>
      </c>
      <c r="W372" s="9" t="str">
        <f t="shared" si="75"/>
        <v/>
      </c>
      <c r="X372" s="32"/>
      <c r="Y372" s="36"/>
    </row>
    <row r="373" spans="1:25" s="4" customFormat="1" ht="18" customHeight="1">
      <c r="A373" s="36"/>
      <c r="B373" s="69" t="s">
        <v>919</v>
      </c>
      <c r="C373" s="69" t="s">
        <v>665</v>
      </c>
      <c r="D373" s="31" t="s">
        <v>708</v>
      </c>
      <c r="E373" s="29" t="s">
        <v>34</v>
      </c>
      <c r="F373" s="28">
        <v>0.85</v>
      </c>
      <c r="G373" s="29">
        <v>0.04</v>
      </c>
      <c r="H373" s="29">
        <v>-0.04</v>
      </c>
      <c r="I373" s="30" t="s">
        <v>39</v>
      </c>
      <c r="J373" s="12">
        <f t="shared" si="83"/>
        <v>0.89</v>
      </c>
      <c r="K373" s="12">
        <f t="shared" si="84"/>
        <v>0.80999999999999994</v>
      </c>
      <c r="L373" s="78"/>
      <c r="M373" s="78"/>
      <c r="N373" s="78"/>
      <c r="O373" s="36"/>
      <c r="P373" s="24" t="str">
        <f t="shared" ref="P373:P396" si="85">IF(ISERR(L373/L373)=TRUE," ",L373-$F373)</f>
        <v xml:space="preserve"> </v>
      </c>
      <c r="Q373" s="25" t="str">
        <f t="shared" ref="Q373:Q396" si="86">IF(ISERR(M373/M373)=TRUE," ",M373-$F373)</f>
        <v xml:space="preserve"> </v>
      </c>
      <c r="R373" s="25" t="str">
        <f t="shared" ref="R373:R396" si="87">IF(ISERR(N373/N373)=TRUE," ",N373-$F373)</f>
        <v xml:space="preserve"> </v>
      </c>
      <c r="S373" s="26" t="str">
        <f t="shared" ref="S373:S396" si="88">IF(ISERR(L373/L373)=TRUE," ",AVERAGE(L373:N373))</f>
        <v xml:space="preserve"> </v>
      </c>
      <c r="T373" s="7" t="str">
        <f t="shared" ref="T373:T396" si="89">IF(ISERR(G373/G373)=TRUE," ",IF(ISERR(L373/L373)=TRUE," ",IF(ISNUMBER($L373)=FALSE," ",IF(MAX($L373:$N373)&lt;$F373,0,(MAX($L373:$N373)-$F373)/$G373))))</f>
        <v xml:space="preserve"> </v>
      </c>
      <c r="U373" s="8" t="str">
        <f t="shared" ref="U373:U396" si="90">IF(ISERR(H373/F373)=TRUE," ",IF(ISERR(H373/H373)=TRUE," ",IF(ISERR(L373/L373)=TRUE," ",IF(ISNUMBER(L373)=FALSE," ",IF(MIN(L373:N373)&gt;$F373,0,($F373-MIN(L373:N373))/-H373)))))</f>
        <v xml:space="preserve"> </v>
      </c>
      <c r="V373" s="9" t="str">
        <f t="shared" si="82"/>
        <v xml:space="preserve"> </v>
      </c>
      <c r="W373" s="9" t="str">
        <f t="shared" ref="W373:W396" si="91">IF(L373="","",IF(ISERR(H373/H373)=TRUE," ",IF(ISERR(H373/F373)=TRUE,IF((H373-MIN(L373:N373))&gt;0.001,"Reject",""),IF(ISNUMBER($U373)=TRUE,IF($U373&gt;0.651,IF($U373&gt;1.001,"Reject","Alert")," ")," "))))</f>
        <v/>
      </c>
      <c r="X373" s="32"/>
      <c r="Y373" s="36"/>
    </row>
    <row r="374" spans="1:25" s="4" customFormat="1" ht="18" customHeight="1">
      <c r="A374" s="36"/>
      <c r="B374" s="69" t="s">
        <v>920</v>
      </c>
      <c r="C374" s="69" t="s">
        <v>666</v>
      </c>
      <c r="D374" s="31" t="s">
        <v>708</v>
      </c>
      <c r="E374" s="29" t="s">
        <v>34</v>
      </c>
      <c r="F374" s="28">
        <v>0.85</v>
      </c>
      <c r="G374" s="29">
        <v>0.04</v>
      </c>
      <c r="H374" s="29">
        <v>-0.04</v>
      </c>
      <c r="I374" s="30" t="s">
        <v>39</v>
      </c>
      <c r="J374" s="12">
        <f t="shared" si="83"/>
        <v>0.89</v>
      </c>
      <c r="K374" s="12">
        <f t="shared" si="84"/>
        <v>0.80999999999999994</v>
      </c>
      <c r="L374" s="78"/>
      <c r="M374" s="78"/>
      <c r="N374" s="78"/>
      <c r="O374" s="36"/>
      <c r="P374" s="24" t="str">
        <f t="shared" si="85"/>
        <v xml:space="preserve"> </v>
      </c>
      <c r="Q374" s="25" t="str">
        <f t="shared" si="86"/>
        <v xml:space="preserve"> </v>
      </c>
      <c r="R374" s="25" t="str">
        <f t="shared" si="87"/>
        <v xml:space="preserve"> </v>
      </c>
      <c r="S374" s="26" t="str">
        <f t="shared" si="88"/>
        <v xml:space="preserve"> </v>
      </c>
      <c r="T374" s="7" t="str">
        <f t="shared" si="89"/>
        <v xml:space="preserve"> </v>
      </c>
      <c r="U374" s="8" t="str">
        <f t="shared" si="90"/>
        <v xml:space="preserve"> </v>
      </c>
      <c r="V374" s="9" t="str">
        <f t="shared" si="82"/>
        <v xml:space="preserve"> </v>
      </c>
      <c r="W374" s="9" t="str">
        <f t="shared" si="91"/>
        <v/>
      </c>
      <c r="X374" s="32"/>
      <c r="Y374" s="36"/>
    </row>
    <row r="375" spans="1:25" s="4" customFormat="1" ht="18" customHeight="1">
      <c r="A375" s="36"/>
      <c r="B375" s="69" t="s">
        <v>921</v>
      </c>
      <c r="C375" s="69" t="s">
        <v>667</v>
      </c>
      <c r="D375" s="31" t="s">
        <v>708</v>
      </c>
      <c r="E375" s="29" t="s">
        <v>34</v>
      </c>
      <c r="F375" s="28">
        <v>0.85</v>
      </c>
      <c r="G375" s="29">
        <v>0.04</v>
      </c>
      <c r="H375" s="29">
        <v>-0.04</v>
      </c>
      <c r="I375" s="30" t="s">
        <v>39</v>
      </c>
      <c r="J375" s="12">
        <f t="shared" si="83"/>
        <v>0.89</v>
      </c>
      <c r="K375" s="12">
        <f t="shared" si="84"/>
        <v>0.80999999999999994</v>
      </c>
      <c r="L375" s="78"/>
      <c r="M375" s="78"/>
      <c r="N375" s="78"/>
      <c r="O375" s="36"/>
      <c r="P375" s="24" t="str">
        <f t="shared" si="85"/>
        <v xml:space="preserve"> </v>
      </c>
      <c r="Q375" s="25" t="str">
        <f t="shared" si="86"/>
        <v xml:space="preserve"> </v>
      </c>
      <c r="R375" s="25" t="str">
        <f t="shared" si="87"/>
        <v xml:space="preserve"> </v>
      </c>
      <c r="S375" s="26" t="str">
        <f t="shared" si="88"/>
        <v xml:space="preserve"> </v>
      </c>
      <c r="T375" s="7" t="str">
        <f t="shared" si="89"/>
        <v xml:space="preserve"> </v>
      </c>
      <c r="U375" s="8" t="str">
        <f t="shared" si="90"/>
        <v xml:space="preserve"> </v>
      </c>
      <c r="V375" s="9" t="str">
        <f t="shared" si="82"/>
        <v xml:space="preserve"> </v>
      </c>
      <c r="W375" s="9" t="str">
        <f t="shared" si="91"/>
        <v/>
      </c>
      <c r="X375" s="32"/>
      <c r="Y375" s="36"/>
    </row>
    <row r="376" spans="1:25" s="4" customFormat="1" ht="18" customHeight="1">
      <c r="A376" s="36"/>
      <c r="B376" s="69" t="s">
        <v>922</v>
      </c>
      <c r="C376" s="69" t="s">
        <v>668</v>
      </c>
      <c r="D376" s="31" t="s">
        <v>708</v>
      </c>
      <c r="E376" s="29" t="s">
        <v>34</v>
      </c>
      <c r="F376" s="28">
        <v>0.85</v>
      </c>
      <c r="G376" s="29">
        <v>0.04</v>
      </c>
      <c r="H376" s="29">
        <v>-0.04</v>
      </c>
      <c r="I376" s="30" t="s">
        <v>39</v>
      </c>
      <c r="J376" s="12">
        <f t="shared" si="83"/>
        <v>0.89</v>
      </c>
      <c r="K376" s="12">
        <f t="shared" si="84"/>
        <v>0.80999999999999994</v>
      </c>
      <c r="L376" s="78"/>
      <c r="M376" s="78"/>
      <c r="N376" s="78"/>
      <c r="O376" s="36"/>
      <c r="P376" s="24" t="str">
        <f t="shared" si="85"/>
        <v xml:space="preserve"> </v>
      </c>
      <c r="Q376" s="25" t="str">
        <f t="shared" si="86"/>
        <v xml:space="preserve"> </v>
      </c>
      <c r="R376" s="25" t="str">
        <f t="shared" si="87"/>
        <v xml:space="preserve"> </v>
      </c>
      <c r="S376" s="26" t="str">
        <f t="shared" si="88"/>
        <v xml:space="preserve"> </v>
      </c>
      <c r="T376" s="7" t="str">
        <f t="shared" si="89"/>
        <v xml:space="preserve"> </v>
      </c>
      <c r="U376" s="8" t="str">
        <f t="shared" si="90"/>
        <v xml:space="preserve"> </v>
      </c>
      <c r="V376" s="9" t="str">
        <f t="shared" si="82"/>
        <v xml:space="preserve"> </v>
      </c>
      <c r="W376" s="9" t="str">
        <f t="shared" si="91"/>
        <v/>
      </c>
      <c r="X376" s="32"/>
      <c r="Y376" s="36"/>
    </row>
    <row r="377" spans="1:25" s="4" customFormat="1" ht="18" customHeight="1">
      <c r="A377" s="36"/>
      <c r="B377" s="69" t="s">
        <v>923</v>
      </c>
      <c r="C377" s="69" t="s">
        <v>669</v>
      </c>
      <c r="D377" s="31" t="s">
        <v>708</v>
      </c>
      <c r="E377" s="29" t="s">
        <v>34</v>
      </c>
      <c r="F377" s="28">
        <v>0.85</v>
      </c>
      <c r="G377" s="29">
        <v>0.04</v>
      </c>
      <c r="H377" s="29">
        <v>-0.04</v>
      </c>
      <c r="I377" s="30" t="s">
        <v>39</v>
      </c>
      <c r="J377" s="12">
        <f t="shared" si="83"/>
        <v>0.89</v>
      </c>
      <c r="K377" s="12">
        <f t="shared" si="84"/>
        <v>0.80999999999999994</v>
      </c>
      <c r="L377" s="78"/>
      <c r="M377" s="78"/>
      <c r="N377" s="78"/>
      <c r="O377" s="36"/>
      <c r="P377" s="24" t="str">
        <f t="shared" si="85"/>
        <v xml:space="preserve"> </v>
      </c>
      <c r="Q377" s="25" t="str">
        <f t="shared" si="86"/>
        <v xml:space="preserve"> </v>
      </c>
      <c r="R377" s="25" t="str">
        <f t="shared" si="87"/>
        <v xml:space="preserve"> </v>
      </c>
      <c r="S377" s="26" t="str">
        <f t="shared" si="88"/>
        <v xml:space="preserve"> </v>
      </c>
      <c r="T377" s="7" t="str">
        <f t="shared" si="89"/>
        <v xml:space="preserve"> </v>
      </c>
      <c r="U377" s="8" t="str">
        <f t="shared" si="90"/>
        <v xml:space="preserve"> </v>
      </c>
      <c r="V377" s="9" t="str">
        <f t="shared" si="82"/>
        <v xml:space="preserve"> </v>
      </c>
      <c r="W377" s="9" t="str">
        <f t="shared" si="91"/>
        <v/>
      </c>
      <c r="X377" s="32"/>
      <c r="Y377" s="36"/>
    </row>
    <row r="378" spans="1:25" s="4" customFormat="1" ht="18" customHeight="1">
      <c r="A378" s="36"/>
      <c r="B378" s="69" t="s">
        <v>924</v>
      </c>
      <c r="C378" s="69" t="s">
        <v>670</v>
      </c>
      <c r="D378" s="31" t="s">
        <v>708</v>
      </c>
      <c r="E378" s="29" t="s">
        <v>34</v>
      </c>
      <c r="F378" s="28">
        <v>0.85</v>
      </c>
      <c r="G378" s="29">
        <v>0.04</v>
      </c>
      <c r="H378" s="29">
        <v>-0.04</v>
      </c>
      <c r="I378" s="30" t="s">
        <v>39</v>
      </c>
      <c r="J378" s="12">
        <f t="shared" si="83"/>
        <v>0.89</v>
      </c>
      <c r="K378" s="12">
        <f t="shared" si="84"/>
        <v>0.80999999999999994</v>
      </c>
      <c r="L378" s="78"/>
      <c r="M378" s="78"/>
      <c r="N378" s="78"/>
      <c r="O378" s="36"/>
      <c r="P378" s="24" t="str">
        <f t="shared" si="85"/>
        <v xml:space="preserve"> </v>
      </c>
      <c r="Q378" s="25" t="str">
        <f t="shared" si="86"/>
        <v xml:space="preserve"> </v>
      </c>
      <c r="R378" s="25" t="str">
        <f t="shared" si="87"/>
        <v xml:space="preserve"> </v>
      </c>
      <c r="S378" s="26" t="str">
        <f t="shared" si="88"/>
        <v xml:space="preserve"> </v>
      </c>
      <c r="T378" s="7" t="str">
        <f t="shared" si="89"/>
        <v xml:space="preserve"> </v>
      </c>
      <c r="U378" s="8" t="str">
        <f t="shared" si="90"/>
        <v xml:space="preserve"> </v>
      </c>
      <c r="V378" s="9" t="str">
        <f t="shared" si="82"/>
        <v xml:space="preserve"> </v>
      </c>
      <c r="W378" s="9" t="str">
        <f t="shared" si="91"/>
        <v/>
      </c>
      <c r="X378" s="32"/>
      <c r="Y378" s="36"/>
    </row>
    <row r="379" spans="1:25" s="4" customFormat="1" ht="18" customHeight="1">
      <c r="A379" s="36"/>
      <c r="B379" s="69" t="s">
        <v>925</v>
      </c>
      <c r="C379" s="69" t="s">
        <v>671</v>
      </c>
      <c r="D379" s="31" t="s">
        <v>708</v>
      </c>
      <c r="E379" s="29" t="s">
        <v>34</v>
      </c>
      <c r="F379" s="28">
        <v>0.85</v>
      </c>
      <c r="G379" s="29">
        <v>0.04</v>
      </c>
      <c r="H379" s="29">
        <v>-0.04</v>
      </c>
      <c r="I379" s="30" t="s">
        <v>39</v>
      </c>
      <c r="J379" s="12">
        <f t="shared" si="83"/>
        <v>0.89</v>
      </c>
      <c r="K379" s="12">
        <f t="shared" si="84"/>
        <v>0.80999999999999994</v>
      </c>
      <c r="L379" s="78"/>
      <c r="M379" s="78"/>
      <c r="N379" s="78"/>
      <c r="O379" s="36"/>
      <c r="P379" s="24" t="str">
        <f t="shared" si="85"/>
        <v xml:space="preserve"> </v>
      </c>
      <c r="Q379" s="25" t="str">
        <f t="shared" si="86"/>
        <v xml:space="preserve"> </v>
      </c>
      <c r="R379" s="25" t="str">
        <f t="shared" si="87"/>
        <v xml:space="preserve"> </v>
      </c>
      <c r="S379" s="26" t="str">
        <f t="shared" si="88"/>
        <v xml:space="preserve"> </v>
      </c>
      <c r="T379" s="7" t="str">
        <f t="shared" si="89"/>
        <v xml:space="preserve"> </v>
      </c>
      <c r="U379" s="8" t="str">
        <f t="shared" si="90"/>
        <v xml:space="preserve"> </v>
      </c>
      <c r="V379" s="9" t="str">
        <f t="shared" si="82"/>
        <v xml:space="preserve"> </v>
      </c>
      <c r="W379" s="9" t="str">
        <f t="shared" si="91"/>
        <v/>
      </c>
      <c r="X379" s="32"/>
      <c r="Y379" s="36"/>
    </row>
    <row r="380" spans="1:25" s="4" customFormat="1" ht="18" customHeight="1">
      <c r="A380" s="36"/>
      <c r="B380" s="69" t="s">
        <v>926</v>
      </c>
      <c r="C380" s="69" t="s">
        <v>672</v>
      </c>
      <c r="D380" s="31" t="s">
        <v>708</v>
      </c>
      <c r="E380" s="29" t="s">
        <v>34</v>
      </c>
      <c r="F380" s="28">
        <v>0.85</v>
      </c>
      <c r="G380" s="29">
        <v>0.04</v>
      </c>
      <c r="H380" s="29">
        <v>-0.04</v>
      </c>
      <c r="I380" s="30" t="s">
        <v>39</v>
      </c>
      <c r="J380" s="12">
        <f t="shared" si="83"/>
        <v>0.89</v>
      </c>
      <c r="K380" s="12">
        <f t="shared" si="84"/>
        <v>0.80999999999999994</v>
      </c>
      <c r="L380" s="78"/>
      <c r="M380" s="78"/>
      <c r="N380" s="78"/>
      <c r="O380" s="36"/>
      <c r="P380" s="24" t="str">
        <f t="shared" si="85"/>
        <v xml:space="preserve"> </v>
      </c>
      <c r="Q380" s="25" t="str">
        <f t="shared" si="86"/>
        <v xml:space="preserve"> </v>
      </c>
      <c r="R380" s="25" t="str">
        <f t="shared" si="87"/>
        <v xml:space="preserve"> </v>
      </c>
      <c r="S380" s="26" t="str">
        <f t="shared" si="88"/>
        <v xml:space="preserve"> </v>
      </c>
      <c r="T380" s="7" t="str">
        <f t="shared" si="89"/>
        <v xml:space="preserve"> </v>
      </c>
      <c r="U380" s="8" t="str">
        <f t="shared" si="90"/>
        <v xml:space="preserve"> </v>
      </c>
      <c r="V380" s="9" t="str">
        <f t="shared" si="82"/>
        <v xml:space="preserve"> </v>
      </c>
      <c r="W380" s="9" t="str">
        <f t="shared" si="91"/>
        <v/>
      </c>
      <c r="X380" s="32"/>
      <c r="Y380" s="36"/>
    </row>
    <row r="381" spans="1:25" s="4" customFormat="1" ht="18" customHeight="1">
      <c r="A381" s="36"/>
      <c r="B381" s="69" t="s">
        <v>927</v>
      </c>
      <c r="C381" s="69" t="s">
        <v>673</v>
      </c>
      <c r="D381" s="31" t="s">
        <v>708</v>
      </c>
      <c r="E381" s="29" t="s">
        <v>34</v>
      </c>
      <c r="F381" s="28">
        <v>0.85</v>
      </c>
      <c r="G381" s="29">
        <v>0.04</v>
      </c>
      <c r="H381" s="29">
        <v>-0.04</v>
      </c>
      <c r="I381" s="30" t="s">
        <v>39</v>
      </c>
      <c r="J381" s="12">
        <f t="shared" si="83"/>
        <v>0.89</v>
      </c>
      <c r="K381" s="12">
        <f t="shared" si="84"/>
        <v>0.80999999999999994</v>
      </c>
      <c r="L381" s="78"/>
      <c r="M381" s="78"/>
      <c r="N381" s="78"/>
      <c r="O381" s="36"/>
      <c r="P381" s="24" t="str">
        <f t="shared" si="85"/>
        <v xml:space="preserve"> </v>
      </c>
      <c r="Q381" s="25" t="str">
        <f t="shared" si="86"/>
        <v xml:space="preserve"> </v>
      </c>
      <c r="R381" s="25" t="str">
        <f t="shared" si="87"/>
        <v xml:space="preserve"> </v>
      </c>
      <c r="S381" s="26" t="str">
        <f t="shared" si="88"/>
        <v xml:space="preserve"> </v>
      </c>
      <c r="T381" s="7" t="str">
        <f t="shared" si="89"/>
        <v xml:space="preserve"> </v>
      </c>
      <c r="U381" s="8" t="str">
        <f t="shared" si="90"/>
        <v xml:space="preserve"> </v>
      </c>
      <c r="V381" s="9" t="str">
        <f t="shared" si="82"/>
        <v xml:space="preserve"> </v>
      </c>
      <c r="W381" s="9" t="str">
        <f t="shared" si="91"/>
        <v/>
      </c>
      <c r="X381" s="32"/>
      <c r="Y381" s="36"/>
    </row>
    <row r="382" spans="1:25" s="4" customFormat="1" ht="18" customHeight="1">
      <c r="A382" s="36"/>
      <c r="B382" s="69" t="s">
        <v>928</v>
      </c>
      <c r="C382" s="69" t="s">
        <v>674</v>
      </c>
      <c r="D382" s="31" t="s">
        <v>708</v>
      </c>
      <c r="E382" s="29" t="s">
        <v>34</v>
      </c>
      <c r="F382" s="28">
        <v>0.85</v>
      </c>
      <c r="G382" s="29">
        <v>0.04</v>
      </c>
      <c r="H382" s="29">
        <v>-0.04</v>
      </c>
      <c r="I382" s="30" t="s">
        <v>39</v>
      </c>
      <c r="J382" s="12">
        <f t="shared" si="83"/>
        <v>0.89</v>
      </c>
      <c r="K382" s="12">
        <f t="shared" si="84"/>
        <v>0.80999999999999994</v>
      </c>
      <c r="L382" s="78"/>
      <c r="M382" s="78"/>
      <c r="N382" s="78"/>
      <c r="O382" s="36"/>
      <c r="P382" s="24" t="str">
        <f t="shared" si="85"/>
        <v xml:space="preserve"> </v>
      </c>
      <c r="Q382" s="25" t="str">
        <f t="shared" si="86"/>
        <v xml:space="preserve"> </v>
      </c>
      <c r="R382" s="25" t="str">
        <f t="shared" si="87"/>
        <v xml:space="preserve"> </v>
      </c>
      <c r="S382" s="26" t="str">
        <f t="shared" si="88"/>
        <v xml:space="preserve"> </v>
      </c>
      <c r="T382" s="7" t="str">
        <f t="shared" si="89"/>
        <v xml:space="preserve"> </v>
      </c>
      <c r="U382" s="8" t="str">
        <f t="shared" si="90"/>
        <v xml:space="preserve"> </v>
      </c>
      <c r="V382" s="9" t="str">
        <f t="shared" si="82"/>
        <v xml:space="preserve"> </v>
      </c>
      <c r="W382" s="9" t="str">
        <f t="shared" si="91"/>
        <v/>
      </c>
      <c r="X382" s="32"/>
      <c r="Y382" s="36"/>
    </row>
    <row r="383" spans="1:25" s="4" customFormat="1" ht="18" customHeight="1">
      <c r="A383" s="36"/>
      <c r="B383" s="69" t="s">
        <v>929</v>
      </c>
      <c r="C383" s="69" t="s">
        <v>675</v>
      </c>
      <c r="D383" s="31" t="s">
        <v>708</v>
      </c>
      <c r="E383" s="29" t="s">
        <v>34</v>
      </c>
      <c r="F383" s="28">
        <v>0.85</v>
      </c>
      <c r="G383" s="29">
        <v>0.04</v>
      </c>
      <c r="H383" s="29">
        <v>-0.04</v>
      </c>
      <c r="I383" s="30" t="s">
        <v>39</v>
      </c>
      <c r="J383" s="12">
        <f t="shared" si="83"/>
        <v>0.89</v>
      </c>
      <c r="K383" s="12">
        <f t="shared" si="84"/>
        <v>0.80999999999999994</v>
      </c>
      <c r="L383" s="78"/>
      <c r="M383" s="78"/>
      <c r="N383" s="78"/>
      <c r="O383" s="36"/>
      <c r="P383" s="24" t="str">
        <f t="shared" si="85"/>
        <v xml:space="preserve"> </v>
      </c>
      <c r="Q383" s="25" t="str">
        <f t="shared" si="86"/>
        <v xml:space="preserve"> </v>
      </c>
      <c r="R383" s="25" t="str">
        <f t="shared" si="87"/>
        <v xml:space="preserve"> </v>
      </c>
      <c r="S383" s="26" t="str">
        <f t="shared" si="88"/>
        <v xml:space="preserve"> </v>
      </c>
      <c r="T383" s="7" t="str">
        <f t="shared" si="89"/>
        <v xml:space="preserve"> </v>
      </c>
      <c r="U383" s="8" t="str">
        <f t="shared" si="90"/>
        <v xml:space="preserve"> </v>
      </c>
      <c r="V383" s="9" t="str">
        <f t="shared" si="82"/>
        <v xml:space="preserve"> </v>
      </c>
      <c r="W383" s="9" t="str">
        <f t="shared" si="91"/>
        <v/>
      </c>
      <c r="X383" s="32"/>
      <c r="Y383" s="36"/>
    </row>
    <row r="384" spans="1:25" s="4" customFormat="1" ht="18" customHeight="1">
      <c r="A384" s="36"/>
      <c r="B384" s="69" t="s">
        <v>930</v>
      </c>
      <c r="C384" s="69" t="s">
        <v>676</v>
      </c>
      <c r="D384" s="31" t="s">
        <v>708</v>
      </c>
      <c r="E384" s="29" t="s">
        <v>34</v>
      </c>
      <c r="F384" s="28">
        <v>0.85</v>
      </c>
      <c r="G384" s="29">
        <v>0.04</v>
      </c>
      <c r="H384" s="29">
        <v>-0.04</v>
      </c>
      <c r="I384" s="30" t="s">
        <v>39</v>
      </c>
      <c r="J384" s="12">
        <f t="shared" si="83"/>
        <v>0.89</v>
      </c>
      <c r="K384" s="12">
        <f t="shared" si="84"/>
        <v>0.80999999999999994</v>
      </c>
      <c r="L384" s="78"/>
      <c r="M384" s="78"/>
      <c r="N384" s="78"/>
      <c r="O384" s="36"/>
      <c r="P384" s="24" t="str">
        <f t="shared" si="85"/>
        <v xml:space="preserve"> </v>
      </c>
      <c r="Q384" s="25" t="str">
        <f t="shared" si="86"/>
        <v xml:space="preserve"> </v>
      </c>
      <c r="R384" s="25" t="str">
        <f t="shared" si="87"/>
        <v xml:space="preserve"> </v>
      </c>
      <c r="S384" s="26" t="str">
        <f t="shared" si="88"/>
        <v xml:space="preserve"> </v>
      </c>
      <c r="T384" s="7" t="str">
        <f t="shared" si="89"/>
        <v xml:space="preserve"> </v>
      </c>
      <c r="U384" s="8" t="str">
        <f t="shared" si="90"/>
        <v xml:space="preserve"> </v>
      </c>
      <c r="V384" s="9" t="str">
        <f t="shared" si="82"/>
        <v xml:space="preserve"> </v>
      </c>
      <c r="W384" s="9" t="str">
        <f t="shared" si="91"/>
        <v/>
      </c>
      <c r="X384" s="32"/>
      <c r="Y384" s="36"/>
    </row>
    <row r="385" spans="1:25" s="4" customFormat="1" ht="18" customHeight="1">
      <c r="A385" s="36"/>
      <c r="B385" s="69" t="s">
        <v>931</v>
      </c>
      <c r="C385" s="69" t="s">
        <v>677</v>
      </c>
      <c r="D385" s="31" t="s">
        <v>708</v>
      </c>
      <c r="E385" s="29" t="s">
        <v>34</v>
      </c>
      <c r="F385" s="28">
        <v>0.85</v>
      </c>
      <c r="G385" s="29">
        <v>0.04</v>
      </c>
      <c r="H385" s="29">
        <v>-0.04</v>
      </c>
      <c r="I385" s="30" t="s">
        <v>39</v>
      </c>
      <c r="J385" s="12">
        <f t="shared" si="83"/>
        <v>0.89</v>
      </c>
      <c r="K385" s="12">
        <f t="shared" si="84"/>
        <v>0.80999999999999994</v>
      </c>
      <c r="L385" s="78"/>
      <c r="M385" s="78"/>
      <c r="N385" s="78"/>
      <c r="O385" s="36"/>
      <c r="P385" s="24" t="str">
        <f t="shared" si="85"/>
        <v xml:space="preserve"> </v>
      </c>
      <c r="Q385" s="25" t="str">
        <f t="shared" si="86"/>
        <v xml:space="preserve"> </v>
      </c>
      <c r="R385" s="25" t="str">
        <f t="shared" si="87"/>
        <v xml:space="preserve"> </v>
      </c>
      <c r="S385" s="26" t="str">
        <f t="shared" si="88"/>
        <v xml:space="preserve"> </v>
      </c>
      <c r="T385" s="7" t="str">
        <f t="shared" si="89"/>
        <v xml:space="preserve"> </v>
      </c>
      <c r="U385" s="8" t="str">
        <f t="shared" si="90"/>
        <v xml:space="preserve"> </v>
      </c>
      <c r="V385" s="9" t="str">
        <f t="shared" si="82"/>
        <v xml:space="preserve"> </v>
      </c>
      <c r="W385" s="9" t="str">
        <f t="shared" si="91"/>
        <v/>
      </c>
      <c r="X385" s="32"/>
      <c r="Y385" s="36"/>
    </row>
    <row r="386" spans="1:25" s="4" customFormat="1" ht="18" customHeight="1">
      <c r="A386" s="36"/>
      <c r="B386" s="69" t="s">
        <v>932</v>
      </c>
      <c r="C386" s="69" t="s">
        <v>678</v>
      </c>
      <c r="D386" s="31" t="s">
        <v>708</v>
      </c>
      <c r="E386" s="29" t="s">
        <v>34</v>
      </c>
      <c r="F386" s="28">
        <v>0.85</v>
      </c>
      <c r="G386" s="29">
        <v>0.04</v>
      </c>
      <c r="H386" s="29">
        <v>-0.04</v>
      </c>
      <c r="I386" s="30" t="s">
        <v>39</v>
      </c>
      <c r="J386" s="12">
        <f t="shared" si="83"/>
        <v>0.89</v>
      </c>
      <c r="K386" s="12">
        <f t="shared" si="84"/>
        <v>0.80999999999999994</v>
      </c>
      <c r="L386" s="78"/>
      <c r="M386" s="78"/>
      <c r="N386" s="78"/>
      <c r="O386" s="36"/>
      <c r="P386" s="24" t="str">
        <f t="shared" si="85"/>
        <v xml:space="preserve"> </v>
      </c>
      <c r="Q386" s="25" t="str">
        <f t="shared" si="86"/>
        <v xml:space="preserve"> </v>
      </c>
      <c r="R386" s="25" t="str">
        <f t="shared" si="87"/>
        <v xml:space="preserve"> </v>
      </c>
      <c r="S386" s="26" t="str">
        <f t="shared" si="88"/>
        <v xml:space="preserve"> </v>
      </c>
      <c r="T386" s="7" t="str">
        <f t="shared" si="89"/>
        <v xml:space="preserve"> </v>
      </c>
      <c r="U386" s="8" t="str">
        <f t="shared" si="90"/>
        <v xml:space="preserve"> </v>
      </c>
      <c r="V386" s="9" t="str">
        <f t="shared" si="82"/>
        <v xml:space="preserve"> </v>
      </c>
      <c r="W386" s="9" t="str">
        <f t="shared" si="91"/>
        <v/>
      </c>
      <c r="X386" s="32"/>
      <c r="Y386" s="36"/>
    </row>
    <row r="387" spans="1:25" s="4" customFormat="1" ht="18" customHeight="1">
      <c r="A387" s="36"/>
      <c r="B387" s="69" t="s">
        <v>933</v>
      </c>
      <c r="C387" s="69" t="s">
        <v>679</v>
      </c>
      <c r="D387" s="31" t="s">
        <v>708</v>
      </c>
      <c r="E387" s="29" t="s">
        <v>34</v>
      </c>
      <c r="F387" s="28">
        <v>0.85</v>
      </c>
      <c r="G387" s="29">
        <v>0.04</v>
      </c>
      <c r="H387" s="29">
        <v>-0.04</v>
      </c>
      <c r="I387" s="30" t="s">
        <v>39</v>
      </c>
      <c r="J387" s="12">
        <f t="shared" si="83"/>
        <v>0.89</v>
      </c>
      <c r="K387" s="12">
        <f t="shared" si="84"/>
        <v>0.80999999999999994</v>
      </c>
      <c r="L387" s="78"/>
      <c r="M387" s="78"/>
      <c r="N387" s="78"/>
      <c r="O387" s="36"/>
      <c r="P387" s="24" t="str">
        <f t="shared" si="85"/>
        <v xml:space="preserve"> </v>
      </c>
      <c r="Q387" s="25" t="str">
        <f t="shared" si="86"/>
        <v xml:space="preserve"> </v>
      </c>
      <c r="R387" s="25" t="str">
        <f t="shared" si="87"/>
        <v xml:space="preserve"> </v>
      </c>
      <c r="S387" s="26" t="str">
        <f t="shared" si="88"/>
        <v xml:space="preserve"> </v>
      </c>
      <c r="T387" s="7" t="str">
        <f t="shared" si="89"/>
        <v xml:space="preserve"> </v>
      </c>
      <c r="U387" s="8" t="str">
        <f t="shared" si="90"/>
        <v xml:space="preserve"> </v>
      </c>
      <c r="V387" s="9" t="str">
        <f t="shared" si="82"/>
        <v xml:space="preserve"> </v>
      </c>
      <c r="W387" s="9" t="str">
        <f t="shared" si="91"/>
        <v/>
      </c>
      <c r="X387" s="32"/>
      <c r="Y387" s="36"/>
    </row>
    <row r="388" spans="1:25" s="4" customFormat="1" ht="18" customHeight="1">
      <c r="A388" s="36"/>
      <c r="B388" s="69" t="s">
        <v>934</v>
      </c>
      <c r="C388" s="69" t="s">
        <v>680</v>
      </c>
      <c r="D388" s="31" t="s">
        <v>708</v>
      </c>
      <c r="E388" s="29" t="s">
        <v>34</v>
      </c>
      <c r="F388" s="28">
        <v>0.85</v>
      </c>
      <c r="G388" s="29">
        <v>0.04</v>
      </c>
      <c r="H388" s="29">
        <v>-0.04</v>
      </c>
      <c r="I388" s="30" t="s">
        <v>39</v>
      </c>
      <c r="J388" s="12">
        <f t="shared" si="83"/>
        <v>0.89</v>
      </c>
      <c r="K388" s="12">
        <f t="shared" si="84"/>
        <v>0.80999999999999994</v>
      </c>
      <c r="L388" s="78"/>
      <c r="M388" s="78"/>
      <c r="N388" s="78"/>
      <c r="O388" s="36"/>
      <c r="P388" s="24" t="str">
        <f t="shared" si="85"/>
        <v xml:space="preserve"> </v>
      </c>
      <c r="Q388" s="25" t="str">
        <f t="shared" si="86"/>
        <v xml:space="preserve"> </v>
      </c>
      <c r="R388" s="25" t="str">
        <f t="shared" si="87"/>
        <v xml:space="preserve"> </v>
      </c>
      <c r="S388" s="26" t="str">
        <f t="shared" si="88"/>
        <v xml:space="preserve"> </v>
      </c>
      <c r="T388" s="7" t="str">
        <f t="shared" si="89"/>
        <v xml:space="preserve"> </v>
      </c>
      <c r="U388" s="8" t="str">
        <f t="shared" si="90"/>
        <v xml:space="preserve"> </v>
      </c>
      <c r="V388" s="9" t="str">
        <f t="shared" si="82"/>
        <v xml:space="preserve"> </v>
      </c>
      <c r="W388" s="9" t="str">
        <f t="shared" si="91"/>
        <v/>
      </c>
      <c r="X388" s="32"/>
      <c r="Y388" s="36"/>
    </row>
    <row r="389" spans="1:25" s="4" customFormat="1" ht="18" customHeight="1">
      <c r="A389" s="36"/>
      <c r="B389" s="69" t="s">
        <v>935</v>
      </c>
      <c r="C389" s="69" t="s">
        <v>681</v>
      </c>
      <c r="D389" s="31" t="s">
        <v>708</v>
      </c>
      <c r="E389" s="29" t="s">
        <v>34</v>
      </c>
      <c r="F389" s="28">
        <v>0.85</v>
      </c>
      <c r="G389" s="29">
        <v>0.04</v>
      </c>
      <c r="H389" s="29">
        <v>-0.04</v>
      </c>
      <c r="I389" s="30" t="s">
        <v>39</v>
      </c>
      <c r="J389" s="12">
        <f t="shared" si="83"/>
        <v>0.89</v>
      </c>
      <c r="K389" s="12">
        <f t="shared" si="84"/>
        <v>0.80999999999999994</v>
      </c>
      <c r="L389" s="78"/>
      <c r="M389" s="78"/>
      <c r="N389" s="78"/>
      <c r="O389" s="36"/>
      <c r="P389" s="24" t="str">
        <f t="shared" si="85"/>
        <v xml:space="preserve"> </v>
      </c>
      <c r="Q389" s="25" t="str">
        <f t="shared" si="86"/>
        <v xml:space="preserve"> </v>
      </c>
      <c r="R389" s="25" t="str">
        <f t="shared" si="87"/>
        <v xml:space="preserve"> </v>
      </c>
      <c r="S389" s="26" t="str">
        <f t="shared" si="88"/>
        <v xml:space="preserve"> </v>
      </c>
      <c r="T389" s="7" t="str">
        <f t="shared" si="89"/>
        <v xml:space="preserve"> </v>
      </c>
      <c r="U389" s="8" t="str">
        <f t="shared" si="90"/>
        <v xml:space="preserve"> </v>
      </c>
      <c r="V389" s="9" t="str">
        <f t="shared" si="82"/>
        <v xml:space="preserve"> </v>
      </c>
      <c r="W389" s="9" t="str">
        <f t="shared" si="91"/>
        <v/>
      </c>
      <c r="X389" s="32"/>
      <c r="Y389" s="36"/>
    </row>
    <row r="390" spans="1:25" s="4" customFormat="1" ht="18" customHeight="1">
      <c r="A390" s="36"/>
      <c r="B390" s="69">
        <v>119.01</v>
      </c>
      <c r="C390" s="69" t="s">
        <v>712</v>
      </c>
      <c r="D390" s="31" t="s">
        <v>708</v>
      </c>
      <c r="E390" s="29" t="s">
        <v>34</v>
      </c>
      <c r="F390" s="28">
        <v>0.45</v>
      </c>
      <c r="G390" s="29">
        <v>0.04</v>
      </c>
      <c r="H390" s="29">
        <v>-0.04</v>
      </c>
      <c r="I390" s="30" t="s">
        <v>39</v>
      </c>
      <c r="J390" s="12">
        <f t="shared" si="83"/>
        <v>0.49</v>
      </c>
      <c r="K390" s="12">
        <f t="shared" si="84"/>
        <v>0.41000000000000003</v>
      </c>
      <c r="L390" s="78"/>
      <c r="M390" s="78"/>
      <c r="N390" s="78"/>
      <c r="O390" s="36"/>
      <c r="P390" s="24" t="str">
        <f t="shared" si="85"/>
        <v xml:space="preserve"> </v>
      </c>
      <c r="Q390" s="25" t="str">
        <f t="shared" si="86"/>
        <v xml:space="preserve"> </v>
      </c>
      <c r="R390" s="25" t="str">
        <f t="shared" si="87"/>
        <v xml:space="preserve"> </v>
      </c>
      <c r="S390" s="26" t="str">
        <f t="shared" si="88"/>
        <v xml:space="preserve"> </v>
      </c>
      <c r="T390" s="7" t="str">
        <f t="shared" si="89"/>
        <v xml:space="preserve"> </v>
      </c>
      <c r="U390" s="8" t="str">
        <f t="shared" si="90"/>
        <v xml:space="preserve"> </v>
      </c>
      <c r="V390" s="9" t="str">
        <f t="shared" si="82"/>
        <v xml:space="preserve"> </v>
      </c>
      <c r="W390" s="9" t="str">
        <f t="shared" si="91"/>
        <v/>
      </c>
      <c r="X390" s="32"/>
      <c r="Y390" s="36"/>
    </row>
    <row r="391" spans="1:25" s="4" customFormat="1" ht="18" customHeight="1">
      <c r="A391" s="36"/>
      <c r="B391" s="69">
        <v>119.02</v>
      </c>
      <c r="C391" s="69" t="s">
        <v>713</v>
      </c>
      <c r="D391" s="31" t="s">
        <v>708</v>
      </c>
      <c r="E391" s="29" t="s">
        <v>34</v>
      </c>
      <c r="F391" s="28">
        <v>0.45</v>
      </c>
      <c r="G391" s="29">
        <v>0.04</v>
      </c>
      <c r="H391" s="29">
        <v>-0.04</v>
      </c>
      <c r="I391" s="30" t="s">
        <v>39</v>
      </c>
      <c r="J391" s="12">
        <f t="shared" si="83"/>
        <v>0.49</v>
      </c>
      <c r="K391" s="12">
        <f t="shared" si="84"/>
        <v>0.41000000000000003</v>
      </c>
      <c r="L391" s="78"/>
      <c r="M391" s="78"/>
      <c r="N391" s="78"/>
      <c r="O391" s="36"/>
      <c r="P391" s="24" t="str">
        <f t="shared" si="85"/>
        <v xml:space="preserve"> </v>
      </c>
      <c r="Q391" s="25" t="str">
        <f t="shared" si="86"/>
        <v xml:space="preserve"> </v>
      </c>
      <c r="R391" s="25" t="str">
        <f t="shared" si="87"/>
        <v xml:space="preserve"> </v>
      </c>
      <c r="S391" s="26" t="str">
        <f t="shared" si="88"/>
        <v xml:space="preserve"> </v>
      </c>
      <c r="T391" s="7" t="str">
        <f t="shared" si="89"/>
        <v xml:space="preserve"> </v>
      </c>
      <c r="U391" s="8" t="str">
        <f t="shared" si="90"/>
        <v xml:space="preserve"> </v>
      </c>
      <c r="V391" s="9" t="str">
        <f t="shared" si="82"/>
        <v xml:space="preserve"> </v>
      </c>
      <c r="W391" s="9" t="str">
        <f t="shared" si="91"/>
        <v/>
      </c>
      <c r="X391" s="32"/>
      <c r="Y391" s="36"/>
    </row>
    <row r="392" spans="1:25" s="4" customFormat="1" ht="18" customHeight="1">
      <c r="A392" s="36"/>
      <c r="B392" s="69">
        <v>119.03</v>
      </c>
      <c r="C392" s="69" t="s">
        <v>714</v>
      </c>
      <c r="D392" s="31" t="s">
        <v>708</v>
      </c>
      <c r="E392" s="29" t="s">
        <v>34</v>
      </c>
      <c r="F392" s="28">
        <v>0.45</v>
      </c>
      <c r="G392" s="29">
        <v>0.04</v>
      </c>
      <c r="H392" s="29">
        <v>-0.04</v>
      </c>
      <c r="I392" s="30" t="s">
        <v>39</v>
      </c>
      <c r="J392" s="12">
        <f t="shared" si="83"/>
        <v>0.49</v>
      </c>
      <c r="K392" s="12">
        <f t="shared" si="84"/>
        <v>0.41000000000000003</v>
      </c>
      <c r="L392" s="78"/>
      <c r="M392" s="78"/>
      <c r="N392" s="78"/>
      <c r="O392" s="36"/>
      <c r="P392" s="24" t="str">
        <f t="shared" si="85"/>
        <v xml:space="preserve"> </v>
      </c>
      <c r="Q392" s="25" t="str">
        <f t="shared" si="86"/>
        <v xml:space="preserve"> </v>
      </c>
      <c r="R392" s="25" t="str">
        <f t="shared" si="87"/>
        <v xml:space="preserve"> </v>
      </c>
      <c r="S392" s="26" t="str">
        <f t="shared" si="88"/>
        <v xml:space="preserve"> </v>
      </c>
      <c r="T392" s="7" t="str">
        <f t="shared" si="89"/>
        <v xml:space="preserve"> </v>
      </c>
      <c r="U392" s="8" t="str">
        <f t="shared" si="90"/>
        <v xml:space="preserve"> </v>
      </c>
      <c r="V392" s="9" t="str">
        <f t="shared" si="82"/>
        <v xml:space="preserve"> </v>
      </c>
      <c r="W392" s="9" t="str">
        <f t="shared" si="91"/>
        <v/>
      </c>
      <c r="X392" s="32"/>
      <c r="Y392" s="36"/>
    </row>
    <row r="393" spans="1:25" s="4" customFormat="1" ht="18" customHeight="1">
      <c r="A393" s="36"/>
      <c r="B393" s="69">
        <v>119.04</v>
      </c>
      <c r="C393" s="69" t="s">
        <v>715</v>
      </c>
      <c r="D393" s="31" t="s">
        <v>708</v>
      </c>
      <c r="E393" s="29" t="s">
        <v>34</v>
      </c>
      <c r="F393" s="28">
        <v>0.45</v>
      </c>
      <c r="G393" s="29">
        <v>0.04</v>
      </c>
      <c r="H393" s="29">
        <v>-0.04</v>
      </c>
      <c r="I393" s="30" t="s">
        <v>39</v>
      </c>
      <c r="J393" s="12">
        <f t="shared" si="83"/>
        <v>0.49</v>
      </c>
      <c r="K393" s="12">
        <f t="shared" si="84"/>
        <v>0.41000000000000003</v>
      </c>
      <c r="L393" s="78"/>
      <c r="M393" s="78"/>
      <c r="N393" s="78"/>
      <c r="O393" s="36"/>
      <c r="P393" s="24" t="str">
        <f t="shared" si="85"/>
        <v xml:space="preserve"> </v>
      </c>
      <c r="Q393" s="25" t="str">
        <f t="shared" si="86"/>
        <v xml:space="preserve"> </v>
      </c>
      <c r="R393" s="25" t="str">
        <f t="shared" si="87"/>
        <v xml:space="preserve"> </v>
      </c>
      <c r="S393" s="26" t="str">
        <f t="shared" si="88"/>
        <v xml:space="preserve"> </v>
      </c>
      <c r="T393" s="7" t="str">
        <f t="shared" si="89"/>
        <v xml:space="preserve"> </v>
      </c>
      <c r="U393" s="8" t="str">
        <f t="shared" si="90"/>
        <v xml:space="preserve"> </v>
      </c>
      <c r="V393" s="9" t="str">
        <f t="shared" si="82"/>
        <v xml:space="preserve"> </v>
      </c>
      <c r="W393" s="9" t="str">
        <f t="shared" si="91"/>
        <v/>
      </c>
      <c r="X393" s="32"/>
      <c r="Y393" s="36"/>
    </row>
    <row r="394" spans="1:25" s="4" customFormat="1" ht="18" customHeight="1">
      <c r="A394" s="36"/>
      <c r="B394" s="69">
        <v>119.05</v>
      </c>
      <c r="C394" s="69" t="s">
        <v>716</v>
      </c>
      <c r="D394" s="31" t="s">
        <v>708</v>
      </c>
      <c r="E394" s="29" t="s">
        <v>34</v>
      </c>
      <c r="F394" s="28">
        <v>0.45</v>
      </c>
      <c r="G394" s="29">
        <v>0.04</v>
      </c>
      <c r="H394" s="29">
        <v>-0.04</v>
      </c>
      <c r="I394" s="30" t="s">
        <v>39</v>
      </c>
      <c r="J394" s="12">
        <f t="shared" si="83"/>
        <v>0.49</v>
      </c>
      <c r="K394" s="12">
        <f t="shared" si="84"/>
        <v>0.41000000000000003</v>
      </c>
      <c r="L394" s="78"/>
      <c r="M394" s="78"/>
      <c r="N394" s="78"/>
      <c r="O394" s="36"/>
      <c r="P394" s="24" t="str">
        <f t="shared" si="85"/>
        <v xml:space="preserve"> </v>
      </c>
      <c r="Q394" s="25" t="str">
        <f t="shared" si="86"/>
        <v xml:space="preserve"> </v>
      </c>
      <c r="R394" s="25" t="str">
        <f t="shared" si="87"/>
        <v xml:space="preserve"> </v>
      </c>
      <c r="S394" s="26" t="str">
        <f t="shared" si="88"/>
        <v xml:space="preserve"> </v>
      </c>
      <c r="T394" s="7" t="str">
        <f t="shared" si="89"/>
        <v xml:space="preserve"> </v>
      </c>
      <c r="U394" s="8" t="str">
        <f t="shared" si="90"/>
        <v xml:space="preserve"> </v>
      </c>
      <c r="V394" s="9" t="str">
        <f t="shared" si="82"/>
        <v xml:space="preserve"> </v>
      </c>
      <c r="W394" s="9" t="str">
        <f t="shared" si="91"/>
        <v/>
      </c>
      <c r="X394" s="32"/>
      <c r="Y394" s="36"/>
    </row>
    <row r="395" spans="1:25" s="4" customFormat="1" ht="18" customHeight="1">
      <c r="A395" s="36"/>
      <c r="B395" s="69">
        <v>119.06</v>
      </c>
      <c r="C395" s="69" t="s">
        <v>717</v>
      </c>
      <c r="D395" s="31" t="s">
        <v>708</v>
      </c>
      <c r="E395" s="29" t="s">
        <v>34</v>
      </c>
      <c r="F395" s="28">
        <v>0.45</v>
      </c>
      <c r="G395" s="29">
        <v>0.04</v>
      </c>
      <c r="H395" s="29">
        <v>-0.04</v>
      </c>
      <c r="I395" s="30" t="s">
        <v>39</v>
      </c>
      <c r="J395" s="12">
        <f t="shared" si="83"/>
        <v>0.49</v>
      </c>
      <c r="K395" s="12">
        <f t="shared" si="84"/>
        <v>0.41000000000000003</v>
      </c>
      <c r="L395" s="78"/>
      <c r="M395" s="78"/>
      <c r="N395" s="78"/>
      <c r="O395" s="36"/>
      <c r="P395" s="24" t="str">
        <f t="shared" si="85"/>
        <v xml:space="preserve"> </v>
      </c>
      <c r="Q395" s="25" t="str">
        <f t="shared" si="86"/>
        <v xml:space="preserve"> </v>
      </c>
      <c r="R395" s="25" t="str">
        <f t="shared" si="87"/>
        <v xml:space="preserve"> </v>
      </c>
      <c r="S395" s="26" t="str">
        <f t="shared" si="88"/>
        <v xml:space="preserve"> </v>
      </c>
      <c r="T395" s="7" t="str">
        <f t="shared" si="89"/>
        <v xml:space="preserve"> </v>
      </c>
      <c r="U395" s="8" t="str">
        <f t="shared" si="90"/>
        <v xml:space="preserve"> </v>
      </c>
      <c r="V395" s="9" t="str">
        <f t="shared" si="82"/>
        <v xml:space="preserve"> </v>
      </c>
      <c r="W395" s="9" t="str">
        <f t="shared" si="91"/>
        <v/>
      </c>
      <c r="X395" s="32"/>
      <c r="Y395" s="36"/>
    </row>
    <row r="396" spans="1:25" s="4" customFormat="1" ht="18" customHeight="1">
      <c r="A396" s="36"/>
      <c r="B396" s="69">
        <v>119.07</v>
      </c>
      <c r="C396" s="69" t="s">
        <v>718</v>
      </c>
      <c r="D396" s="31" t="s">
        <v>708</v>
      </c>
      <c r="E396" s="29" t="s">
        <v>34</v>
      </c>
      <c r="F396" s="28">
        <v>0.45</v>
      </c>
      <c r="G396" s="29">
        <v>0.04</v>
      </c>
      <c r="H396" s="29">
        <v>-0.04</v>
      </c>
      <c r="I396" s="30" t="s">
        <v>39</v>
      </c>
      <c r="J396" s="12">
        <f t="shared" si="83"/>
        <v>0.49</v>
      </c>
      <c r="K396" s="12">
        <f t="shared" si="84"/>
        <v>0.41000000000000003</v>
      </c>
      <c r="L396" s="78"/>
      <c r="M396" s="78"/>
      <c r="N396" s="78"/>
      <c r="O396" s="36"/>
      <c r="P396" s="24" t="str">
        <f t="shared" si="85"/>
        <v xml:space="preserve"> </v>
      </c>
      <c r="Q396" s="25" t="str">
        <f t="shared" si="86"/>
        <v xml:space="preserve"> </v>
      </c>
      <c r="R396" s="25" t="str">
        <f t="shared" si="87"/>
        <v xml:space="preserve"> </v>
      </c>
      <c r="S396" s="26" t="str">
        <f t="shared" si="88"/>
        <v xml:space="preserve"> </v>
      </c>
      <c r="T396" s="7" t="str">
        <f t="shared" si="89"/>
        <v xml:space="preserve"> </v>
      </c>
      <c r="U396" s="8" t="str">
        <f t="shared" si="90"/>
        <v xml:space="preserve"> </v>
      </c>
      <c r="V396" s="9" t="str">
        <f t="shared" si="82"/>
        <v xml:space="preserve"> </v>
      </c>
      <c r="W396" s="9" t="str">
        <f t="shared" si="91"/>
        <v/>
      </c>
      <c r="X396" s="32"/>
      <c r="Y396" s="36"/>
    </row>
    <row r="397" spans="1:25" s="4" customFormat="1" ht="18" customHeight="1">
      <c r="A397" s="36"/>
      <c r="B397" s="69">
        <v>119.08</v>
      </c>
      <c r="C397" s="69" t="s">
        <v>719</v>
      </c>
      <c r="D397" s="31" t="s">
        <v>708</v>
      </c>
      <c r="E397" s="29" t="s">
        <v>34</v>
      </c>
      <c r="F397" s="28">
        <v>0.45</v>
      </c>
      <c r="G397" s="29">
        <v>0.04</v>
      </c>
      <c r="H397" s="29">
        <v>-0.04</v>
      </c>
      <c r="I397" s="30" t="s">
        <v>39</v>
      </c>
      <c r="J397" s="12">
        <f t="shared" si="83"/>
        <v>0.49</v>
      </c>
      <c r="K397" s="12">
        <f t="shared" si="84"/>
        <v>0.41000000000000003</v>
      </c>
      <c r="L397" s="78"/>
      <c r="M397" s="78"/>
      <c r="N397" s="78"/>
      <c r="O397" s="36"/>
      <c r="P397" s="24" t="str">
        <f t="shared" si="60"/>
        <v xml:space="preserve"> </v>
      </c>
      <c r="Q397" s="25" t="str">
        <f t="shared" si="61"/>
        <v xml:space="preserve"> </v>
      </c>
      <c r="R397" s="25" t="str">
        <f t="shared" si="62"/>
        <v xml:space="preserve"> </v>
      </c>
      <c r="S397" s="26" t="str">
        <f t="shared" si="63"/>
        <v xml:space="preserve"> </v>
      </c>
      <c r="T397" s="7" t="str">
        <f t="shared" si="64"/>
        <v xml:space="preserve"> </v>
      </c>
      <c r="U397" s="8" t="str">
        <f t="shared" si="65"/>
        <v xml:space="preserve"> </v>
      </c>
      <c r="V397" s="9" t="str">
        <f t="shared" si="66"/>
        <v xml:space="preserve"> </v>
      </c>
      <c r="W397" s="9" t="str">
        <f t="shared" si="67"/>
        <v/>
      </c>
      <c r="X397" s="32"/>
      <c r="Y397" s="36"/>
    </row>
    <row r="398" spans="1:25" s="4" customFormat="1" ht="18" customHeight="1">
      <c r="A398" s="36"/>
      <c r="B398" s="69">
        <v>119.09</v>
      </c>
      <c r="C398" s="69" t="s">
        <v>720</v>
      </c>
      <c r="D398" s="31" t="s">
        <v>708</v>
      </c>
      <c r="E398" s="29" t="s">
        <v>34</v>
      </c>
      <c r="F398" s="28">
        <v>0.45</v>
      </c>
      <c r="G398" s="29">
        <v>0.04</v>
      </c>
      <c r="H398" s="29">
        <v>-0.04</v>
      </c>
      <c r="I398" s="30" t="s">
        <v>39</v>
      </c>
      <c r="J398" s="12">
        <f t="shared" si="83"/>
        <v>0.49</v>
      </c>
      <c r="K398" s="12">
        <f t="shared" si="84"/>
        <v>0.41000000000000003</v>
      </c>
      <c r="L398" s="78"/>
      <c r="M398" s="78"/>
      <c r="N398" s="78"/>
      <c r="O398" s="36"/>
      <c r="P398" s="24" t="str">
        <f t="shared" si="60"/>
        <v xml:space="preserve"> </v>
      </c>
      <c r="Q398" s="25" t="str">
        <f t="shared" si="61"/>
        <v xml:space="preserve"> </v>
      </c>
      <c r="R398" s="25" t="str">
        <f t="shared" si="62"/>
        <v xml:space="preserve"> </v>
      </c>
      <c r="S398" s="26" t="str">
        <f t="shared" si="63"/>
        <v xml:space="preserve"> </v>
      </c>
      <c r="T398" s="7" t="str">
        <f t="shared" si="64"/>
        <v xml:space="preserve"> </v>
      </c>
      <c r="U398" s="8" t="str">
        <f t="shared" si="65"/>
        <v xml:space="preserve"> </v>
      </c>
      <c r="V398" s="9" t="str">
        <f t="shared" si="66"/>
        <v xml:space="preserve"> </v>
      </c>
      <c r="W398" s="9" t="str">
        <f t="shared" si="67"/>
        <v/>
      </c>
      <c r="X398" s="32"/>
      <c r="Y398" s="36"/>
    </row>
    <row r="399" spans="1:25" s="4" customFormat="1" ht="18" customHeight="1">
      <c r="A399" s="36"/>
      <c r="B399" s="69" t="s">
        <v>936</v>
      </c>
      <c r="C399" s="69" t="s">
        <v>721</v>
      </c>
      <c r="D399" s="31" t="s">
        <v>708</v>
      </c>
      <c r="E399" s="29" t="s">
        <v>34</v>
      </c>
      <c r="F399" s="28">
        <v>0.45</v>
      </c>
      <c r="G399" s="29">
        <v>0.04</v>
      </c>
      <c r="H399" s="29">
        <v>-0.04</v>
      </c>
      <c r="I399" s="30" t="s">
        <v>39</v>
      </c>
      <c r="J399" s="12">
        <f t="shared" si="83"/>
        <v>0.49</v>
      </c>
      <c r="K399" s="12">
        <f t="shared" si="84"/>
        <v>0.41000000000000003</v>
      </c>
      <c r="L399" s="78"/>
      <c r="M399" s="78"/>
      <c r="N399" s="78"/>
      <c r="O399" s="36"/>
      <c r="P399" s="24" t="str">
        <f t="shared" si="60"/>
        <v xml:space="preserve"> </v>
      </c>
      <c r="Q399" s="25" t="str">
        <f t="shared" si="61"/>
        <v xml:space="preserve"> </v>
      </c>
      <c r="R399" s="25" t="str">
        <f t="shared" si="62"/>
        <v xml:space="preserve"> </v>
      </c>
      <c r="S399" s="26" t="str">
        <f t="shared" si="63"/>
        <v xml:space="preserve"> </v>
      </c>
      <c r="T399" s="7" t="str">
        <f t="shared" si="64"/>
        <v xml:space="preserve"> </v>
      </c>
      <c r="U399" s="8" t="str">
        <f t="shared" si="65"/>
        <v xml:space="preserve"> </v>
      </c>
      <c r="V399" s="9" t="str">
        <f t="shared" si="66"/>
        <v xml:space="preserve"> </v>
      </c>
      <c r="W399" s="9" t="str">
        <f t="shared" si="67"/>
        <v/>
      </c>
      <c r="X399" s="32"/>
      <c r="Y399" s="36"/>
    </row>
    <row r="400" spans="1:25" s="4" customFormat="1" ht="18" customHeight="1">
      <c r="A400" s="36"/>
      <c r="B400" s="69">
        <v>119.11</v>
      </c>
      <c r="C400" s="69" t="s">
        <v>722</v>
      </c>
      <c r="D400" s="31" t="s">
        <v>708</v>
      </c>
      <c r="E400" s="29" t="s">
        <v>34</v>
      </c>
      <c r="F400" s="28">
        <v>0.45</v>
      </c>
      <c r="G400" s="29">
        <v>0.04</v>
      </c>
      <c r="H400" s="29">
        <v>-0.04</v>
      </c>
      <c r="I400" s="30" t="s">
        <v>39</v>
      </c>
      <c r="J400" s="12">
        <f t="shared" si="83"/>
        <v>0.49</v>
      </c>
      <c r="K400" s="12">
        <f t="shared" si="84"/>
        <v>0.41000000000000003</v>
      </c>
      <c r="L400" s="78"/>
      <c r="M400" s="78"/>
      <c r="N400" s="78"/>
      <c r="O400" s="36"/>
      <c r="P400" s="24" t="str">
        <f t="shared" si="60"/>
        <v xml:space="preserve"> </v>
      </c>
      <c r="Q400" s="25" t="str">
        <f t="shared" si="61"/>
        <v xml:space="preserve"> </v>
      </c>
      <c r="R400" s="25" t="str">
        <f t="shared" si="62"/>
        <v xml:space="preserve"> </v>
      </c>
      <c r="S400" s="26" t="str">
        <f t="shared" si="63"/>
        <v xml:space="preserve"> </v>
      </c>
      <c r="T400" s="7" t="str">
        <f t="shared" si="64"/>
        <v xml:space="preserve"> </v>
      </c>
      <c r="U400" s="8" t="str">
        <f t="shared" si="65"/>
        <v xml:space="preserve"> </v>
      </c>
      <c r="V400" s="9" t="str">
        <f t="shared" si="66"/>
        <v xml:space="preserve"> </v>
      </c>
      <c r="W400" s="9" t="str">
        <f t="shared" si="67"/>
        <v/>
      </c>
      <c r="X400" s="32"/>
      <c r="Y400" s="36"/>
    </row>
    <row r="401" spans="1:25" s="4" customFormat="1" ht="18" customHeight="1">
      <c r="A401" s="36"/>
      <c r="B401" s="69">
        <v>119.12</v>
      </c>
      <c r="C401" s="69" t="s">
        <v>723</v>
      </c>
      <c r="D401" s="31" t="s">
        <v>708</v>
      </c>
      <c r="E401" s="29" t="s">
        <v>34</v>
      </c>
      <c r="F401" s="28">
        <v>0.45</v>
      </c>
      <c r="G401" s="29">
        <v>0.04</v>
      </c>
      <c r="H401" s="29">
        <v>-0.04</v>
      </c>
      <c r="I401" s="30" t="s">
        <v>39</v>
      </c>
      <c r="J401" s="12">
        <f t="shared" si="83"/>
        <v>0.49</v>
      </c>
      <c r="K401" s="12">
        <f t="shared" si="84"/>
        <v>0.41000000000000003</v>
      </c>
      <c r="L401" s="78"/>
      <c r="M401" s="78"/>
      <c r="N401" s="78"/>
      <c r="O401" s="36"/>
      <c r="P401" s="24" t="str">
        <f t="shared" si="60"/>
        <v xml:space="preserve"> </v>
      </c>
      <c r="Q401" s="25" t="str">
        <f t="shared" si="61"/>
        <v xml:space="preserve"> </v>
      </c>
      <c r="R401" s="25" t="str">
        <f t="shared" si="62"/>
        <v xml:space="preserve"> </v>
      </c>
      <c r="S401" s="26" t="str">
        <f t="shared" si="63"/>
        <v xml:space="preserve"> </v>
      </c>
      <c r="T401" s="7" t="str">
        <f t="shared" si="64"/>
        <v xml:space="preserve"> </v>
      </c>
      <c r="U401" s="8" t="str">
        <f t="shared" si="65"/>
        <v xml:space="preserve"> </v>
      </c>
      <c r="V401" s="9" t="str">
        <f t="shared" si="66"/>
        <v xml:space="preserve"> </v>
      </c>
      <c r="W401" s="9" t="str">
        <f t="shared" si="67"/>
        <v/>
      </c>
      <c r="X401" s="32"/>
      <c r="Y401" s="36"/>
    </row>
    <row r="402" spans="1:25" s="4" customFormat="1" ht="18" customHeight="1">
      <c r="A402" s="36"/>
      <c r="B402" s="69">
        <v>119.13</v>
      </c>
      <c r="C402" s="69" t="s">
        <v>724</v>
      </c>
      <c r="D402" s="31" t="s">
        <v>708</v>
      </c>
      <c r="E402" s="29" t="s">
        <v>34</v>
      </c>
      <c r="F402" s="28">
        <v>0.45</v>
      </c>
      <c r="G402" s="29">
        <v>0.04</v>
      </c>
      <c r="H402" s="29">
        <v>-0.04</v>
      </c>
      <c r="I402" s="30" t="s">
        <v>39</v>
      </c>
      <c r="J402" s="12">
        <f t="shared" si="83"/>
        <v>0.49</v>
      </c>
      <c r="K402" s="12">
        <f t="shared" si="84"/>
        <v>0.41000000000000003</v>
      </c>
      <c r="L402" s="78"/>
      <c r="M402" s="78"/>
      <c r="N402" s="78"/>
      <c r="O402" s="36"/>
      <c r="P402" s="24" t="str">
        <f t="shared" si="60"/>
        <v xml:space="preserve"> </v>
      </c>
      <c r="Q402" s="25" t="str">
        <f t="shared" si="61"/>
        <v xml:space="preserve"> </v>
      </c>
      <c r="R402" s="25" t="str">
        <f t="shared" si="62"/>
        <v xml:space="preserve"> </v>
      </c>
      <c r="S402" s="26" t="str">
        <f t="shared" si="63"/>
        <v xml:space="preserve"> </v>
      </c>
      <c r="T402" s="7" t="str">
        <f t="shared" si="64"/>
        <v xml:space="preserve"> </v>
      </c>
      <c r="U402" s="8" t="str">
        <f t="shared" si="65"/>
        <v xml:space="preserve"> </v>
      </c>
      <c r="V402" s="9" t="str">
        <f t="shared" si="66"/>
        <v xml:space="preserve"> </v>
      </c>
      <c r="W402" s="9" t="str">
        <f t="shared" si="67"/>
        <v/>
      </c>
      <c r="X402" s="32"/>
      <c r="Y402" s="36"/>
    </row>
    <row r="403" spans="1:25" s="4" customFormat="1" ht="18" customHeight="1">
      <c r="A403" s="36"/>
      <c r="B403" s="69">
        <v>119.14</v>
      </c>
      <c r="C403" s="69" t="s">
        <v>725</v>
      </c>
      <c r="D403" s="31" t="s">
        <v>708</v>
      </c>
      <c r="E403" s="29" t="s">
        <v>34</v>
      </c>
      <c r="F403" s="28">
        <v>0.45</v>
      </c>
      <c r="G403" s="29">
        <v>0.04</v>
      </c>
      <c r="H403" s="29">
        <v>-0.04</v>
      </c>
      <c r="I403" s="30" t="s">
        <v>39</v>
      </c>
      <c r="J403" s="12">
        <f t="shared" si="83"/>
        <v>0.49</v>
      </c>
      <c r="K403" s="12">
        <f t="shared" si="84"/>
        <v>0.41000000000000003</v>
      </c>
      <c r="L403" s="78"/>
      <c r="M403" s="78"/>
      <c r="N403" s="78"/>
      <c r="O403" s="36"/>
      <c r="P403" s="24" t="str">
        <f t="shared" si="60"/>
        <v xml:space="preserve"> </v>
      </c>
      <c r="Q403" s="25" t="str">
        <f t="shared" si="61"/>
        <v xml:space="preserve"> </v>
      </c>
      <c r="R403" s="25" t="str">
        <f t="shared" si="62"/>
        <v xml:space="preserve"> </v>
      </c>
      <c r="S403" s="26" t="str">
        <f t="shared" si="63"/>
        <v xml:space="preserve"> </v>
      </c>
      <c r="T403" s="7" t="str">
        <f t="shared" si="64"/>
        <v xml:space="preserve"> </v>
      </c>
      <c r="U403" s="8" t="str">
        <f t="shared" si="65"/>
        <v xml:space="preserve"> </v>
      </c>
      <c r="V403" s="9" t="str">
        <f t="shared" si="66"/>
        <v xml:space="preserve"> </v>
      </c>
      <c r="W403" s="9" t="str">
        <f t="shared" si="67"/>
        <v/>
      </c>
      <c r="X403" s="32"/>
      <c r="Y403" s="36"/>
    </row>
    <row r="404" spans="1:25" s="4" customFormat="1" ht="18" customHeight="1">
      <c r="A404" s="36"/>
      <c r="B404" s="69">
        <v>119.15</v>
      </c>
      <c r="C404" s="69" t="s">
        <v>726</v>
      </c>
      <c r="D404" s="31" t="s">
        <v>708</v>
      </c>
      <c r="E404" s="29" t="s">
        <v>34</v>
      </c>
      <c r="F404" s="28">
        <v>0.45</v>
      </c>
      <c r="G404" s="29">
        <v>0.04</v>
      </c>
      <c r="H404" s="29">
        <v>-0.04</v>
      </c>
      <c r="I404" s="30" t="s">
        <v>39</v>
      </c>
      <c r="J404" s="12">
        <f t="shared" si="83"/>
        <v>0.49</v>
      </c>
      <c r="K404" s="12">
        <f t="shared" si="84"/>
        <v>0.41000000000000003</v>
      </c>
      <c r="L404" s="78"/>
      <c r="M404" s="78"/>
      <c r="N404" s="78"/>
      <c r="O404" s="36"/>
      <c r="P404" s="24" t="str">
        <f t="shared" si="60"/>
        <v xml:space="preserve"> </v>
      </c>
      <c r="Q404" s="25" t="str">
        <f t="shared" si="61"/>
        <v xml:space="preserve"> </v>
      </c>
      <c r="R404" s="25" t="str">
        <f t="shared" si="62"/>
        <v xml:space="preserve"> </v>
      </c>
      <c r="S404" s="26" t="str">
        <f t="shared" si="63"/>
        <v xml:space="preserve"> </v>
      </c>
      <c r="T404" s="7" t="str">
        <f t="shared" si="64"/>
        <v xml:space="preserve"> </v>
      </c>
      <c r="U404" s="8" t="str">
        <f t="shared" si="65"/>
        <v xml:space="preserve"> </v>
      </c>
      <c r="V404" s="9" t="str">
        <f t="shared" si="66"/>
        <v xml:space="preserve"> </v>
      </c>
      <c r="W404" s="9" t="str">
        <f t="shared" si="67"/>
        <v/>
      </c>
      <c r="X404" s="32"/>
      <c r="Y404" s="36"/>
    </row>
    <row r="405" spans="1:25" s="4" customFormat="1" ht="18" customHeight="1">
      <c r="A405" s="36"/>
      <c r="B405" s="69">
        <v>119.16</v>
      </c>
      <c r="C405" s="69" t="s">
        <v>727</v>
      </c>
      <c r="D405" s="31" t="s">
        <v>708</v>
      </c>
      <c r="E405" s="29" t="s">
        <v>34</v>
      </c>
      <c r="F405" s="28">
        <v>0.45</v>
      </c>
      <c r="G405" s="29">
        <v>0.04</v>
      </c>
      <c r="H405" s="29">
        <v>-0.04</v>
      </c>
      <c r="I405" s="30" t="s">
        <v>39</v>
      </c>
      <c r="J405" s="12">
        <f t="shared" si="83"/>
        <v>0.49</v>
      </c>
      <c r="K405" s="12">
        <f t="shared" si="84"/>
        <v>0.41000000000000003</v>
      </c>
      <c r="L405" s="78"/>
      <c r="M405" s="78"/>
      <c r="N405" s="78"/>
      <c r="O405" s="36"/>
      <c r="P405" s="24" t="str">
        <f t="shared" si="60"/>
        <v xml:space="preserve"> </v>
      </c>
      <c r="Q405" s="25" t="str">
        <f t="shared" si="61"/>
        <v xml:space="preserve"> </v>
      </c>
      <c r="R405" s="25" t="str">
        <f t="shared" si="62"/>
        <v xml:space="preserve"> </v>
      </c>
      <c r="S405" s="26" t="str">
        <f t="shared" si="63"/>
        <v xml:space="preserve"> </v>
      </c>
      <c r="T405" s="7" t="str">
        <f t="shared" si="64"/>
        <v xml:space="preserve"> </v>
      </c>
      <c r="U405" s="8" t="str">
        <f t="shared" si="65"/>
        <v xml:space="preserve"> </v>
      </c>
      <c r="V405" s="9" t="str">
        <f t="shared" si="66"/>
        <v xml:space="preserve"> </v>
      </c>
      <c r="W405" s="9" t="str">
        <f t="shared" si="67"/>
        <v/>
      </c>
      <c r="X405" s="32"/>
      <c r="Y405" s="36"/>
    </row>
    <row r="406" spans="1:25" s="4" customFormat="1" ht="18" customHeight="1">
      <c r="A406" s="36"/>
      <c r="B406" s="69">
        <v>119.17</v>
      </c>
      <c r="C406" s="69" t="s">
        <v>728</v>
      </c>
      <c r="D406" s="31" t="s">
        <v>708</v>
      </c>
      <c r="E406" s="29" t="s">
        <v>34</v>
      </c>
      <c r="F406" s="28">
        <v>0.45</v>
      </c>
      <c r="G406" s="29">
        <v>0.04</v>
      </c>
      <c r="H406" s="29">
        <v>-0.04</v>
      </c>
      <c r="I406" s="30" t="s">
        <v>39</v>
      </c>
      <c r="J406" s="12">
        <f t="shared" si="83"/>
        <v>0.49</v>
      </c>
      <c r="K406" s="12">
        <f t="shared" si="84"/>
        <v>0.41000000000000003</v>
      </c>
      <c r="L406" s="78"/>
      <c r="M406" s="78"/>
      <c r="N406" s="78"/>
      <c r="O406" s="36"/>
      <c r="P406" s="24" t="str">
        <f t="shared" si="60"/>
        <v xml:space="preserve"> </v>
      </c>
      <c r="Q406" s="25" t="str">
        <f t="shared" si="61"/>
        <v xml:space="preserve"> </v>
      </c>
      <c r="R406" s="25" t="str">
        <f t="shared" si="62"/>
        <v xml:space="preserve"> </v>
      </c>
      <c r="S406" s="26" t="str">
        <f t="shared" si="63"/>
        <v xml:space="preserve"> </v>
      </c>
      <c r="T406" s="7" t="str">
        <f t="shared" si="64"/>
        <v xml:space="preserve"> </v>
      </c>
      <c r="U406" s="8" t="str">
        <f t="shared" si="65"/>
        <v xml:space="preserve"> </v>
      </c>
      <c r="V406" s="9" t="str">
        <f t="shared" si="66"/>
        <v xml:space="preserve"> </v>
      </c>
      <c r="W406" s="9" t="str">
        <f t="shared" si="67"/>
        <v/>
      </c>
      <c r="X406" s="32"/>
      <c r="Y406" s="36"/>
    </row>
    <row r="407" spans="1:25" s="4" customFormat="1" ht="18" customHeight="1">
      <c r="A407" s="36"/>
      <c r="B407" s="69">
        <v>119.18</v>
      </c>
      <c r="C407" s="69" t="s">
        <v>729</v>
      </c>
      <c r="D407" s="31" t="s">
        <v>708</v>
      </c>
      <c r="E407" s="29" t="s">
        <v>34</v>
      </c>
      <c r="F407" s="28">
        <v>0.45</v>
      </c>
      <c r="G407" s="29">
        <v>0.04</v>
      </c>
      <c r="H407" s="29">
        <v>-0.04</v>
      </c>
      <c r="I407" s="30" t="s">
        <v>39</v>
      </c>
      <c r="J407" s="12">
        <f t="shared" si="83"/>
        <v>0.49</v>
      </c>
      <c r="K407" s="12">
        <f t="shared" si="84"/>
        <v>0.41000000000000003</v>
      </c>
      <c r="L407" s="78"/>
      <c r="M407" s="78"/>
      <c r="N407" s="78"/>
      <c r="O407" s="36"/>
      <c r="P407" s="24" t="str">
        <f t="shared" si="60"/>
        <v xml:space="preserve"> </v>
      </c>
      <c r="Q407" s="25" t="str">
        <f t="shared" si="61"/>
        <v xml:space="preserve"> </v>
      </c>
      <c r="R407" s="25" t="str">
        <f t="shared" si="62"/>
        <v xml:space="preserve"> </v>
      </c>
      <c r="S407" s="26" t="str">
        <f t="shared" si="63"/>
        <v xml:space="preserve"> </v>
      </c>
      <c r="T407" s="7" t="str">
        <f t="shared" si="64"/>
        <v xml:space="preserve"> </v>
      </c>
      <c r="U407" s="8" t="str">
        <f t="shared" si="65"/>
        <v xml:space="preserve"> </v>
      </c>
      <c r="V407" s="9" t="str">
        <f t="shared" si="66"/>
        <v xml:space="preserve"> </v>
      </c>
      <c r="W407" s="9" t="str">
        <f t="shared" si="67"/>
        <v/>
      </c>
      <c r="X407" s="32"/>
      <c r="Y407" s="36"/>
    </row>
    <row r="408" spans="1:25" s="4" customFormat="1" ht="18" customHeight="1">
      <c r="A408" s="36"/>
      <c r="B408" s="69">
        <v>119.19</v>
      </c>
      <c r="C408" s="69" t="s">
        <v>730</v>
      </c>
      <c r="D408" s="31" t="s">
        <v>708</v>
      </c>
      <c r="E408" s="29" t="s">
        <v>34</v>
      </c>
      <c r="F408" s="28">
        <v>0.45</v>
      </c>
      <c r="G408" s="29">
        <v>0.04</v>
      </c>
      <c r="H408" s="29">
        <v>-0.04</v>
      </c>
      <c r="I408" s="30" t="s">
        <v>39</v>
      </c>
      <c r="J408" s="12">
        <f t="shared" si="83"/>
        <v>0.49</v>
      </c>
      <c r="K408" s="12">
        <f t="shared" si="84"/>
        <v>0.41000000000000003</v>
      </c>
      <c r="L408" s="78"/>
      <c r="M408" s="78"/>
      <c r="N408" s="78"/>
      <c r="O408" s="36"/>
      <c r="P408" s="24" t="str">
        <f t="shared" si="60"/>
        <v xml:space="preserve"> </v>
      </c>
      <c r="Q408" s="25" t="str">
        <f t="shared" si="61"/>
        <v xml:space="preserve"> </v>
      </c>
      <c r="R408" s="25" t="str">
        <f t="shared" si="62"/>
        <v xml:space="preserve"> </v>
      </c>
      <c r="S408" s="26" t="str">
        <f t="shared" si="63"/>
        <v xml:space="preserve"> </v>
      </c>
      <c r="T408" s="7" t="str">
        <f t="shared" si="64"/>
        <v xml:space="preserve"> </v>
      </c>
      <c r="U408" s="8" t="str">
        <f t="shared" si="65"/>
        <v xml:space="preserve"> </v>
      </c>
      <c r="V408" s="9" t="str">
        <f t="shared" si="66"/>
        <v xml:space="preserve"> </v>
      </c>
      <c r="W408" s="9" t="str">
        <f t="shared" si="67"/>
        <v/>
      </c>
      <c r="X408" s="32"/>
      <c r="Y408" s="36"/>
    </row>
    <row r="409" spans="1:25" s="4" customFormat="1" ht="18" customHeight="1">
      <c r="A409" s="36"/>
      <c r="B409" s="69" t="s">
        <v>937</v>
      </c>
      <c r="C409" s="69" t="s">
        <v>731</v>
      </c>
      <c r="D409" s="31" t="s">
        <v>708</v>
      </c>
      <c r="E409" s="29" t="s">
        <v>34</v>
      </c>
      <c r="F409" s="28">
        <v>0.45</v>
      </c>
      <c r="G409" s="29">
        <v>0.04</v>
      </c>
      <c r="H409" s="29">
        <v>-0.04</v>
      </c>
      <c r="I409" s="30" t="s">
        <v>39</v>
      </c>
      <c r="J409" s="12">
        <f t="shared" si="83"/>
        <v>0.49</v>
      </c>
      <c r="K409" s="12">
        <f t="shared" si="84"/>
        <v>0.41000000000000003</v>
      </c>
      <c r="L409" s="78"/>
      <c r="M409" s="78"/>
      <c r="N409" s="78"/>
      <c r="O409" s="36"/>
      <c r="P409" s="24" t="str">
        <f t="shared" si="60"/>
        <v xml:space="preserve"> </v>
      </c>
      <c r="Q409" s="25" t="str">
        <f t="shared" si="61"/>
        <v xml:space="preserve"> </v>
      </c>
      <c r="R409" s="25" t="str">
        <f t="shared" si="62"/>
        <v xml:space="preserve"> </v>
      </c>
      <c r="S409" s="26" t="str">
        <f t="shared" si="63"/>
        <v xml:space="preserve"> </v>
      </c>
      <c r="T409" s="7" t="str">
        <f t="shared" si="64"/>
        <v xml:space="preserve"> </v>
      </c>
      <c r="U409" s="8" t="str">
        <f t="shared" si="65"/>
        <v xml:space="preserve"> </v>
      </c>
      <c r="V409" s="9" t="str">
        <f t="shared" si="66"/>
        <v xml:space="preserve"> </v>
      </c>
      <c r="W409" s="9" t="str">
        <f t="shared" si="67"/>
        <v/>
      </c>
      <c r="X409" s="32"/>
      <c r="Y409" s="36"/>
    </row>
    <row r="410" spans="1:25" s="4" customFormat="1" ht="18" customHeight="1">
      <c r="A410" s="36"/>
      <c r="B410" s="69">
        <v>119.21</v>
      </c>
      <c r="C410" s="69" t="s">
        <v>732</v>
      </c>
      <c r="D410" s="31" t="s">
        <v>708</v>
      </c>
      <c r="E410" s="29" t="s">
        <v>34</v>
      </c>
      <c r="F410" s="28">
        <v>0.45</v>
      </c>
      <c r="G410" s="29">
        <v>0.04</v>
      </c>
      <c r="H410" s="29">
        <v>-0.04</v>
      </c>
      <c r="I410" s="30" t="s">
        <v>39</v>
      </c>
      <c r="J410" s="12">
        <f t="shared" si="83"/>
        <v>0.49</v>
      </c>
      <c r="K410" s="12">
        <f t="shared" si="84"/>
        <v>0.41000000000000003</v>
      </c>
      <c r="L410" s="78"/>
      <c r="M410" s="78"/>
      <c r="N410" s="78"/>
      <c r="O410" s="36"/>
      <c r="P410" s="24" t="str">
        <f t="shared" si="60"/>
        <v xml:space="preserve"> </v>
      </c>
      <c r="Q410" s="25" t="str">
        <f t="shared" si="61"/>
        <v xml:space="preserve"> </v>
      </c>
      <c r="R410" s="25" t="str">
        <f t="shared" si="62"/>
        <v xml:space="preserve"> </v>
      </c>
      <c r="S410" s="26" t="str">
        <f t="shared" si="63"/>
        <v xml:space="preserve"> </v>
      </c>
      <c r="T410" s="7" t="str">
        <f t="shared" si="64"/>
        <v xml:space="preserve"> </v>
      </c>
      <c r="U410" s="8" t="str">
        <f t="shared" si="65"/>
        <v xml:space="preserve"> </v>
      </c>
      <c r="V410" s="9" t="str">
        <f t="shared" si="66"/>
        <v xml:space="preserve"> </v>
      </c>
      <c r="W410" s="9" t="str">
        <f t="shared" si="67"/>
        <v/>
      </c>
      <c r="X410" s="32"/>
      <c r="Y410" s="36"/>
    </row>
    <row r="411" spans="1:25" s="4" customFormat="1" ht="18" customHeight="1">
      <c r="A411" s="36"/>
      <c r="B411" s="69">
        <v>119.22</v>
      </c>
      <c r="C411" s="69" t="s">
        <v>733</v>
      </c>
      <c r="D411" s="31" t="s">
        <v>708</v>
      </c>
      <c r="E411" s="29" t="s">
        <v>34</v>
      </c>
      <c r="F411" s="28">
        <v>0.45</v>
      </c>
      <c r="G411" s="29">
        <v>0.04</v>
      </c>
      <c r="H411" s="29">
        <v>-0.04</v>
      </c>
      <c r="I411" s="30" t="s">
        <v>39</v>
      </c>
      <c r="J411" s="12">
        <f t="shared" si="83"/>
        <v>0.49</v>
      </c>
      <c r="K411" s="12">
        <f t="shared" si="84"/>
        <v>0.41000000000000003</v>
      </c>
      <c r="L411" s="78"/>
      <c r="M411" s="78"/>
      <c r="N411" s="78"/>
      <c r="O411" s="36"/>
      <c r="P411" s="24" t="str">
        <f t="shared" si="60"/>
        <v xml:space="preserve"> </v>
      </c>
      <c r="Q411" s="25" t="str">
        <f t="shared" si="61"/>
        <v xml:space="preserve"> </v>
      </c>
      <c r="R411" s="25" t="str">
        <f t="shared" si="62"/>
        <v xml:space="preserve"> </v>
      </c>
      <c r="S411" s="26" t="str">
        <f t="shared" si="63"/>
        <v xml:space="preserve"> </v>
      </c>
      <c r="T411" s="7" t="str">
        <f t="shared" si="64"/>
        <v xml:space="preserve"> </v>
      </c>
      <c r="U411" s="8" t="str">
        <f t="shared" si="65"/>
        <v xml:space="preserve"> </v>
      </c>
      <c r="V411" s="9" t="str">
        <f t="shared" si="66"/>
        <v xml:space="preserve"> </v>
      </c>
      <c r="W411" s="9" t="str">
        <f t="shared" si="67"/>
        <v/>
      </c>
      <c r="X411" s="32"/>
      <c r="Y411" s="36"/>
    </row>
    <row r="412" spans="1:25" s="4" customFormat="1" ht="18" customHeight="1">
      <c r="A412" s="36"/>
      <c r="B412" s="69">
        <v>119.23</v>
      </c>
      <c r="C412" s="69" t="s">
        <v>734</v>
      </c>
      <c r="D412" s="31" t="s">
        <v>708</v>
      </c>
      <c r="E412" s="29" t="s">
        <v>34</v>
      </c>
      <c r="F412" s="28">
        <v>0.45</v>
      </c>
      <c r="G412" s="29">
        <v>0.04</v>
      </c>
      <c r="H412" s="29">
        <v>-0.04</v>
      </c>
      <c r="I412" s="30" t="s">
        <v>39</v>
      </c>
      <c r="J412" s="12">
        <f t="shared" si="83"/>
        <v>0.49</v>
      </c>
      <c r="K412" s="12">
        <f t="shared" si="84"/>
        <v>0.41000000000000003</v>
      </c>
      <c r="L412" s="78"/>
      <c r="M412" s="78"/>
      <c r="N412" s="78"/>
      <c r="O412" s="36"/>
      <c r="P412" s="24" t="str">
        <f t="shared" si="60"/>
        <v xml:space="preserve"> </v>
      </c>
      <c r="Q412" s="25" t="str">
        <f t="shared" si="61"/>
        <v xml:space="preserve"> </v>
      </c>
      <c r="R412" s="25" t="str">
        <f t="shared" si="62"/>
        <v xml:space="preserve"> </v>
      </c>
      <c r="S412" s="26" t="str">
        <f t="shared" si="63"/>
        <v xml:space="preserve"> </v>
      </c>
      <c r="T412" s="7" t="str">
        <f t="shared" si="64"/>
        <v xml:space="preserve"> </v>
      </c>
      <c r="U412" s="8" t="str">
        <f t="shared" si="65"/>
        <v xml:space="preserve"> </v>
      </c>
      <c r="V412" s="9" t="str">
        <f t="shared" si="66"/>
        <v xml:space="preserve"> </v>
      </c>
      <c r="W412" s="9" t="str">
        <f t="shared" si="67"/>
        <v/>
      </c>
      <c r="X412" s="32"/>
      <c r="Y412" s="36"/>
    </row>
    <row r="413" spans="1:25" s="4" customFormat="1" ht="18" customHeight="1">
      <c r="A413" s="36"/>
      <c r="B413" s="69">
        <v>119.24</v>
      </c>
      <c r="C413" s="69" t="s">
        <v>735</v>
      </c>
      <c r="D413" s="31" t="s">
        <v>708</v>
      </c>
      <c r="E413" s="29" t="s">
        <v>34</v>
      </c>
      <c r="F413" s="28">
        <v>0.45</v>
      </c>
      <c r="G413" s="29">
        <v>0.04</v>
      </c>
      <c r="H413" s="29">
        <v>-0.04</v>
      </c>
      <c r="I413" s="30" t="s">
        <v>39</v>
      </c>
      <c r="J413" s="12">
        <f t="shared" si="83"/>
        <v>0.49</v>
      </c>
      <c r="K413" s="12">
        <f t="shared" si="84"/>
        <v>0.41000000000000003</v>
      </c>
      <c r="L413" s="78"/>
      <c r="M413" s="78"/>
      <c r="N413" s="78"/>
      <c r="O413" s="36"/>
      <c r="P413" s="24" t="str">
        <f t="shared" si="60"/>
        <v xml:space="preserve"> </v>
      </c>
      <c r="Q413" s="25" t="str">
        <f t="shared" si="61"/>
        <v xml:space="preserve"> </v>
      </c>
      <c r="R413" s="25" t="str">
        <f t="shared" si="62"/>
        <v xml:space="preserve"> </v>
      </c>
      <c r="S413" s="26" t="str">
        <f t="shared" si="63"/>
        <v xml:space="preserve"> </v>
      </c>
      <c r="T413" s="7" t="str">
        <f t="shared" si="64"/>
        <v xml:space="preserve"> </v>
      </c>
      <c r="U413" s="8" t="str">
        <f t="shared" si="65"/>
        <v xml:space="preserve"> </v>
      </c>
      <c r="V413" s="9" t="str">
        <f t="shared" si="66"/>
        <v xml:space="preserve"> </v>
      </c>
      <c r="W413" s="9" t="str">
        <f t="shared" si="67"/>
        <v/>
      </c>
      <c r="X413" s="32"/>
      <c r="Y413" s="36"/>
    </row>
    <row r="414" spans="1:25" s="4" customFormat="1" ht="18" customHeight="1">
      <c r="A414" s="36"/>
      <c r="B414" s="69">
        <v>119.25</v>
      </c>
      <c r="C414" s="69" t="s">
        <v>736</v>
      </c>
      <c r="D414" s="31" t="s">
        <v>708</v>
      </c>
      <c r="E414" s="29" t="s">
        <v>34</v>
      </c>
      <c r="F414" s="28">
        <v>0.45</v>
      </c>
      <c r="G414" s="29">
        <v>0.04</v>
      </c>
      <c r="H414" s="29">
        <v>-0.04</v>
      </c>
      <c r="I414" s="30" t="s">
        <v>39</v>
      </c>
      <c r="J414" s="12">
        <f t="shared" si="83"/>
        <v>0.49</v>
      </c>
      <c r="K414" s="12">
        <f t="shared" si="84"/>
        <v>0.41000000000000003</v>
      </c>
      <c r="L414" s="78"/>
      <c r="M414" s="78"/>
      <c r="N414" s="78"/>
      <c r="O414" s="36"/>
      <c r="P414" s="24" t="str">
        <f t="shared" si="60"/>
        <v xml:space="preserve"> </v>
      </c>
      <c r="Q414" s="25" t="str">
        <f t="shared" si="61"/>
        <v xml:space="preserve"> </v>
      </c>
      <c r="R414" s="25" t="str">
        <f t="shared" si="62"/>
        <v xml:space="preserve"> </v>
      </c>
      <c r="S414" s="26" t="str">
        <f t="shared" si="63"/>
        <v xml:space="preserve"> </v>
      </c>
      <c r="T414" s="7" t="str">
        <f t="shared" si="64"/>
        <v xml:space="preserve"> </v>
      </c>
      <c r="U414" s="8" t="str">
        <f t="shared" si="65"/>
        <v xml:space="preserve"> </v>
      </c>
      <c r="V414" s="9" t="str">
        <f t="shared" si="66"/>
        <v xml:space="preserve"> </v>
      </c>
      <c r="W414" s="9" t="str">
        <f t="shared" si="67"/>
        <v/>
      </c>
      <c r="X414" s="32"/>
      <c r="Y414" s="36"/>
    </row>
    <row r="415" spans="1:25" s="4" customFormat="1" ht="18" customHeight="1">
      <c r="A415" s="36"/>
      <c r="B415" s="69">
        <v>119.26</v>
      </c>
      <c r="C415" s="69" t="s">
        <v>737</v>
      </c>
      <c r="D415" s="31" t="s">
        <v>708</v>
      </c>
      <c r="E415" s="29" t="s">
        <v>34</v>
      </c>
      <c r="F415" s="28">
        <v>0.45</v>
      </c>
      <c r="G415" s="29">
        <v>0.04</v>
      </c>
      <c r="H415" s="29">
        <v>-0.04</v>
      </c>
      <c r="I415" s="30" t="s">
        <v>39</v>
      </c>
      <c r="J415" s="12">
        <f t="shared" si="83"/>
        <v>0.49</v>
      </c>
      <c r="K415" s="12">
        <f t="shared" si="84"/>
        <v>0.41000000000000003</v>
      </c>
      <c r="L415" s="78"/>
      <c r="M415" s="78"/>
      <c r="N415" s="78"/>
      <c r="O415" s="36"/>
      <c r="P415" s="24" t="str">
        <f t="shared" si="60"/>
        <v xml:space="preserve"> </v>
      </c>
      <c r="Q415" s="25" t="str">
        <f t="shared" si="61"/>
        <v xml:space="preserve"> </v>
      </c>
      <c r="R415" s="25" t="str">
        <f t="shared" si="62"/>
        <v xml:space="preserve"> </v>
      </c>
      <c r="S415" s="26" t="str">
        <f t="shared" si="63"/>
        <v xml:space="preserve"> </v>
      </c>
      <c r="T415" s="7" t="str">
        <f t="shared" si="64"/>
        <v xml:space="preserve"> </v>
      </c>
      <c r="U415" s="8" t="str">
        <f t="shared" si="65"/>
        <v xml:space="preserve"> </v>
      </c>
      <c r="V415" s="9" t="str">
        <f t="shared" si="66"/>
        <v xml:space="preserve"> </v>
      </c>
      <c r="W415" s="9" t="str">
        <f t="shared" si="67"/>
        <v/>
      </c>
      <c r="X415" s="32"/>
      <c r="Y415" s="36"/>
    </row>
    <row r="416" spans="1:25" s="4" customFormat="1" ht="18" customHeight="1">
      <c r="A416" s="36"/>
      <c r="B416" s="69">
        <v>119.27</v>
      </c>
      <c r="C416" s="69" t="s">
        <v>738</v>
      </c>
      <c r="D416" s="31" t="s">
        <v>708</v>
      </c>
      <c r="E416" s="29" t="s">
        <v>34</v>
      </c>
      <c r="F416" s="28">
        <v>0.45</v>
      </c>
      <c r="G416" s="29">
        <v>0.04</v>
      </c>
      <c r="H416" s="29">
        <v>-0.04</v>
      </c>
      <c r="I416" s="30" t="s">
        <v>39</v>
      </c>
      <c r="J416" s="12">
        <f t="shared" si="83"/>
        <v>0.49</v>
      </c>
      <c r="K416" s="12">
        <f t="shared" si="84"/>
        <v>0.41000000000000003</v>
      </c>
      <c r="L416" s="78"/>
      <c r="M416" s="78"/>
      <c r="N416" s="78"/>
      <c r="O416" s="36"/>
      <c r="P416" s="24" t="str">
        <f t="shared" si="60"/>
        <v xml:space="preserve"> </v>
      </c>
      <c r="Q416" s="25" t="str">
        <f t="shared" si="61"/>
        <v xml:space="preserve"> </v>
      </c>
      <c r="R416" s="25" t="str">
        <f t="shared" si="62"/>
        <v xml:space="preserve"> </v>
      </c>
      <c r="S416" s="26" t="str">
        <f t="shared" si="63"/>
        <v xml:space="preserve"> </v>
      </c>
      <c r="T416" s="7" t="str">
        <f t="shared" si="64"/>
        <v xml:space="preserve"> </v>
      </c>
      <c r="U416" s="8" t="str">
        <f t="shared" si="65"/>
        <v xml:space="preserve"> </v>
      </c>
      <c r="V416" s="9" t="str">
        <f t="shared" si="66"/>
        <v xml:space="preserve"> </v>
      </c>
      <c r="W416" s="9" t="str">
        <f t="shared" si="67"/>
        <v/>
      </c>
      <c r="X416" s="32"/>
      <c r="Y416" s="36"/>
    </row>
    <row r="417" spans="1:25" s="4" customFormat="1" ht="18" customHeight="1">
      <c r="A417" s="36"/>
      <c r="B417" s="69">
        <v>119.28</v>
      </c>
      <c r="C417" s="69" t="s">
        <v>739</v>
      </c>
      <c r="D417" s="31" t="s">
        <v>708</v>
      </c>
      <c r="E417" s="29" t="s">
        <v>34</v>
      </c>
      <c r="F417" s="28">
        <v>0.45</v>
      </c>
      <c r="G417" s="29">
        <v>0.04</v>
      </c>
      <c r="H417" s="29">
        <v>-0.04</v>
      </c>
      <c r="I417" s="30" t="s">
        <v>39</v>
      </c>
      <c r="J417" s="12">
        <f t="shared" si="83"/>
        <v>0.49</v>
      </c>
      <c r="K417" s="12">
        <f t="shared" si="84"/>
        <v>0.41000000000000003</v>
      </c>
      <c r="L417" s="78"/>
      <c r="M417" s="78"/>
      <c r="N417" s="78"/>
      <c r="O417" s="36"/>
      <c r="P417" s="24" t="str">
        <f t="shared" si="60"/>
        <v xml:space="preserve"> </v>
      </c>
      <c r="Q417" s="25" t="str">
        <f t="shared" si="61"/>
        <v xml:space="preserve"> </v>
      </c>
      <c r="R417" s="25" t="str">
        <f t="shared" si="62"/>
        <v xml:space="preserve"> </v>
      </c>
      <c r="S417" s="26" t="str">
        <f t="shared" si="63"/>
        <v xml:space="preserve"> </v>
      </c>
      <c r="T417" s="7" t="str">
        <f t="shared" si="64"/>
        <v xml:space="preserve"> </v>
      </c>
      <c r="U417" s="8" t="str">
        <f t="shared" si="65"/>
        <v xml:space="preserve"> </v>
      </c>
      <c r="V417" s="9" t="str">
        <f t="shared" si="66"/>
        <v xml:space="preserve"> </v>
      </c>
      <c r="W417" s="9" t="str">
        <f t="shared" si="67"/>
        <v/>
      </c>
      <c r="X417" s="32"/>
      <c r="Y417" s="36"/>
    </row>
    <row r="418" spans="1:25" s="4" customFormat="1" ht="18" customHeight="1">
      <c r="A418" s="36"/>
      <c r="B418" s="69">
        <v>119.29</v>
      </c>
      <c r="C418" s="69" t="s">
        <v>740</v>
      </c>
      <c r="D418" s="31" t="s">
        <v>708</v>
      </c>
      <c r="E418" s="29" t="s">
        <v>34</v>
      </c>
      <c r="F418" s="28">
        <v>0.45</v>
      </c>
      <c r="G418" s="29">
        <v>0.04</v>
      </c>
      <c r="H418" s="29">
        <v>-0.04</v>
      </c>
      <c r="I418" s="30" t="s">
        <v>39</v>
      </c>
      <c r="J418" s="12">
        <f t="shared" si="83"/>
        <v>0.49</v>
      </c>
      <c r="K418" s="12">
        <f t="shared" si="84"/>
        <v>0.41000000000000003</v>
      </c>
      <c r="L418" s="78"/>
      <c r="M418" s="78"/>
      <c r="N418" s="78"/>
      <c r="O418" s="36"/>
      <c r="P418" s="24" t="str">
        <f t="shared" si="60"/>
        <v xml:space="preserve"> </v>
      </c>
      <c r="Q418" s="25" t="str">
        <f t="shared" si="61"/>
        <v xml:space="preserve"> </v>
      </c>
      <c r="R418" s="25" t="str">
        <f t="shared" si="62"/>
        <v xml:space="preserve"> </v>
      </c>
      <c r="S418" s="26" t="str">
        <f t="shared" si="63"/>
        <v xml:space="preserve"> </v>
      </c>
      <c r="T418" s="7" t="str">
        <f t="shared" si="64"/>
        <v xml:space="preserve"> </v>
      </c>
      <c r="U418" s="8" t="str">
        <f t="shared" si="65"/>
        <v xml:space="preserve"> </v>
      </c>
      <c r="V418" s="9" t="str">
        <f t="shared" si="66"/>
        <v xml:space="preserve"> </v>
      </c>
      <c r="W418" s="9" t="str">
        <f t="shared" si="67"/>
        <v/>
      </c>
      <c r="X418" s="32"/>
      <c r="Y418" s="36"/>
    </row>
    <row r="419" spans="1:25" s="4" customFormat="1" ht="18" customHeight="1">
      <c r="A419" s="36"/>
      <c r="B419" s="69" t="s">
        <v>938</v>
      </c>
      <c r="C419" s="69" t="s">
        <v>741</v>
      </c>
      <c r="D419" s="31" t="s">
        <v>708</v>
      </c>
      <c r="E419" s="29" t="s">
        <v>34</v>
      </c>
      <c r="F419" s="28">
        <v>0.45</v>
      </c>
      <c r="G419" s="29">
        <v>0.04</v>
      </c>
      <c r="H419" s="29">
        <v>-0.04</v>
      </c>
      <c r="I419" s="30" t="s">
        <v>39</v>
      </c>
      <c r="J419" s="12">
        <f t="shared" si="83"/>
        <v>0.49</v>
      </c>
      <c r="K419" s="12">
        <f t="shared" si="84"/>
        <v>0.41000000000000003</v>
      </c>
      <c r="L419" s="78"/>
      <c r="M419" s="78"/>
      <c r="N419" s="78"/>
      <c r="O419" s="36"/>
      <c r="P419" s="24" t="str">
        <f t="shared" si="60"/>
        <v xml:space="preserve"> </v>
      </c>
      <c r="Q419" s="25" t="str">
        <f t="shared" si="61"/>
        <v xml:space="preserve"> </v>
      </c>
      <c r="R419" s="25" t="str">
        <f t="shared" si="62"/>
        <v xml:space="preserve"> </v>
      </c>
      <c r="S419" s="26" t="str">
        <f t="shared" si="63"/>
        <v xml:space="preserve"> </v>
      </c>
      <c r="T419" s="7" t="str">
        <f t="shared" si="64"/>
        <v xml:space="preserve"> </v>
      </c>
      <c r="U419" s="8" t="str">
        <f t="shared" si="65"/>
        <v xml:space="preserve"> </v>
      </c>
      <c r="V419" s="9" t="str">
        <f t="shared" si="66"/>
        <v xml:space="preserve"> </v>
      </c>
      <c r="W419" s="9" t="str">
        <f t="shared" si="67"/>
        <v/>
      </c>
      <c r="X419" s="32"/>
      <c r="Y419" s="36"/>
    </row>
    <row r="420" spans="1:25" s="4" customFormat="1" ht="18" customHeight="1">
      <c r="A420" s="36"/>
      <c r="B420" s="69">
        <v>119.31</v>
      </c>
      <c r="C420" s="69" t="s">
        <v>742</v>
      </c>
      <c r="D420" s="31" t="s">
        <v>708</v>
      </c>
      <c r="E420" s="29" t="s">
        <v>34</v>
      </c>
      <c r="F420" s="28">
        <v>0.45</v>
      </c>
      <c r="G420" s="29">
        <v>0.04</v>
      </c>
      <c r="H420" s="29">
        <v>-0.04</v>
      </c>
      <c r="I420" s="30" t="s">
        <v>39</v>
      </c>
      <c r="J420" s="12">
        <f t="shared" si="83"/>
        <v>0.49</v>
      </c>
      <c r="K420" s="12">
        <f t="shared" si="84"/>
        <v>0.41000000000000003</v>
      </c>
      <c r="L420" s="78"/>
      <c r="M420" s="78"/>
      <c r="N420" s="78"/>
      <c r="O420" s="36"/>
      <c r="P420" s="24" t="str">
        <f t="shared" si="60"/>
        <v xml:space="preserve"> </v>
      </c>
      <c r="Q420" s="25" t="str">
        <f t="shared" si="61"/>
        <v xml:space="preserve"> </v>
      </c>
      <c r="R420" s="25" t="str">
        <f t="shared" si="62"/>
        <v xml:space="preserve"> </v>
      </c>
      <c r="S420" s="26" t="str">
        <f t="shared" si="63"/>
        <v xml:space="preserve"> </v>
      </c>
      <c r="T420" s="7" t="str">
        <f t="shared" si="64"/>
        <v xml:space="preserve"> </v>
      </c>
      <c r="U420" s="8" t="str">
        <f t="shared" si="65"/>
        <v xml:space="preserve"> </v>
      </c>
      <c r="V420" s="9" t="str">
        <f t="shared" si="66"/>
        <v xml:space="preserve"> </v>
      </c>
      <c r="W420" s="9" t="str">
        <f t="shared" si="67"/>
        <v/>
      </c>
      <c r="X420" s="32"/>
      <c r="Y420" s="36"/>
    </row>
    <row r="421" spans="1:25" s="4" customFormat="1" ht="18" customHeight="1">
      <c r="A421" s="36"/>
      <c r="B421" s="69">
        <v>119.32</v>
      </c>
      <c r="C421" s="69" t="s">
        <v>743</v>
      </c>
      <c r="D421" s="31" t="s">
        <v>708</v>
      </c>
      <c r="E421" s="29" t="s">
        <v>34</v>
      </c>
      <c r="F421" s="28">
        <v>0.45</v>
      </c>
      <c r="G421" s="29">
        <v>0.04</v>
      </c>
      <c r="H421" s="29">
        <v>-0.04</v>
      </c>
      <c r="I421" s="30" t="s">
        <v>39</v>
      </c>
      <c r="J421" s="12">
        <f t="shared" si="83"/>
        <v>0.49</v>
      </c>
      <c r="K421" s="12">
        <f t="shared" si="84"/>
        <v>0.41000000000000003</v>
      </c>
      <c r="L421" s="78"/>
      <c r="M421" s="78"/>
      <c r="N421" s="78"/>
      <c r="O421" s="36"/>
      <c r="P421" s="24" t="str">
        <f t="shared" si="60"/>
        <v xml:space="preserve"> </v>
      </c>
      <c r="Q421" s="25" t="str">
        <f t="shared" si="61"/>
        <v xml:space="preserve"> </v>
      </c>
      <c r="R421" s="25" t="str">
        <f t="shared" si="62"/>
        <v xml:space="preserve"> </v>
      </c>
      <c r="S421" s="26" t="str">
        <f t="shared" si="63"/>
        <v xml:space="preserve"> </v>
      </c>
      <c r="T421" s="7" t="str">
        <f t="shared" si="64"/>
        <v xml:space="preserve"> </v>
      </c>
      <c r="U421" s="8" t="str">
        <f t="shared" si="65"/>
        <v xml:space="preserve"> </v>
      </c>
      <c r="V421" s="9" t="str">
        <f t="shared" si="66"/>
        <v xml:space="preserve"> </v>
      </c>
      <c r="W421" s="9" t="str">
        <f t="shared" si="67"/>
        <v/>
      </c>
      <c r="X421" s="32"/>
      <c r="Y421" s="36"/>
    </row>
    <row r="422" spans="1:25" s="4" customFormat="1" ht="18" customHeight="1">
      <c r="A422" s="36"/>
      <c r="B422" s="69">
        <v>119.33</v>
      </c>
      <c r="C422" s="69" t="s">
        <v>744</v>
      </c>
      <c r="D422" s="31" t="s">
        <v>708</v>
      </c>
      <c r="E422" s="29" t="s">
        <v>34</v>
      </c>
      <c r="F422" s="28">
        <v>0.45</v>
      </c>
      <c r="G422" s="29">
        <v>0.04</v>
      </c>
      <c r="H422" s="29">
        <v>-0.04</v>
      </c>
      <c r="I422" s="30" t="s">
        <v>39</v>
      </c>
      <c r="J422" s="12">
        <f t="shared" ref="J422:J485" si="92">IF(AND(F422="",G422=""),"",IF(F422="",G422,F422+G422))</f>
        <v>0.49</v>
      </c>
      <c r="K422" s="12">
        <f t="shared" ref="K422:K485" si="93">IF(AND(F422="",H422=""),"",IF(F422="",H422,F422+H422))</f>
        <v>0.41000000000000003</v>
      </c>
      <c r="L422" s="78"/>
      <c r="M422" s="78"/>
      <c r="N422" s="78"/>
      <c r="O422" s="36"/>
      <c r="P422" s="24" t="str">
        <f t="shared" si="60"/>
        <v xml:space="preserve"> </v>
      </c>
      <c r="Q422" s="25" t="str">
        <f t="shared" si="61"/>
        <v xml:space="preserve"> </v>
      </c>
      <c r="R422" s="25" t="str">
        <f t="shared" si="62"/>
        <v xml:space="preserve"> </v>
      </c>
      <c r="S422" s="26" t="str">
        <f t="shared" si="63"/>
        <v xml:space="preserve"> </v>
      </c>
      <c r="T422" s="7" t="str">
        <f t="shared" si="64"/>
        <v xml:space="preserve"> </v>
      </c>
      <c r="U422" s="8" t="str">
        <f t="shared" si="65"/>
        <v xml:space="preserve"> </v>
      </c>
      <c r="V422" s="9" t="str">
        <f t="shared" si="66"/>
        <v xml:space="preserve"> </v>
      </c>
      <c r="W422" s="9" t="str">
        <f t="shared" si="67"/>
        <v/>
      </c>
      <c r="X422" s="32"/>
      <c r="Y422" s="36"/>
    </row>
    <row r="423" spans="1:25" s="4" customFormat="1" ht="18" customHeight="1">
      <c r="A423" s="36"/>
      <c r="B423" s="69">
        <v>119.34</v>
      </c>
      <c r="C423" s="69" t="s">
        <v>745</v>
      </c>
      <c r="D423" s="31" t="s">
        <v>708</v>
      </c>
      <c r="E423" s="29" t="s">
        <v>34</v>
      </c>
      <c r="F423" s="28">
        <v>0.45</v>
      </c>
      <c r="G423" s="29">
        <v>0.04</v>
      </c>
      <c r="H423" s="29">
        <v>-0.04</v>
      </c>
      <c r="I423" s="30" t="s">
        <v>39</v>
      </c>
      <c r="J423" s="12">
        <f t="shared" si="92"/>
        <v>0.49</v>
      </c>
      <c r="K423" s="12">
        <f t="shared" si="93"/>
        <v>0.41000000000000003</v>
      </c>
      <c r="L423" s="78"/>
      <c r="M423" s="78"/>
      <c r="N423" s="78"/>
      <c r="O423" s="36"/>
      <c r="P423" s="24" t="str">
        <f t="shared" si="60"/>
        <v xml:space="preserve"> </v>
      </c>
      <c r="Q423" s="25" t="str">
        <f t="shared" si="61"/>
        <v xml:space="preserve"> </v>
      </c>
      <c r="R423" s="25" t="str">
        <f t="shared" si="62"/>
        <v xml:space="preserve"> </v>
      </c>
      <c r="S423" s="26" t="str">
        <f t="shared" si="63"/>
        <v xml:space="preserve"> </v>
      </c>
      <c r="T423" s="7" t="str">
        <f t="shared" si="64"/>
        <v xml:space="preserve"> </v>
      </c>
      <c r="U423" s="8" t="str">
        <f t="shared" si="65"/>
        <v xml:space="preserve"> </v>
      </c>
      <c r="V423" s="9" t="str">
        <f t="shared" ref="V423:V486" si="94">IF(ISNUMBER($T423)=TRUE,IF($T423&gt;0.651,IF($T423&gt;1.001,"Reject","Alert")," ")," ")</f>
        <v xml:space="preserve"> </v>
      </c>
      <c r="W423" s="9" t="str">
        <f t="shared" si="67"/>
        <v/>
      </c>
      <c r="X423" s="32"/>
      <c r="Y423" s="36"/>
    </row>
    <row r="424" spans="1:25" s="4" customFormat="1" ht="18" customHeight="1">
      <c r="A424" s="36"/>
      <c r="B424" s="69">
        <v>119.35</v>
      </c>
      <c r="C424" s="69" t="s">
        <v>746</v>
      </c>
      <c r="D424" s="31" t="s">
        <v>708</v>
      </c>
      <c r="E424" s="29" t="s">
        <v>34</v>
      </c>
      <c r="F424" s="28">
        <v>0.45</v>
      </c>
      <c r="G424" s="29">
        <v>0.04</v>
      </c>
      <c r="H424" s="29">
        <v>-0.04</v>
      </c>
      <c r="I424" s="30" t="s">
        <v>39</v>
      </c>
      <c r="J424" s="12">
        <f t="shared" si="92"/>
        <v>0.49</v>
      </c>
      <c r="K424" s="12">
        <f t="shared" si="93"/>
        <v>0.41000000000000003</v>
      </c>
      <c r="L424" s="78"/>
      <c r="M424" s="78"/>
      <c r="N424" s="78"/>
      <c r="O424" s="36"/>
      <c r="P424" s="24" t="str">
        <f t="shared" si="60"/>
        <v xml:space="preserve"> </v>
      </c>
      <c r="Q424" s="25" t="str">
        <f t="shared" si="61"/>
        <v xml:space="preserve"> </v>
      </c>
      <c r="R424" s="25" t="str">
        <f t="shared" si="62"/>
        <v xml:space="preserve"> </v>
      </c>
      <c r="S424" s="26" t="str">
        <f t="shared" si="63"/>
        <v xml:space="preserve"> </v>
      </c>
      <c r="T424" s="7" t="str">
        <f t="shared" si="64"/>
        <v xml:space="preserve"> </v>
      </c>
      <c r="U424" s="8" t="str">
        <f t="shared" si="65"/>
        <v xml:space="preserve"> </v>
      </c>
      <c r="V424" s="9" t="str">
        <f t="shared" si="94"/>
        <v xml:space="preserve"> </v>
      </c>
      <c r="W424" s="9" t="str">
        <f t="shared" si="67"/>
        <v/>
      </c>
      <c r="X424" s="32"/>
      <c r="Y424" s="36"/>
    </row>
    <row r="425" spans="1:25" s="4" customFormat="1" ht="18" customHeight="1">
      <c r="A425" s="36"/>
      <c r="B425" s="69">
        <v>119.36</v>
      </c>
      <c r="C425" s="69" t="s">
        <v>747</v>
      </c>
      <c r="D425" s="31" t="s">
        <v>708</v>
      </c>
      <c r="E425" s="29" t="s">
        <v>34</v>
      </c>
      <c r="F425" s="28">
        <v>0.45</v>
      </c>
      <c r="G425" s="29">
        <v>0.04</v>
      </c>
      <c r="H425" s="29">
        <v>-0.04</v>
      </c>
      <c r="I425" s="30" t="s">
        <v>39</v>
      </c>
      <c r="J425" s="12">
        <f t="shared" si="92"/>
        <v>0.49</v>
      </c>
      <c r="K425" s="12">
        <f t="shared" si="93"/>
        <v>0.41000000000000003</v>
      </c>
      <c r="L425" s="78"/>
      <c r="M425" s="78"/>
      <c r="N425" s="78"/>
      <c r="O425" s="36"/>
      <c r="P425" s="24" t="str">
        <f t="shared" si="60"/>
        <v xml:space="preserve"> </v>
      </c>
      <c r="Q425" s="25" t="str">
        <f t="shared" si="61"/>
        <v xml:space="preserve"> </v>
      </c>
      <c r="R425" s="25" t="str">
        <f t="shared" si="62"/>
        <v xml:space="preserve"> </v>
      </c>
      <c r="S425" s="26" t="str">
        <f t="shared" si="63"/>
        <v xml:space="preserve"> </v>
      </c>
      <c r="T425" s="7" t="str">
        <f t="shared" si="64"/>
        <v xml:space="preserve"> </v>
      </c>
      <c r="U425" s="8" t="str">
        <f t="shared" si="65"/>
        <v xml:space="preserve"> </v>
      </c>
      <c r="V425" s="9" t="str">
        <f t="shared" si="94"/>
        <v xml:space="preserve"> </v>
      </c>
      <c r="W425" s="9" t="str">
        <f t="shared" si="67"/>
        <v/>
      </c>
      <c r="X425" s="32"/>
      <c r="Y425" s="36"/>
    </row>
    <row r="426" spans="1:25" s="4" customFormat="1" ht="18" customHeight="1">
      <c r="A426" s="36"/>
      <c r="B426" s="69">
        <v>119.37</v>
      </c>
      <c r="C426" s="69" t="s">
        <v>748</v>
      </c>
      <c r="D426" s="31" t="s">
        <v>708</v>
      </c>
      <c r="E426" s="29" t="s">
        <v>34</v>
      </c>
      <c r="F426" s="28">
        <v>0.45</v>
      </c>
      <c r="G426" s="29">
        <v>0.04</v>
      </c>
      <c r="H426" s="29">
        <v>-0.04</v>
      </c>
      <c r="I426" s="30" t="s">
        <v>39</v>
      </c>
      <c r="J426" s="12">
        <f t="shared" si="92"/>
        <v>0.49</v>
      </c>
      <c r="K426" s="12">
        <f t="shared" si="93"/>
        <v>0.41000000000000003</v>
      </c>
      <c r="L426" s="78"/>
      <c r="M426" s="78"/>
      <c r="N426" s="78"/>
      <c r="O426" s="36"/>
      <c r="P426" s="24" t="str">
        <f t="shared" si="60"/>
        <v xml:space="preserve"> </v>
      </c>
      <c r="Q426" s="25" t="str">
        <f t="shared" si="61"/>
        <v xml:space="preserve"> </v>
      </c>
      <c r="R426" s="25" t="str">
        <f t="shared" si="62"/>
        <v xml:space="preserve"> </v>
      </c>
      <c r="S426" s="26" t="str">
        <f t="shared" si="63"/>
        <v xml:space="preserve"> </v>
      </c>
      <c r="T426" s="7" t="str">
        <f t="shared" si="64"/>
        <v xml:space="preserve"> </v>
      </c>
      <c r="U426" s="8" t="str">
        <f t="shared" si="65"/>
        <v xml:space="preserve"> </v>
      </c>
      <c r="V426" s="9" t="str">
        <f t="shared" si="94"/>
        <v xml:space="preserve"> </v>
      </c>
      <c r="W426" s="9" t="str">
        <f t="shared" si="67"/>
        <v/>
      </c>
      <c r="X426" s="32"/>
      <c r="Y426" s="36"/>
    </row>
    <row r="427" spans="1:25" s="4" customFormat="1" ht="18" customHeight="1">
      <c r="A427" s="36"/>
      <c r="B427" s="69">
        <v>119.38</v>
      </c>
      <c r="C427" s="69" t="s">
        <v>749</v>
      </c>
      <c r="D427" s="31" t="s">
        <v>708</v>
      </c>
      <c r="E427" s="29" t="s">
        <v>34</v>
      </c>
      <c r="F427" s="28">
        <v>0.45</v>
      </c>
      <c r="G427" s="29">
        <v>0.04</v>
      </c>
      <c r="H427" s="29">
        <v>-0.04</v>
      </c>
      <c r="I427" s="30" t="s">
        <v>39</v>
      </c>
      <c r="J427" s="12">
        <f t="shared" si="92"/>
        <v>0.49</v>
      </c>
      <c r="K427" s="12">
        <f t="shared" si="93"/>
        <v>0.41000000000000003</v>
      </c>
      <c r="L427" s="78"/>
      <c r="M427" s="78"/>
      <c r="N427" s="78"/>
      <c r="O427" s="36"/>
      <c r="P427" s="24" t="str">
        <f t="shared" si="60"/>
        <v xml:space="preserve"> </v>
      </c>
      <c r="Q427" s="25" t="str">
        <f t="shared" si="61"/>
        <v xml:space="preserve"> </v>
      </c>
      <c r="R427" s="25" t="str">
        <f t="shared" si="62"/>
        <v xml:space="preserve"> </v>
      </c>
      <c r="S427" s="26" t="str">
        <f t="shared" si="63"/>
        <v xml:space="preserve"> </v>
      </c>
      <c r="T427" s="7" t="str">
        <f t="shared" si="64"/>
        <v xml:space="preserve"> </v>
      </c>
      <c r="U427" s="8" t="str">
        <f t="shared" si="65"/>
        <v xml:space="preserve"> </v>
      </c>
      <c r="V427" s="9" t="str">
        <f t="shared" si="94"/>
        <v xml:space="preserve"> </v>
      </c>
      <c r="W427" s="9" t="str">
        <f t="shared" si="67"/>
        <v/>
      </c>
      <c r="X427" s="32"/>
      <c r="Y427" s="36"/>
    </row>
    <row r="428" spans="1:25" s="4" customFormat="1" ht="18" customHeight="1">
      <c r="A428" s="36"/>
      <c r="B428" s="69">
        <v>119.39</v>
      </c>
      <c r="C428" s="69" t="s">
        <v>750</v>
      </c>
      <c r="D428" s="31" t="s">
        <v>708</v>
      </c>
      <c r="E428" s="29" t="s">
        <v>34</v>
      </c>
      <c r="F428" s="28">
        <v>0.45</v>
      </c>
      <c r="G428" s="29">
        <v>0.04</v>
      </c>
      <c r="H428" s="29">
        <v>-0.04</v>
      </c>
      <c r="I428" s="30" t="s">
        <v>39</v>
      </c>
      <c r="J428" s="12">
        <f t="shared" si="92"/>
        <v>0.49</v>
      </c>
      <c r="K428" s="12">
        <f t="shared" si="93"/>
        <v>0.41000000000000003</v>
      </c>
      <c r="L428" s="78"/>
      <c r="M428" s="78"/>
      <c r="N428" s="78"/>
      <c r="O428" s="36"/>
      <c r="P428" s="24" t="str">
        <f t="shared" si="60"/>
        <v xml:space="preserve"> </v>
      </c>
      <c r="Q428" s="25" t="str">
        <f t="shared" si="61"/>
        <v xml:space="preserve"> </v>
      </c>
      <c r="R428" s="25" t="str">
        <f t="shared" si="62"/>
        <v xml:space="preserve"> </v>
      </c>
      <c r="S428" s="26" t="str">
        <f t="shared" si="63"/>
        <v xml:space="preserve"> </v>
      </c>
      <c r="T428" s="7" t="str">
        <f t="shared" si="64"/>
        <v xml:space="preserve"> </v>
      </c>
      <c r="U428" s="8" t="str">
        <f t="shared" si="65"/>
        <v xml:space="preserve"> </v>
      </c>
      <c r="V428" s="9" t="str">
        <f t="shared" si="94"/>
        <v xml:space="preserve"> </v>
      </c>
      <c r="W428" s="9" t="str">
        <f t="shared" si="67"/>
        <v/>
      </c>
      <c r="X428" s="32"/>
      <c r="Y428" s="36"/>
    </row>
    <row r="429" spans="1:25" s="4" customFormat="1" ht="18" customHeight="1">
      <c r="A429" s="36"/>
      <c r="B429" s="69" t="s">
        <v>939</v>
      </c>
      <c r="C429" s="69" t="s">
        <v>751</v>
      </c>
      <c r="D429" s="31" t="s">
        <v>708</v>
      </c>
      <c r="E429" s="29" t="s">
        <v>34</v>
      </c>
      <c r="F429" s="28">
        <v>0.45</v>
      </c>
      <c r="G429" s="29">
        <v>0.04</v>
      </c>
      <c r="H429" s="29">
        <v>-0.04</v>
      </c>
      <c r="I429" s="30" t="s">
        <v>39</v>
      </c>
      <c r="J429" s="12">
        <f t="shared" si="92"/>
        <v>0.49</v>
      </c>
      <c r="K429" s="12">
        <f t="shared" si="93"/>
        <v>0.41000000000000003</v>
      </c>
      <c r="L429" s="78"/>
      <c r="M429" s="78"/>
      <c r="N429" s="78"/>
      <c r="O429" s="36"/>
      <c r="P429" s="24" t="str">
        <f t="shared" si="60"/>
        <v xml:space="preserve"> </v>
      </c>
      <c r="Q429" s="25" t="str">
        <f t="shared" si="61"/>
        <v xml:space="preserve"> </v>
      </c>
      <c r="R429" s="25" t="str">
        <f t="shared" si="62"/>
        <v xml:space="preserve"> </v>
      </c>
      <c r="S429" s="26" t="str">
        <f t="shared" si="63"/>
        <v xml:space="preserve"> </v>
      </c>
      <c r="T429" s="7" t="str">
        <f t="shared" si="64"/>
        <v xml:space="preserve"> </v>
      </c>
      <c r="U429" s="8" t="str">
        <f t="shared" si="65"/>
        <v xml:space="preserve"> </v>
      </c>
      <c r="V429" s="9" t="str">
        <f t="shared" si="94"/>
        <v xml:space="preserve"> </v>
      </c>
      <c r="W429" s="9" t="str">
        <f t="shared" si="67"/>
        <v/>
      </c>
      <c r="X429" s="32"/>
      <c r="Y429" s="36"/>
    </row>
    <row r="430" spans="1:25" s="4" customFormat="1" ht="18" customHeight="1">
      <c r="A430" s="36"/>
      <c r="B430" s="69">
        <v>119.41</v>
      </c>
      <c r="C430" s="69" t="s">
        <v>752</v>
      </c>
      <c r="D430" s="31" t="s">
        <v>708</v>
      </c>
      <c r="E430" s="29" t="s">
        <v>34</v>
      </c>
      <c r="F430" s="28">
        <v>0.45</v>
      </c>
      <c r="G430" s="29">
        <v>0.04</v>
      </c>
      <c r="H430" s="29">
        <v>-0.04</v>
      </c>
      <c r="I430" s="30" t="s">
        <v>39</v>
      </c>
      <c r="J430" s="12">
        <f t="shared" si="92"/>
        <v>0.49</v>
      </c>
      <c r="K430" s="12">
        <f t="shared" si="93"/>
        <v>0.41000000000000003</v>
      </c>
      <c r="L430" s="78"/>
      <c r="M430" s="78"/>
      <c r="N430" s="78"/>
      <c r="O430" s="36"/>
      <c r="P430" s="24" t="str">
        <f t="shared" si="60"/>
        <v xml:space="preserve"> </v>
      </c>
      <c r="Q430" s="25" t="str">
        <f t="shared" si="61"/>
        <v xml:space="preserve"> </v>
      </c>
      <c r="R430" s="25" t="str">
        <f t="shared" si="62"/>
        <v xml:space="preserve"> </v>
      </c>
      <c r="S430" s="26" t="str">
        <f t="shared" si="63"/>
        <v xml:space="preserve"> </v>
      </c>
      <c r="T430" s="7" t="str">
        <f t="shared" si="64"/>
        <v xml:space="preserve"> </v>
      </c>
      <c r="U430" s="8" t="str">
        <f t="shared" si="65"/>
        <v xml:space="preserve"> </v>
      </c>
      <c r="V430" s="9" t="str">
        <f t="shared" si="94"/>
        <v xml:space="preserve"> </v>
      </c>
      <c r="W430" s="9" t="str">
        <f t="shared" si="67"/>
        <v/>
      </c>
      <c r="X430" s="32"/>
      <c r="Y430" s="36"/>
    </row>
    <row r="431" spans="1:25" s="4" customFormat="1" ht="18" customHeight="1">
      <c r="A431" s="36"/>
      <c r="B431" s="69">
        <v>119.42</v>
      </c>
      <c r="C431" s="69" t="s">
        <v>753</v>
      </c>
      <c r="D431" s="31" t="s">
        <v>708</v>
      </c>
      <c r="E431" s="29" t="s">
        <v>34</v>
      </c>
      <c r="F431" s="28">
        <v>0.45</v>
      </c>
      <c r="G431" s="29">
        <v>0.04</v>
      </c>
      <c r="H431" s="29">
        <v>-0.04</v>
      </c>
      <c r="I431" s="30" t="s">
        <v>39</v>
      </c>
      <c r="J431" s="12">
        <f t="shared" si="92"/>
        <v>0.49</v>
      </c>
      <c r="K431" s="12">
        <f t="shared" si="93"/>
        <v>0.41000000000000003</v>
      </c>
      <c r="L431" s="78"/>
      <c r="M431" s="78"/>
      <c r="N431" s="78"/>
      <c r="O431" s="36"/>
      <c r="P431" s="24" t="str">
        <f t="shared" si="60"/>
        <v xml:space="preserve"> </v>
      </c>
      <c r="Q431" s="25" t="str">
        <f t="shared" si="61"/>
        <v xml:space="preserve"> </v>
      </c>
      <c r="R431" s="25" t="str">
        <f t="shared" si="62"/>
        <v xml:space="preserve"> </v>
      </c>
      <c r="S431" s="26" t="str">
        <f t="shared" si="63"/>
        <v xml:space="preserve"> </v>
      </c>
      <c r="T431" s="7" t="str">
        <f t="shared" si="64"/>
        <v xml:space="preserve"> </v>
      </c>
      <c r="U431" s="8" t="str">
        <f t="shared" si="65"/>
        <v xml:space="preserve"> </v>
      </c>
      <c r="V431" s="9" t="str">
        <f t="shared" si="94"/>
        <v xml:space="preserve"> </v>
      </c>
      <c r="W431" s="9" t="str">
        <f t="shared" si="67"/>
        <v/>
      </c>
      <c r="X431" s="32"/>
      <c r="Y431" s="36"/>
    </row>
    <row r="432" spans="1:25" s="4" customFormat="1" ht="18" customHeight="1">
      <c r="A432" s="36"/>
      <c r="B432" s="69">
        <v>119.43</v>
      </c>
      <c r="C432" s="69" t="s">
        <v>754</v>
      </c>
      <c r="D432" s="31" t="s">
        <v>708</v>
      </c>
      <c r="E432" s="29" t="s">
        <v>34</v>
      </c>
      <c r="F432" s="28">
        <v>0.45</v>
      </c>
      <c r="G432" s="29">
        <v>0.04</v>
      </c>
      <c r="H432" s="29">
        <v>-0.04</v>
      </c>
      <c r="I432" s="30" t="s">
        <v>39</v>
      </c>
      <c r="J432" s="12">
        <f t="shared" si="92"/>
        <v>0.49</v>
      </c>
      <c r="K432" s="12">
        <f t="shared" si="93"/>
        <v>0.41000000000000003</v>
      </c>
      <c r="L432" s="78"/>
      <c r="M432" s="78"/>
      <c r="N432" s="78"/>
      <c r="O432" s="36"/>
      <c r="P432" s="24" t="str">
        <f t="shared" si="60"/>
        <v xml:space="preserve"> </v>
      </c>
      <c r="Q432" s="25" t="str">
        <f t="shared" si="61"/>
        <v xml:space="preserve"> </v>
      </c>
      <c r="R432" s="25" t="str">
        <f t="shared" si="62"/>
        <v xml:space="preserve"> </v>
      </c>
      <c r="S432" s="26" t="str">
        <f t="shared" si="63"/>
        <v xml:space="preserve"> </v>
      </c>
      <c r="T432" s="7" t="str">
        <f t="shared" si="64"/>
        <v xml:space="preserve"> </v>
      </c>
      <c r="U432" s="8" t="str">
        <f t="shared" si="65"/>
        <v xml:space="preserve"> </v>
      </c>
      <c r="V432" s="9" t="str">
        <f t="shared" si="94"/>
        <v xml:space="preserve"> </v>
      </c>
      <c r="W432" s="9" t="str">
        <f t="shared" si="67"/>
        <v/>
      </c>
      <c r="X432" s="32"/>
      <c r="Y432" s="36"/>
    </row>
    <row r="433" spans="1:25" s="4" customFormat="1" ht="18" customHeight="1">
      <c r="A433" s="36"/>
      <c r="B433" s="69">
        <v>119.44</v>
      </c>
      <c r="C433" s="69" t="s">
        <v>755</v>
      </c>
      <c r="D433" s="31" t="s">
        <v>708</v>
      </c>
      <c r="E433" s="29" t="s">
        <v>34</v>
      </c>
      <c r="F433" s="28">
        <v>0.45</v>
      </c>
      <c r="G433" s="29">
        <v>0.04</v>
      </c>
      <c r="H433" s="29">
        <v>-0.04</v>
      </c>
      <c r="I433" s="30" t="s">
        <v>39</v>
      </c>
      <c r="J433" s="12">
        <f t="shared" si="92"/>
        <v>0.49</v>
      </c>
      <c r="K433" s="12">
        <f t="shared" si="93"/>
        <v>0.41000000000000003</v>
      </c>
      <c r="L433" s="78"/>
      <c r="M433" s="78"/>
      <c r="N433" s="78"/>
      <c r="O433" s="36"/>
      <c r="P433" s="24" t="str">
        <f t="shared" si="60"/>
        <v xml:space="preserve"> </v>
      </c>
      <c r="Q433" s="25" t="str">
        <f t="shared" si="61"/>
        <v xml:space="preserve"> </v>
      </c>
      <c r="R433" s="25" t="str">
        <f t="shared" si="62"/>
        <v xml:space="preserve"> </v>
      </c>
      <c r="S433" s="26" t="str">
        <f t="shared" si="63"/>
        <v xml:space="preserve"> </v>
      </c>
      <c r="T433" s="7" t="str">
        <f t="shared" si="64"/>
        <v xml:space="preserve"> </v>
      </c>
      <c r="U433" s="8" t="str">
        <f t="shared" si="65"/>
        <v xml:space="preserve"> </v>
      </c>
      <c r="V433" s="9" t="str">
        <f t="shared" si="94"/>
        <v xml:space="preserve"> </v>
      </c>
      <c r="W433" s="9" t="str">
        <f t="shared" si="67"/>
        <v/>
      </c>
      <c r="X433" s="32"/>
      <c r="Y433" s="36"/>
    </row>
    <row r="434" spans="1:25" s="4" customFormat="1" ht="18" customHeight="1">
      <c r="A434" s="36"/>
      <c r="B434" s="69">
        <v>119.45</v>
      </c>
      <c r="C434" s="69" t="s">
        <v>756</v>
      </c>
      <c r="D434" s="31" t="s">
        <v>708</v>
      </c>
      <c r="E434" s="29" t="s">
        <v>34</v>
      </c>
      <c r="F434" s="28">
        <v>0.45</v>
      </c>
      <c r="G434" s="29">
        <v>0.04</v>
      </c>
      <c r="H434" s="29">
        <v>-0.04</v>
      </c>
      <c r="I434" s="30" t="s">
        <v>39</v>
      </c>
      <c r="J434" s="12">
        <f t="shared" si="92"/>
        <v>0.49</v>
      </c>
      <c r="K434" s="12">
        <f t="shared" si="93"/>
        <v>0.41000000000000003</v>
      </c>
      <c r="L434" s="78"/>
      <c r="M434" s="78"/>
      <c r="N434" s="78"/>
      <c r="O434" s="36"/>
      <c r="P434" s="24" t="str">
        <f t="shared" si="60"/>
        <v xml:space="preserve"> </v>
      </c>
      <c r="Q434" s="25" t="str">
        <f t="shared" si="61"/>
        <v xml:space="preserve"> </v>
      </c>
      <c r="R434" s="25" t="str">
        <f t="shared" si="62"/>
        <v xml:space="preserve"> </v>
      </c>
      <c r="S434" s="26" t="str">
        <f t="shared" si="63"/>
        <v xml:space="preserve"> </v>
      </c>
      <c r="T434" s="7" t="str">
        <f t="shared" si="64"/>
        <v xml:space="preserve"> </v>
      </c>
      <c r="U434" s="8" t="str">
        <f t="shared" si="65"/>
        <v xml:space="preserve"> </v>
      </c>
      <c r="V434" s="9" t="str">
        <f t="shared" si="94"/>
        <v xml:space="preserve"> </v>
      </c>
      <c r="W434" s="9" t="str">
        <f t="shared" si="67"/>
        <v/>
      </c>
      <c r="X434" s="32"/>
      <c r="Y434" s="36"/>
    </row>
    <row r="435" spans="1:25" s="4" customFormat="1" ht="18" customHeight="1">
      <c r="A435" s="36"/>
      <c r="B435" s="69">
        <v>119.46</v>
      </c>
      <c r="C435" s="69" t="s">
        <v>757</v>
      </c>
      <c r="D435" s="31" t="s">
        <v>708</v>
      </c>
      <c r="E435" s="29" t="s">
        <v>34</v>
      </c>
      <c r="F435" s="28">
        <v>0.45</v>
      </c>
      <c r="G435" s="29">
        <v>0.04</v>
      </c>
      <c r="H435" s="29">
        <v>-0.04</v>
      </c>
      <c r="I435" s="30" t="s">
        <v>39</v>
      </c>
      <c r="J435" s="12">
        <f t="shared" si="92"/>
        <v>0.49</v>
      </c>
      <c r="K435" s="12">
        <f t="shared" si="93"/>
        <v>0.41000000000000003</v>
      </c>
      <c r="L435" s="78"/>
      <c r="M435" s="78"/>
      <c r="N435" s="78"/>
      <c r="O435" s="36"/>
      <c r="P435" s="24" t="str">
        <f t="shared" si="60"/>
        <v xml:space="preserve"> </v>
      </c>
      <c r="Q435" s="25" t="str">
        <f t="shared" si="61"/>
        <v xml:space="preserve"> </v>
      </c>
      <c r="R435" s="25" t="str">
        <f t="shared" si="62"/>
        <v xml:space="preserve"> </v>
      </c>
      <c r="S435" s="26" t="str">
        <f t="shared" si="63"/>
        <v xml:space="preserve"> </v>
      </c>
      <c r="T435" s="7" t="str">
        <f t="shared" si="64"/>
        <v xml:space="preserve"> </v>
      </c>
      <c r="U435" s="8" t="str">
        <f t="shared" si="65"/>
        <v xml:space="preserve"> </v>
      </c>
      <c r="V435" s="9" t="str">
        <f t="shared" si="94"/>
        <v xml:space="preserve"> </v>
      </c>
      <c r="W435" s="9" t="str">
        <f t="shared" si="67"/>
        <v/>
      </c>
      <c r="X435" s="32"/>
      <c r="Y435" s="36"/>
    </row>
    <row r="436" spans="1:25" s="4" customFormat="1" ht="18" customHeight="1">
      <c r="A436" s="36"/>
      <c r="B436" s="69">
        <v>119.47</v>
      </c>
      <c r="C436" s="69" t="s">
        <v>758</v>
      </c>
      <c r="D436" s="31" t="s">
        <v>708</v>
      </c>
      <c r="E436" s="29" t="s">
        <v>34</v>
      </c>
      <c r="F436" s="28">
        <v>0.45</v>
      </c>
      <c r="G436" s="29">
        <v>0.04</v>
      </c>
      <c r="H436" s="29">
        <v>-0.04</v>
      </c>
      <c r="I436" s="30" t="s">
        <v>39</v>
      </c>
      <c r="J436" s="12">
        <f t="shared" si="92"/>
        <v>0.49</v>
      </c>
      <c r="K436" s="12">
        <f t="shared" si="93"/>
        <v>0.41000000000000003</v>
      </c>
      <c r="L436" s="78"/>
      <c r="M436" s="78"/>
      <c r="N436" s="78"/>
      <c r="O436" s="36"/>
      <c r="P436" s="24" t="str">
        <f t="shared" si="60"/>
        <v xml:space="preserve"> </v>
      </c>
      <c r="Q436" s="25" t="str">
        <f t="shared" si="61"/>
        <v xml:space="preserve"> </v>
      </c>
      <c r="R436" s="25" t="str">
        <f t="shared" si="62"/>
        <v xml:space="preserve"> </v>
      </c>
      <c r="S436" s="26" t="str">
        <f t="shared" si="63"/>
        <v xml:space="preserve"> </v>
      </c>
      <c r="T436" s="7" t="str">
        <f t="shared" si="64"/>
        <v xml:space="preserve"> </v>
      </c>
      <c r="U436" s="8" t="str">
        <f t="shared" si="65"/>
        <v xml:space="preserve"> </v>
      </c>
      <c r="V436" s="9" t="str">
        <f t="shared" si="94"/>
        <v xml:space="preserve"> </v>
      </c>
      <c r="W436" s="9" t="str">
        <f t="shared" si="67"/>
        <v/>
      </c>
      <c r="X436" s="32"/>
      <c r="Y436" s="36"/>
    </row>
    <row r="437" spans="1:25" s="4" customFormat="1" ht="18" customHeight="1">
      <c r="A437" s="36"/>
      <c r="B437" s="69">
        <v>120.01</v>
      </c>
      <c r="C437" s="69" t="s">
        <v>682</v>
      </c>
      <c r="D437" s="31" t="s">
        <v>708</v>
      </c>
      <c r="E437" s="29" t="s">
        <v>34</v>
      </c>
      <c r="F437" s="28">
        <v>40.299999999999997</v>
      </c>
      <c r="G437" s="29">
        <v>0.04</v>
      </c>
      <c r="H437" s="29">
        <v>-0.04</v>
      </c>
      <c r="I437" s="30" t="s">
        <v>39</v>
      </c>
      <c r="J437" s="12">
        <f t="shared" si="92"/>
        <v>40.339999999999996</v>
      </c>
      <c r="K437" s="12">
        <f t="shared" si="93"/>
        <v>40.26</v>
      </c>
      <c r="L437" s="78"/>
      <c r="M437" s="78"/>
      <c r="N437" s="78"/>
      <c r="O437" s="36"/>
      <c r="P437" s="24" t="str">
        <f t="shared" si="60"/>
        <v xml:space="preserve"> </v>
      </c>
      <c r="Q437" s="25" t="str">
        <f t="shared" si="61"/>
        <v xml:space="preserve"> </v>
      </c>
      <c r="R437" s="25" t="str">
        <f t="shared" si="62"/>
        <v xml:space="preserve"> </v>
      </c>
      <c r="S437" s="26" t="str">
        <f t="shared" si="63"/>
        <v xml:space="preserve"> </v>
      </c>
      <c r="T437" s="7" t="str">
        <f t="shared" si="64"/>
        <v xml:space="preserve"> </v>
      </c>
      <c r="U437" s="8" t="str">
        <f t="shared" si="65"/>
        <v xml:space="preserve"> </v>
      </c>
      <c r="V437" s="9" t="str">
        <f t="shared" si="94"/>
        <v xml:space="preserve"> </v>
      </c>
      <c r="W437" s="9" t="str">
        <f t="shared" si="67"/>
        <v/>
      </c>
      <c r="X437" s="32"/>
      <c r="Y437" s="36"/>
    </row>
    <row r="438" spans="1:25" s="4" customFormat="1" ht="18" customHeight="1">
      <c r="A438" s="36"/>
      <c r="B438" s="69">
        <v>120.02</v>
      </c>
      <c r="C438" s="69" t="s">
        <v>683</v>
      </c>
      <c r="D438" s="31" t="s">
        <v>708</v>
      </c>
      <c r="E438" s="29" t="s">
        <v>34</v>
      </c>
      <c r="F438" s="28">
        <v>40.299999999999997</v>
      </c>
      <c r="G438" s="29">
        <v>0.04</v>
      </c>
      <c r="H438" s="29">
        <v>-0.04</v>
      </c>
      <c r="I438" s="30" t="s">
        <v>39</v>
      </c>
      <c r="J438" s="12">
        <f t="shared" si="92"/>
        <v>40.339999999999996</v>
      </c>
      <c r="K438" s="12">
        <f t="shared" si="93"/>
        <v>40.26</v>
      </c>
      <c r="L438" s="78"/>
      <c r="M438" s="78"/>
      <c r="N438" s="78"/>
      <c r="O438" s="36"/>
      <c r="P438" s="24" t="str">
        <f t="shared" si="60"/>
        <v xml:space="preserve"> </v>
      </c>
      <c r="Q438" s="25" t="str">
        <f t="shared" si="61"/>
        <v xml:space="preserve"> </v>
      </c>
      <c r="R438" s="25" t="str">
        <f t="shared" si="62"/>
        <v xml:space="preserve"> </v>
      </c>
      <c r="S438" s="26" t="str">
        <f t="shared" si="63"/>
        <v xml:space="preserve"> </v>
      </c>
      <c r="T438" s="7" t="str">
        <f t="shared" si="64"/>
        <v xml:space="preserve"> </v>
      </c>
      <c r="U438" s="8" t="str">
        <f t="shared" si="65"/>
        <v xml:space="preserve"> </v>
      </c>
      <c r="V438" s="9" t="str">
        <f t="shared" si="94"/>
        <v xml:space="preserve"> </v>
      </c>
      <c r="W438" s="9" t="str">
        <f t="shared" si="67"/>
        <v/>
      </c>
      <c r="X438" s="32"/>
      <c r="Y438" s="36"/>
    </row>
    <row r="439" spans="1:25" s="4" customFormat="1" ht="18" customHeight="1">
      <c r="A439" s="36"/>
      <c r="B439" s="69">
        <v>121.01</v>
      </c>
      <c r="C439" s="69" t="s">
        <v>684</v>
      </c>
      <c r="D439" s="31" t="s">
        <v>707</v>
      </c>
      <c r="E439" s="29" t="s">
        <v>34</v>
      </c>
      <c r="F439" s="28">
        <v>41.71</v>
      </c>
      <c r="G439" s="29">
        <v>0.04</v>
      </c>
      <c r="H439" s="29">
        <v>-0.04</v>
      </c>
      <c r="I439" s="30" t="s">
        <v>39</v>
      </c>
      <c r="J439" s="12">
        <f t="shared" si="92"/>
        <v>41.75</v>
      </c>
      <c r="K439" s="12">
        <f t="shared" si="93"/>
        <v>41.67</v>
      </c>
      <c r="L439" s="78"/>
      <c r="M439" s="78"/>
      <c r="N439" s="78"/>
      <c r="O439" s="36"/>
      <c r="P439" s="24" t="str">
        <f t="shared" si="60"/>
        <v xml:space="preserve"> </v>
      </c>
      <c r="Q439" s="25" t="str">
        <f t="shared" si="61"/>
        <v xml:space="preserve"> </v>
      </c>
      <c r="R439" s="25" t="str">
        <f t="shared" si="62"/>
        <v xml:space="preserve"> </v>
      </c>
      <c r="S439" s="26" t="str">
        <f t="shared" si="63"/>
        <v xml:space="preserve"> </v>
      </c>
      <c r="T439" s="7" t="str">
        <f t="shared" si="64"/>
        <v xml:space="preserve"> </v>
      </c>
      <c r="U439" s="8" t="str">
        <f t="shared" si="65"/>
        <v xml:space="preserve"> </v>
      </c>
      <c r="V439" s="9" t="str">
        <f t="shared" si="94"/>
        <v xml:space="preserve"> </v>
      </c>
      <c r="W439" s="9" t="str">
        <f t="shared" si="67"/>
        <v/>
      </c>
      <c r="X439" s="32"/>
      <c r="Y439" s="36"/>
    </row>
    <row r="440" spans="1:25" s="4" customFormat="1" ht="18" customHeight="1">
      <c r="A440" s="36"/>
      <c r="B440" s="69">
        <v>121.02</v>
      </c>
      <c r="C440" s="69" t="s">
        <v>685</v>
      </c>
      <c r="D440" s="31" t="s">
        <v>707</v>
      </c>
      <c r="E440" s="29" t="s">
        <v>34</v>
      </c>
      <c r="F440" s="28">
        <v>41.71</v>
      </c>
      <c r="G440" s="29">
        <v>0.04</v>
      </c>
      <c r="H440" s="29">
        <v>-0.04</v>
      </c>
      <c r="I440" s="30" t="s">
        <v>39</v>
      </c>
      <c r="J440" s="12">
        <f t="shared" si="92"/>
        <v>41.75</v>
      </c>
      <c r="K440" s="12">
        <f t="shared" si="93"/>
        <v>41.67</v>
      </c>
      <c r="L440" s="78"/>
      <c r="M440" s="78"/>
      <c r="N440" s="78"/>
      <c r="O440" s="36"/>
      <c r="P440" s="24" t="str">
        <f t="shared" si="60"/>
        <v xml:space="preserve"> </v>
      </c>
      <c r="Q440" s="25" t="str">
        <f t="shared" si="61"/>
        <v xml:space="preserve"> </v>
      </c>
      <c r="R440" s="25" t="str">
        <f t="shared" si="62"/>
        <v xml:space="preserve"> </v>
      </c>
      <c r="S440" s="26" t="str">
        <f t="shared" si="63"/>
        <v xml:space="preserve"> </v>
      </c>
      <c r="T440" s="7" t="str">
        <f t="shared" si="64"/>
        <v xml:space="preserve"> </v>
      </c>
      <c r="U440" s="8" t="str">
        <f t="shared" si="65"/>
        <v xml:space="preserve"> </v>
      </c>
      <c r="V440" s="9" t="str">
        <f t="shared" si="94"/>
        <v xml:space="preserve"> </v>
      </c>
      <c r="W440" s="9" t="str">
        <f t="shared" si="67"/>
        <v/>
      </c>
      <c r="X440" s="32"/>
      <c r="Y440" s="36"/>
    </row>
    <row r="441" spans="1:25" s="4" customFormat="1" ht="18" customHeight="1">
      <c r="A441" s="36"/>
      <c r="B441" s="69">
        <v>122.01</v>
      </c>
      <c r="C441" s="69" t="s">
        <v>686</v>
      </c>
      <c r="D441" s="31" t="s">
        <v>774</v>
      </c>
      <c r="E441" s="29" t="s">
        <v>34</v>
      </c>
      <c r="F441" s="28">
        <v>44.36</v>
      </c>
      <c r="G441" s="29">
        <v>0.04</v>
      </c>
      <c r="H441" s="29">
        <v>-0.04</v>
      </c>
      <c r="I441" s="30" t="s">
        <v>39</v>
      </c>
      <c r="J441" s="12">
        <f t="shared" si="92"/>
        <v>44.4</v>
      </c>
      <c r="K441" s="12">
        <f t="shared" si="93"/>
        <v>44.32</v>
      </c>
      <c r="L441" s="78"/>
      <c r="M441" s="78"/>
      <c r="N441" s="78"/>
      <c r="O441" s="36"/>
      <c r="P441" s="24" t="str">
        <f t="shared" si="60"/>
        <v xml:space="preserve"> </v>
      </c>
      <c r="Q441" s="25" t="str">
        <f t="shared" si="61"/>
        <v xml:space="preserve"> </v>
      </c>
      <c r="R441" s="25" t="str">
        <f t="shared" si="62"/>
        <v xml:space="preserve"> </v>
      </c>
      <c r="S441" s="26" t="str">
        <f t="shared" si="63"/>
        <v xml:space="preserve"> </v>
      </c>
      <c r="T441" s="7" t="str">
        <f t="shared" si="64"/>
        <v xml:space="preserve"> </v>
      </c>
      <c r="U441" s="8" t="str">
        <f t="shared" si="65"/>
        <v xml:space="preserve"> </v>
      </c>
      <c r="V441" s="9" t="str">
        <f t="shared" si="94"/>
        <v xml:space="preserve"> </v>
      </c>
      <c r="W441" s="9" t="str">
        <f t="shared" si="67"/>
        <v/>
      </c>
      <c r="X441" s="32"/>
      <c r="Y441" s="36"/>
    </row>
    <row r="442" spans="1:25" s="4" customFormat="1" ht="18" customHeight="1">
      <c r="A442" s="36"/>
      <c r="B442" s="69">
        <v>122.02</v>
      </c>
      <c r="C442" s="69" t="s">
        <v>687</v>
      </c>
      <c r="D442" s="31" t="s">
        <v>774</v>
      </c>
      <c r="E442" s="29" t="s">
        <v>34</v>
      </c>
      <c r="F442" s="28">
        <v>44.36</v>
      </c>
      <c r="G442" s="29">
        <v>0.04</v>
      </c>
      <c r="H442" s="29">
        <v>-0.04</v>
      </c>
      <c r="I442" s="30" t="s">
        <v>39</v>
      </c>
      <c r="J442" s="12">
        <f t="shared" si="92"/>
        <v>44.4</v>
      </c>
      <c r="K442" s="12">
        <f t="shared" si="93"/>
        <v>44.32</v>
      </c>
      <c r="L442" s="78"/>
      <c r="M442" s="78"/>
      <c r="N442" s="78"/>
      <c r="O442" s="36"/>
      <c r="P442" s="24" t="str">
        <f t="shared" si="60"/>
        <v xml:space="preserve"> </v>
      </c>
      <c r="Q442" s="25" t="str">
        <f t="shared" si="61"/>
        <v xml:space="preserve"> </v>
      </c>
      <c r="R442" s="25" t="str">
        <f t="shared" si="62"/>
        <v xml:space="preserve"> </v>
      </c>
      <c r="S442" s="26" t="str">
        <f t="shared" si="63"/>
        <v xml:space="preserve"> </v>
      </c>
      <c r="T442" s="7" t="str">
        <f t="shared" si="64"/>
        <v xml:space="preserve"> </v>
      </c>
      <c r="U442" s="8" t="str">
        <f t="shared" si="65"/>
        <v xml:space="preserve"> </v>
      </c>
      <c r="V442" s="9" t="str">
        <f t="shared" si="94"/>
        <v xml:space="preserve"> </v>
      </c>
      <c r="W442" s="9" t="str">
        <f t="shared" si="67"/>
        <v/>
      </c>
      <c r="X442" s="32"/>
      <c r="Y442" s="36"/>
    </row>
    <row r="443" spans="1:25" s="4" customFormat="1" ht="18" customHeight="1">
      <c r="A443" s="36"/>
      <c r="B443" s="69">
        <v>122.03</v>
      </c>
      <c r="C443" s="69" t="s">
        <v>688</v>
      </c>
      <c r="D443" s="31" t="s">
        <v>774</v>
      </c>
      <c r="E443" s="29" t="s">
        <v>34</v>
      </c>
      <c r="F443" s="28">
        <v>44.36</v>
      </c>
      <c r="G443" s="29">
        <v>0.05</v>
      </c>
      <c r="H443" s="29">
        <v>-0.05</v>
      </c>
      <c r="I443" s="30" t="s">
        <v>39</v>
      </c>
      <c r="J443" s="12">
        <f t="shared" si="92"/>
        <v>44.41</v>
      </c>
      <c r="K443" s="12">
        <f t="shared" si="93"/>
        <v>44.31</v>
      </c>
      <c r="L443" s="78"/>
      <c r="M443" s="78"/>
      <c r="N443" s="78"/>
      <c r="O443" s="36"/>
      <c r="P443" s="24" t="str">
        <f t="shared" si="60"/>
        <v xml:space="preserve"> </v>
      </c>
      <c r="Q443" s="25" t="str">
        <f t="shared" si="61"/>
        <v xml:space="preserve"> </v>
      </c>
      <c r="R443" s="25" t="str">
        <f t="shared" si="62"/>
        <v xml:space="preserve"> </v>
      </c>
      <c r="S443" s="26" t="str">
        <f t="shared" si="63"/>
        <v xml:space="preserve"> </v>
      </c>
      <c r="T443" s="7" t="str">
        <f t="shared" si="64"/>
        <v xml:space="preserve"> </v>
      </c>
      <c r="U443" s="8" t="str">
        <f t="shared" si="65"/>
        <v xml:space="preserve"> </v>
      </c>
      <c r="V443" s="9" t="str">
        <f t="shared" si="94"/>
        <v xml:space="preserve"> </v>
      </c>
      <c r="W443" s="9" t="str">
        <f t="shared" si="67"/>
        <v/>
      </c>
      <c r="X443" s="32"/>
      <c r="Y443" s="36"/>
    </row>
    <row r="444" spans="1:25" s="4" customFormat="1" ht="18" customHeight="1">
      <c r="A444" s="36"/>
      <c r="B444" s="69">
        <v>123.01</v>
      </c>
      <c r="C444" s="69" t="s">
        <v>689</v>
      </c>
      <c r="D444" s="31" t="s">
        <v>774</v>
      </c>
      <c r="E444" s="29" t="s">
        <v>34</v>
      </c>
      <c r="F444" s="28">
        <v>42.92</v>
      </c>
      <c r="G444" s="29">
        <v>0.05</v>
      </c>
      <c r="H444" s="29">
        <v>-0.05</v>
      </c>
      <c r="I444" s="30" t="s">
        <v>39</v>
      </c>
      <c r="J444" s="12">
        <f t="shared" si="92"/>
        <v>42.97</v>
      </c>
      <c r="K444" s="12">
        <f t="shared" si="93"/>
        <v>42.870000000000005</v>
      </c>
      <c r="L444" s="78"/>
      <c r="M444" s="78"/>
      <c r="N444" s="78"/>
      <c r="O444" s="36"/>
      <c r="P444" s="24" t="str">
        <f t="shared" si="60"/>
        <v xml:space="preserve"> </v>
      </c>
      <c r="Q444" s="25" t="str">
        <f t="shared" si="61"/>
        <v xml:space="preserve"> </v>
      </c>
      <c r="R444" s="25" t="str">
        <f t="shared" si="62"/>
        <v xml:space="preserve"> </v>
      </c>
      <c r="S444" s="26" t="str">
        <f t="shared" si="63"/>
        <v xml:space="preserve"> </v>
      </c>
      <c r="T444" s="7" t="str">
        <f t="shared" si="64"/>
        <v xml:space="preserve"> </v>
      </c>
      <c r="U444" s="8" t="str">
        <f t="shared" si="65"/>
        <v xml:space="preserve"> </v>
      </c>
      <c r="V444" s="9" t="str">
        <f t="shared" si="94"/>
        <v xml:space="preserve"> </v>
      </c>
      <c r="W444" s="9" t="str">
        <f t="shared" si="67"/>
        <v/>
      </c>
      <c r="X444" s="32"/>
      <c r="Y444" s="36"/>
    </row>
    <row r="445" spans="1:25" s="4" customFormat="1" ht="18" customHeight="1">
      <c r="A445" s="36"/>
      <c r="B445" s="69">
        <v>123.02</v>
      </c>
      <c r="C445" s="69" t="s">
        <v>690</v>
      </c>
      <c r="D445" s="31" t="s">
        <v>774</v>
      </c>
      <c r="E445" s="29" t="s">
        <v>34</v>
      </c>
      <c r="F445" s="28">
        <v>42.92</v>
      </c>
      <c r="G445" s="29">
        <v>0.05</v>
      </c>
      <c r="H445" s="29">
        <v>-0.05</v>
      </c>
      <c r="I445" s="30" t="s">
        <v>39</v>
      </c>
      <c r="J445" s="12">
        <f t="shared" si="92"/>
        <v>42.97</v>
      </c>
      <c r="K445" s="12">
        <f t="shared" si="93"/>
        <v>42.870000000000005</v>
      </c>
      <c r="L445" s="78"/>
      <c r="M445" s="78"/>
      <c r="N445" s="78"/>
      <c r="O445" s="36"/>
      <c r="P445" s="24" t="str">
        <f t="shared" si="60"/>
        <v xml:space="preserve"> </v>
      </c>
      <c r="Q445" s="25" t="str">
        <f t="shared" si="61"/>
        <v xml:space="preserve"> </v>
      </c>
      <c r="R445" s="25" t="str">
        <f t="shared" si="62"/>
        <v xml:space="preserve"> </v>
      </c>
      <c r="S445" s="26" t="str">
        <f t="shared" si="63"/>
        <v xml:space="preserve"> </v>
      </c>
      <c r="T445" s="7" t="str">
        <f t="shared" si="64"/>
        <v xml:space="preserve"> </v>
      </c>
      <c r="U445" s="8" t="str">
        <f t="shared" si="65"/>
        <v xml:space="preserve"> </v>
      </c>
      <c r="V445" s="9" t="str">
        <f t="shared" si="94"/>
        <v xml:space="preserve"> </v>
      </c>
      <c r="W445" s="9" t="str">
        <f t="shared" si="67"/>
        <v/>
      </c>
      <c r="X445" s="32"/>
      <c r="Y445" s="36"/>
    </row>
    <row r="446" spans="1:25" s="4" customFormat="1" ht="18" customHeight="1">
      <c r="A446" s="36"/>
      <c r="B446" s="69">
        <v>123.03</v>
      </c>
      <c r="C446" s="69" t="s">
        <v>691</v>
      </c>
      <c r="D446" s="31" t="s">
        <v>774</v>
      </c>
      <c r="E446" s="29" t="s">
        <v>34</v>
      </c>
      <c r="F446" s="28">
        <v>42.92</v>
      </c>
      <c r="G446" s="29">
        <v>0.05</v>
      </c>
      <c r="H446" s="29">
        <v>-0.05</v>
      </c>
      <c r="I446" s="30" t="s">
        <v>39</v>
      </c>
      <c r="J446" s="12">
        <f t="shared" si="92"/>
        <v>42.97</v>
      </c>
      <c r="K446" s="12">
        <f t="shared" si="93"/>
        <v>42.870000000000005</v>
      </c>
      <c r="L446" s="78"/>
      <c r="M446" s="78"/>
      <c r="N446" s="78"/>
      <c r="O446" s="36"/>
      <c r="P446" s="24" t="str">
        <f t="shared" si="60"/>
        <v xml:space="preserve"> </v>
      </c>
      <c r="Q446" s="25" t="str">
        <f t="shared" si="61"/>
        <v xml:space="preserve"> </v>
      </c>
      <c r="R446" s="25" t="str">
        <f t="shared" si="62"/>
        <v xml:space="preserve"> </v>
      </c>
      <c r="S446" s="26" t="str">
        <f t="shared" si="63"/>
        <v xml:space="preserve"> </v>
      </c>
      <c r="T446" s="7" t="str">
        <f t="shared" si="64"/>
        <v xml:space="preserve"> </v>
      </c>
      <c r="U446" s="8" t="str">
        <f t="shared" si="65"/>
        <v xml:space="preserve"> </v>
      </c>
      <c r="V446" s="9" t="str">
        <f t="shared" si="94"/>
        <v xml:space="preserve"> </v>
      </c>
      <c r="W446" s="9" t="str">
        <f t="shared" si="67"/>
        <v/>
      </c>
      <c r="X446" s="32"/>
      <c r="Y446" s="36"/>
    </row>
    <row r="447" spans="1:25" s="4" customFormat="1" ht="18" customHeight="1">
      <c r="A447" s="36"/>
      <c r="B447" s="69">
        <v>124.01</v>
      </c>
      <c r="C447" s="69"/>
      <c r="D447" s="31" t="s">
        <v>707</v>
      </c>
      <c r="E447" s="29" t="s">
        <v>34</v>
      </c>
      <c r="F447" s="28">
        <v>4.6100000000000003</v>
      </c>
      <c r="G447" s="29">
        <v>0.05</v>
      </c>
      <c r="H447" s="29">
        <v>-0.05</v>
      </c>
      <c r="I447" s="30" t="s">
        <v>39</v>
      </c>
      <c r="J447" s="12">
        <f t="shared" si="92"/>
        <v>4.66</v>
      </c>
      <c r="K447" s="12">
        <f t="shared" si="93"/>
        <v>4.5600000000000005</v>
      </c>
      <c r="L447" s="78"/>
      <c r="M447" s="78"/>
      <c r="N447" s="78"/>
      <c r="O447" s="36"/>
      <c r="P447" s="24" t="str">
        <f t="shared" si="60"/>
        <v xml:space="preserve"> </v>
      </c>
      <c r="Q447" s="25" t="str">
        <f t="shared" si="61"/>
        <v xml:space="preserve"> </v>
      </c>
      <c r="R447" s="25" t="str">
        <f t="shared" si="62"/>
        <v xml:space="preserve"> </v>
      </c>
      <c r="S447" s="26" t="str">
        <f t="shared" si="63"/>
        <v xml:space="preserve"> </v>
      </c>
      <c r="T447" s="7" t="str">
        <f t="shared" si="64"/>
        <v xml:space="preserve"> </v>
      </c>
      <c r="U447" s="8" t="str">
        <f t="shared" si="65"/>
        <v xml:space="preserve"> </v>
      </c>
      <c r="V447" s="9" t="str">
        <f t="shared" si="94"/>
        <v xml:space="preserve"> </v>
      </c>
      <c r="W447" s="9" t="str">
        <f t="shared" si="67"/>
        <v/>
      </c>
      <c r="X447" s="32"/>
      <c r="Y447" s="36"/>
    </row>
    <row r="448" spans="1:25" s="4" customFormat="1" ht="18" customHeight="1">
      <c r="A448" s="36"/>
      <c r="B448" s="69">
        <v>124.02</v>
      </c>
      <c r="C448" s="69"/>
      <c r="D448" s="31" t="s">
        <v>707</v>
      </c>
      <c r="E448" s="29" t="s">
        <v>34</v>
      </c>
      <c r="F448" s="28">
        <v>4.6100000000000003</v>
      </c>
      <c r="G448" s="29">
        <v>0.05</v>
      </c>
      <c r="H448" s="29">
        <v>-0.05</v>
      </c>
      <c r="I448" s="30" t="s">
        <v>39</v>
      </c>
      <c r="J448" s="12">
        <f t="shared" si="92"/>
        <v>4.66</v>
      </c>
      <c r="K448" s="12">
        <f t="shared" si="93"/>
        <v>4.5600000000000005</v>
      </c>
      <c r="L448" s="78"/>
      <c r="M448" s="78"/>
      <c r="N448" s="78"/>
      <c r="O448" s="36"/>
      <c r="P448" s="24" t="str">
        <f t="shared" si="60"/>
        <v xml:space="preserve"> </v>
      </c>
      <c r="Q448" s="25" t="str">
        <f t="shared" si="61"/>
        <v xml:space="preserve"> </v>
      </c>
      <c r="R448" s="25" t="str">
        <f t="shared" si="62"/>
        <v xml:space="preserve"> </v>
      </c>
      <c r="S448" s="26" t="str">
        <f t="shared" si="63"/>
        <v xml:space="preserve"> </v>
      </c>
      <c r="T448" s="7" t="str">
        <f t="shared" si="64"/>
        <v xml:space="preserve"> </v>
      </c>
      <c r="U448" s="8" t="str">
        <f t="shared" si="65"/>
        <v xml:space="preserve"> </v>
      </c>
      <c r="V448" s="9" t="str">
        <f t="shared" si="94"/>
        <v xml:space="preserve"> </v>
      </c>
      <c r="W448" s="9" t="str">
        <f t="shared" si="67"/>
        <v/>
      </c>
      <c r="X448" s="32"/>
      <c r="Y448" s="36"/>
    </row>
    <row r="449" spans="1:25" s="4" customFormat="1" ht="18" customHeight="1">
      <c r="A449" s="36"/>
      <c r="B449" s="69">
        <v>124.03</v>
      </c>
      <c r="C449" s="69"/>
      <c r="D449" s="31" t="s">
        <v>707</v>
      </c>
      <c r="E449" s="29" t="s">
        <v>34</v>
      </c>
      <c r="F449" s="28">
        <v>4.6100000000000003</v>
      </c>
      <c r="G449" s="29">
        <v>0.05</v>
      </c>
      <c r="H449" s="29">
        <v>-0.05</v>
      </c>
      <c r="I449" s="30" t="s">
        <v>39</v>
      </c>
      <c r="J449" s="12">
        <f t="shared" si="92"/>
        <v>4.66</v>
      </c>
      <c r="K449" s="12">
        <f t="shared" si="93"/>
        <v>4.5600000000000005</v>
      </c>
      <c r="L449" s="78"/>
      <c r="M449" s="78"/>
      <c r="N449" s="78"/>
      <c r="O449" s="36"/>
      <c r="P449" s="24" t="str">
        <f t="shared" si="60"/>
        <v xml:space="preserve"> </v>
      </c>
      <c r="Q449" s="25" t="str">
        <f t="shared" si="61"/>
        <v xml:space="preserve"> </v>
      </c>
      <c r="R449" s="25" t="str">
        <f t="shared" si="62"/>
        <v xml:space="preserve"> </v>
      </c>
      <c r="S449" s="26" t="str">
        <f t="shared" si="63"/>
        <v xml:space="preserve"> </v>
      </c>
      <c r="T449" s="7" t="str">
        <f t="shared" si="64"/>
        <v xml:space="preserve"> </v>
      </c>
      <c r="U449" s="8" t="str">
        <f t="shared" si="65"/>
        <v xml:space="preserve"> </v>
      </c>
      <c r="V449" s="9" t="str">
        <f t="shared" si="94"/>
        <v xml:space="preserve"> </v>
      </c>
      <c r="W449" s="9" t="str">
        <f t="shared" si="67"/>
        <v/>
      </c>
      <c r="X449" s="32"/>
      <c r="Y449" s="36"/>
    </row>
    <row r="450" spans="1:25" s="4" customFormat="1" ht="18" customHeight="1">
      <c r="A450" s="36"/>
      <c r="B450" s="69">
        <v>124.04</v>
      </c>
      <c r="C450" s="69"/>
      <c r="D450" s="31" t="s">
        <v>707</v>
      </c>
      <c r="E450" s="29" t="s">
        <v>34</v>
      </c>
      <c r="F450" s="28">
        <v>4.6100000000000003</v>
      </c>
      <c r="G450" s="29">
        <v>0.05</v>
      </c>
      <c r="H450" s="29">
        <v>-0.05</v>
      </c>
      <c r="I450" s="30" t="s">
        <v>39</v>
      </c>
      <c r="J450" s="12">
        <f t="shared" si="92"/>
        <v>4.66</v>
      </c>
      <c r="K450" s="12">
        <f t="shared" si="93"/>
        <v>4.5600000000000005</v>
      </c>
      <c r="L450" s="78"/>
      <c r="M450" s="78"/>
      <c r="N450" s="78"/>
      <c r="O450" s="36"/>
      <c r="P450" s="24" t="str">
        <f t="shared" si="60"/>
        <v xml:space="preserve"> </v>
      </c>
      <c r="Q450" s="25" t="str">
        <f t="shared" si="61"/>
        <v xml:space="preserve"> </v>
      </c>
      <c r="R450" s="25" t="str">
        <f t="shared" si="62"/>
        <v xml:space="preserve"> </v>
      </c>
      <c r="S450" s="26" t="str">
        <f t="shared" si="63"/>
        <v xml:space="preserve"> </v>
      </c>
      <c r="T450" s="7" t="str">
        <f t="shared" si="64"/>
        <v xml:space="preserve"> </v>
      </c>
      <c r="U450" s="8" t="str">
        <f t="shared" si="65"/>
        <v xml:space="preserve"> </v>
      </c>
      <c r="V450" s="9" t="str">
        <f t="shared" si="94"/>
        <v xml:space="preserve"> </v>
      </c>
      <c r="W450" s="9" t="str">
        <f t="shared" si="67"/>
        <v/>
      </c>
      <c r="X450" s="32"/>
      <c r="Y450" s="36"/>
    </row>
    <row r="451" spans="1:25" s="4" customFormat="1" ht="18" customHeight="1">
      <c r="A451" s="36"/>
      <c r="B451" s="69">
        <v>124.05</v>
      </c>
      <c r="C451" s="69"/>
      <c r="D451" s="31" t="s">
        <v>707</v>
      </c>
      <c r="E451" s="29" t="s">
        <v>34</v>
      </c>
      <c r="F451" s="28">
        <v>4.6100000000000003</v>
      </c>
      <c r="G451" s="29">
        <v>0.05</v>
      </c>
      <c r="H451" s="29">
        <v>-0.05</v>
      </c>
      <c r="I451" s="30" t="s">
        <v>39</v>
      </c>
      <c r="J451" s="12">
        <f t="shared" si="92"/>
        <v>4.66</v>
      </c>
      <c r="K451" s="12">
        <f t="shared" si="93"/>
        <v>4.5600000000000005</v>
      </c>
      <c r="L451" s="78"/>
      <c r="M451" s="78"/>
      <c r="N451" s="78"/>
      <c r="O451" s="36"/>
      <c r="P451" s="24" t="str">
        <f t="shared" ref="P451:P514" si="95">IF(ISERR(L451/L451)=TRUE," ",L451-$F451)</f>
        <v xml:space="preserve"> </v>
      </c>
      <c r="Q451" s="25" t="str">
        <f t="shared" ref="Q451:Q514" si="96">IF(ISERR(M451/M451)=TRUE," ",M451-$F451)</f>
        <v xml:space="preserve"> </v>
      </c>
      <c r="R451" s="25" t="str">
        <f t="shared" ref="R451:R514" si="97">IF(ISERR(N451/N451)=TRUE," ",N451-$F451)</f>
        <v xml:space="preserve"> </v>
      </c>
      <c r="S451" s="26" t="str">
        <f t="shared" ref="S451:S514" si="98">IF(ISERR(L451/L451)=TRUE," ",AVERAGE(L451:N451))</f>
        <v xml:space="preserve"> </v>
      </c>
      <c r="T451" s="7" t="str">
        <f t="shared" ref="T451:T514" si="99">IF(ISERR(G451/G451)=TRUE," ",IF(ISERR(L451/L451)=TRUE," ",IF(ISNUMBER($L451)=FALSE," ",IF(MAX($L451:$N451)&lt;$F451,0,(MAX($L451:$N451)-$F451)/$G451))))</f>
        <v xml:space="preserve"> </v>
      </c>
      <c r="U451" s="8" t="str">
        <f t="shared" ref="U451:U514" si="100">IF(ISERR(H451/F451)=TRUE," ",IF(ISERR(H451/H451)=TRUE," ",IF(ISERR(L451/L451)=TRUE," ",IF(ISNUMBER(L451)=FALSE," ",IF(MIN(L451:N451)&gt;$F451,0,($F451-MIN(L451:N451))/-H451)))))</f>
        <v xml:space="preserve"> </v>
      </c>
      <c r="V451" s="9" t="str">
        <f t="shared" si="94"/>
        <v xml:space="preserve"> </v>
      </c>
      <c r="W451" s="9" t="str">
        <f t="shared" ref="W451:W514" si="101">IF(L451="","",IF(ISERR(H451/H451)=TRUE," ",IF(ISERR(H451/F451)=TRUE,IF((H451-MIN(L451:N451))&gt;0.001,"Reject",""),IF(ISNUMBER($U451)=TRUE,IF($U451&gt;0.651,IF($U451&gt;1.001,"Reject","Alert")," ")," "))))</f>
        <v/>
      </c>
      <c r="X451" s="32"/>
      <c r="Y451" s="36"/>
    </row>
    <row r="452" spans="1:25" s="4" customFormat="1" ht="18" customHeight="1">
      <c r="A452" s="36"/>
      <c r="B452" s="69">
        <v>124.06</v>
      </c>
      <c r="C452" s="69"/>
      <c r="D452" s="31" t="s">
        <v>707</v>
      </c>
      <c r="E452" s="29" t="s">
        <v>34</v>
      </c>
      <c r="F452" s="28">
        <v>4.6100000000000003</v>
      </c>
      <c r="G452" s="29">
        <v>0.05</v>
      </c>
      <c r="H452" s="29">
        <v>-0.05</v>
      </c>
      <c r="I452" s="30" t="s">
        <v>39</v>
      </c>
      <c r="J452" s="12">
        <f t="shared" si="92"/>
        <v>4.66</v>
      </c>
      <c r="K452" s="12">
        <f t="shared" si="93"/>
        <v>4.5600000000000005</v>
      </c>
      <c r="L452" s="78"/>
      <c r="M452" s="78"/>
      <c r="N452" s="78"/>
      <c r="O452" s="36"/>
      <c r="P452" s="24" t="str">
        <f t="shared" si="95"/>
        <v xml:space="preserve"> </v>
      </c>
      <c r="Q452" s="25" t="str">
        <f t="shared" si="96"/>
        <v xml:space="preserve"> </v>
      </c>
      <c r="R452" s="25" t="str">
        <f t="shared" si="97"/>
        <v xml:space="preserve"> </v>
      </c>
      <c r="S452" s="26" t="str">
        <f t="shared" si="98"/>
        <v xml:space="preserve"> </v>
      </c>
      <c r="T452" s="7" t="str">
        <f t="shared" si="99"/>
        <v xml:space="preserve"> </v>
      </c>
      <c r="U452" s="8" t="str">
        <f t="shared" si="100"/>
        <v xml:space="preserve"> </v>
      </c>
      <c r="V452" s="9" t="str">
        <f t="shared" si="94"/>
        <v xml:space="preserve"> </v>
      </c>
      <c r="W452" s="9" t="str">
        <f t="shared" si="101"/>
        <v/>
      </c>
      <c r="X452" s="32"/>
      <c r="Y452" s="36"/>
    </row>
    <row r="453" spans="1:25" s="4" customFormat="1" ht="18" customHeight="1">
      <c r="A453" s="36"/>
      <c r="B453" s="69">
        <v>124.07</v>
      </c>
      <c r="C453" s="69"/>
      <c r="D453" s="31" t="s">
        <v>707</v>
      </c>
      <c r="E453" s="29" t="s">
        <v>34</v>
      </c>
      <c r="F453" s="28">
        <v>4.6100000000000003</v>
      </c>
      <c r="G453" s="29">
        <v>0.1</v>
      </c>
      <c r="H453" s="29">
        <v>-0.1</v>
      </c>
      <c r="I453" s="30" t="s">
        <v>39</v>
      </c>
      <c r="J453" s="12">
        <f t="shared" si="92"/>
        <v>4.71</v>
      </c>
      <c r="K453" s="12">
        <f t="shared" si="93"/>
        <v>4.5100000000000007</v>
      </c>
      <c r="L453" s="78"/>
      <c r="M453" s="78"/>
      <c r="N453" s="78"/>
      <c r="O453" s="36"/>
      <c r="P453" s="24" t="str">
        <f t="shared" si="95"/>
        <v xml:space="preserve"> </v>
      </c>
      <c r="Q453" s="25" t="str">
        <f t="shared" si="96"/>
        <v xml:space="preserve"> </v>
      </c>
      <c r="R453" s="25" t="str">
        <f t="shared" si="97"/>
        <v xml:space="preserve"> </v>
      </c>
      <c r="S453" s="26" t="str">
        <f t="shared" si="98"/>
        <v xml:space="preserve"> </v>
      </c>
      <c r="T453" s="7" t="str">
        <f t="shared" si="99"/>
        <v xml:space="preserve"> </v>
      </c>
      <c r="U453" s="8" t="str">
        <f t="shared" si="100"/>
        <v xml:space="preserve"> </v>
      </c>
      <c r="V453" s="9" t="str">
        <f t="shared" si="94"/>
        <v xml:space="preserve"> </v>
      </c>
      <c r="W453" s="9" t="str">
        <f t="shared" si="101"/>
        <v/>
      </c>
      <c r="X453" s="32"/>
      <c r="Y453" s="36"/>
    </row>
    <row r="454" spans="1:25" s="4" customFormat="1" ht="18" customHeight="1">
      <c r="A454" s="36"/>
      <c r="B454" s="69">
        <v>124.08</v>
      </c>
      <c r="C454" s="69"/>
      <c r="D454" s="31" t="s">
        <v>707</v>
      </c>
      <c r="E454" s="29" t="s">
        <v>34</v>
      </c>
      <c r="F454" s="28">
        <v>4.6100000000000003</v>
      </c>
      <c r="G454" s="29">
        <v>0.1</v>
      </c>
      <c r="H454" s="29">
        <v>-0.1</v>
      </c>
      <c r="I454" s="30" t="s">
        <v>39</v>
      </c>
      <c r="J454" s="12">
        <f t="shared" si="92"/>
        <v>4.71</v>
      </c>
      <c r="K454" s="12">
        <f t="shared" si="93"/>
        <v>4.5100000000000007</v>
      </c>
      <c r="L454" s="78"/>
      <c r="M454" s="78"/>
      <c r="N454" s="78"/>
      <c r="O454" s="36"/>
      <c r="P454" s="24" t="str">
        <f t="shared" si="95"/>
        <v xml:space="preserve"> </v>
      </c>
      <c r="Q454" s="25" t="str">
        <f t="shared" si="96"/>
        <v xml:space="preserve"> </v>
      </c>
      <c r="R454" s="25" t="str">
        <f t="shared" si="97"/>
        <v xml:space="preserve"> </v>
      </c>
      <c r="S454" s="26" t="str">
        <f t="shared" si="98"/>
        <v xml:space="preserve"> </v>
      </c>
      <c r="T454" s="7" t="str">
        <f t="shared" si="99"/>
        <v xml:space="preserve"> </v>
      </c>
      <c r="U454" s="8" t="str">
        <f t="shared" si="100"/>
        <v xml:space="preserve"> </v>
      </c>
      <c r="V454" s="9" t="str">
        <f t="shared" si="94"/>
        <v xml:space="preserve"> </v>
      </c>
      <c r="W454" s="9" t="str">
        <f t="shared" si="101"/>
        <v/>
      </c>
      <c r="X454" s="32"/>
      <c r="Y454" s="36"/>
    </row>
    <row r="455" spans="1:25" s="4" customFormat="1" ht="18" customHeight="1">
      <c r="A455" s="36"/>
      <c r="B455" s="69">
        <v>124.09</v>
      </c>
      <c r="C455" s="69"/>
      <c r="D455" s="31" t="s">
        <v>707</v>
      </c>
      <c r="E455" s="29" t="s">
        <v>34</v>
      </c>
      <c r="F455" s="28">
        <v>4.6100000000000003</v>
      </c>
      <c r="G455" s="29">
        <v>0.1</v>
      </c>
      <c r="H455" s="29">
        <v>-0.1</v>
      </c>
      <c r="I455" s="30" t="s">
        <v>39</v>
      </c>
      <c r="J455" s="12">
        <f t="shared" si="92"/>
        <v>4.71</v>
      </c>
      <c r="K455" s="12">
        <f t="shared" si="93"/>
        <v>4.5100000000000007</v>
      </c>
      <c r="L455" s="78"/>
      <c r="M455" s="78"/>
      <c r="N455" s="78"/>
      <c r="O455" s="36"/>
      <c r="P455" s="24" t="str">
        <f t="shared" si="95"/>
        <v xml:space="preserve"> </v>
      </c>
      <c r="Q455" s="25" t="str">
        <f t="shared" si="96"/>
        <v xml:space="preserve"> </v>
      </c>
      <c r="R455" s="25" t="str">
        <f t="shared" si="97"/>
        <v xml:space="preserve"> </v>
      </c>
      <c r="S455" s="26" t="str">
        <f t="shared" si="98"/>
        <v xml:space="preserve"> </v>
      </c>
      <c r="T455" s="7" t="str">
        <f t="shared" si="99"/>
        <v xml:space="preserve"> </v>
      </c>
      <c r="U455" s="8" t="str">
        <f t="shared" si="100"/>
        <v xml:space="preserve"> </v>
      </c>
      <c r="V455" s="9" t="str">
        <f t="shared" si="94"/>
        <v xml:space="preserve"> </v>
      </c>
      <c r="W455" s="9" t="str">
        <f t="shared" si="101"/>
        <v/>
      </c>
      <c r="X455" s="32"/>
      <c r="Y455" s="36"/>
    </row>
    <row r="456" spans="1:25" s="4" customFormat="1" ht="18" customHeight="1">
      <c r="A456" s="36"/>
      <c r="B456" s="69" t="s">
        <v>940</v>
      </c>
      <c r="C456" s="69"/>
      <c r="D456" s="31" t="s">
        <v>707</v>
      </c>
      <c r="E456" s="29" t="s">
        <v>34</v>
      </c>
      <c r="F456" s="28">
        <v>4.6100000000000003</v>
      </c>
      <c r="G456" s="29">
        <v>0.1</v>
      </c>
      <c r="H456" s="29">
        <v>-0.1</v>
      </c>
      <c r="I456" s="30" t="s">
        <v>39</v>
      </c>
      <c r="J456" s="12">
        <f t="shared" si="92"/>
        <v>4.71</v>
      </c>
      <c r="K456" s="12">
        <f t="shared" si="93"/>
        <v>4.5100000000000007</v>
      </c>
      <c r="L456" s="78"/>
      <c r="M456" s="78"/>
      <c r="N456" s="78"/>
      <c r="O456" s="36"/>
      <c r="P456" s="24" t="str">
        <f t="shared" si="95"/>
        <v xml:space="preserve"> </v>
      </c>
      <c r="Q456" s="25" t="str">
        <f t="shared" si="96"/>
        <v xml:space="preserve"> </v>
      </c>
      <c r="R456" s="25" t="str">
        <f t="shared" si="97"/>
        <v xml:space="preserve"> </v>
      </c>
      <c r="S456" s="26" t="str">
        <f t="shared" si="98"/>
        <v xml:space="preserve"> </v>
      </c>
      <c r="T456" s="7" t="str">
        <f t="shared" si="99"/>
        <v xml:space="preserve"> </v>
      </c>
      <c r="U456" s="8" t="str">
        <f t="shared" si="100"/>
        <v xml:space="preserve"> </v>
      </c>
      <c r="V456" s="9" t="str">
        <f t="shared" si="94"/>
        <v xml:space="preserve"> </v>
      </c>
      <c r="W456" s="9" t="str">
        <f t="shared" si="101"/>
        <v/>
      </c>
      <c r="X456" s="32"/>
      <c r="Y456" s="36"/>
    </row>
    <row r="457" spans="1:25" s="4" customFormat="1" ht="18" customHeight="1">
      <c r="A457" s="36"/>
      <c r="B457" s="69">
        <v>124.11</v>
      </c>
      <c r="C457" s="69"/>
      <c r="D457" s="31" t="s">
        <v>707</v>
      </c>
      <c r="E457" s="29" t="s">
        <v>34</v>
      </c>
      <c r="F457" s="28">
        <v>4.6100000000000003</v>
      </c>
      <c r="G457" s="29">
        <v>0.1</v>
      </c>
      <c r="H457" s="29">
        <v>-0.1</v>
      </c>
      <c r="I457" s="30" t="s">
        <v>39</v>
      </c>
      <c r="J457" s="12">
        <f t="shared" si="92"/>
        <v>4.71</v>
      </c>
      <c r="K457" s="12">
        <f t="shared" si="93"/>
        <v>4.5100000000000007</v>
      </c>
      <c r="L457" s="78"/>
      <c r="M457" s="78"/>
      <c r="N457" s="78"/>
      <c r="O457" s="36"/>
      <c r="P457" s="24" t="str">
        <f t="shared" si="95"/>
        <v xml:space="preserve"> </v>
      </c>
      <c r="Q457" s="25" t="str">
        <f t="shared" si="96"/>
        <v xml:space="preserve"> </v>
      </c>
      <c r="R457" s="25" t="str">
        <f t="shared" si="97"/>
        <v xml:space="preserve"> </v>
      </c>
      <c r="S457" s="26" t="str">
        <f t="shared" si="98"/>
        <v xml:space="preserve"> </v>
      </c>
      <c r="T457" s="7" t="str">
        <f t="shared" si="99"/>
        <v xml:space="preserve"> </v>
      </c>
      <c r="U457" s="8" t="str">
        <f t="shared" si="100"/>
        <v xml:space="preserve"> </v>
      </c>
      <c r="V457" s="9" t="str">
        <f t="shared" si="94"/>
        <v xml:space="preserve"> </v>
      </c>
      <c r="W457" s="9" t="str">
        <f t="shared" si="101"/>
        <v/>
      </c>
      <c r="X457" s="32"/>
      <c r="Y457" s="36"/>
    </row>
    <row r="458" spans="1:25" s="4" customFormat="1" ht="18" customHeight="1">
      <c r="A458" s="36"/>
      <c r="B458" s="69">
        <v>124.12</v>
      </c>
      <c r="C458" s="69"/>
      <c r="D458" s="31" t="s">
        <v>707</v>
      </c>
      <c r="E458" s="29" t="s">
        <v>34</v>
      </c>
      <c r="F458" s="28">
        <v>4.6100000000000003</v>
      </c>
      <c r="G458" s="29">
        <v>0.1</v>
      </c>
      <c r="H458" s="29">
        <v>-0.1</v>
      </c>
      <c r="I458" s="30" t="s">
        <v>39</v>
      </c>
      <c r="J458" s="12">
        <f t="shared" si="92"/>
        <v>4.71</v>
      </c>
      <c r="K458" s="12">
        <f t="shared" si="93"/>
        <v>4.5100000000000007</v>
      </c>
      <c r="L458" s="78"/>
      <c r="M458" s="78"/>
      <c r="N458" s="78"/>
      <c r="O458" s="36"/>
      <c r="P458" s="24" t="str">
        <f t="shared" si="95"/>
        <v xml:space="preserve"> </v>
      </c>
      <c r="Q458" s="25" t="str">
        <f t="shared" si="96"/>
        <v xml:space="preserve"> </v>
      </c>
      <c r="R458" s="25" t="str">
        <f t="shared" si="97"/>
        <v xml:space="preserve"> </v>
      </c>
      <c r="S458" s="26" t="str">
        <f t="shared" si="98"/>
        <v xml:space="preserve"> </v>
      </c>
      <c r="T458" s="7" t="str">
        <f t="shared" si="99"/>
        <v xml:space="preserve"> </v>
      </c>
      <c r="U458" s="8" t="str">
        <f t="shared" si="100"/>
        <v xml:space="preserve"> </v>
      </c>
      <c r="V458" s="9" t="str">
        <f t="shared" si="94"/>
        <v xml:space="preserve"> </v>
      </c>
      <c r="W458" s="9" t="str">
        <f t="shared" si="101"/>
        <v/>
      </c>
      <c r="X458" s="32"/>
      <c r="Y458" s="36"/>
    </row>
    <row r="459" spans="1:25" s="4" customFormat="1" ht="18" customHeight="1">
      <c r="A459" s="36"/>
      <c r="B459" s="69">
        <v>124.13</v>
      </c>
      <c r="C459" s="69"/>
      <c r="D459" s="31" t="s">
        <v>707</v>
      </c>
      <c r="E459" s="29" t="s">
        <v>34</v>
      </c>
      <c r="F459" s="28">
        <v>4.6100000000000003</v>
      </c>
      <c r="G459" s="29">
        <v>0.1</v>
      </c>
      <c r="H459" s="29">
        <v>-0.1</v>
      </c>
      <c r="I459" s="30" t="s">
        <v>39</v>
      </c>
      <c r="J459" s="12">
        <f t="shared" si="92"/>
        <v>4.71</v>
      </c>
      <c r="K459" s="12">
        <f t="shared" si="93"/>
        <v>4.5100000000000007</v>
      </c>
      <c r="L459" s="78"/>
      <c r="M459" s="78"/>
      <c r="N459" s="78"/>
      <c r="O459" s="36"/>
      <c r="P459" s="24" t="str">
        <f t="shared" si="95"/>
        <v xml:space="preserve"> </v>
      </c>
      <c r="Q459" s="25" t="str">
        <f t="shared" si="96"/>
        <v xml:space="preserve"> </v>
      </c>
      <c r="R459" s="25" t="str">
        <f t="shared" si="97"/>
        <v xml:space="preserve"> </v>
      </c>
      <c r="S459" s="26" t="str">
        <f t="shared" si="98"/>
        <v xml:space="preserve"> </v>
      </c>
      <c r="T459" s="7" t="str">
        <f t="shared" si="99"/>
        <v xml:space="preserve"> </v>
      </c>
      <c r="U459" s="8" t="str">
        <f t="shared" si="100"/>
        <v xml:space="preserve"> </v>
      </c>
      <c r="V459" s="9" t="str">
        <f t="shared" si="94"/>
        <v xml:space="preserve"> </v>
      </c>
      <c r="W459" s="9" t="str">
        <f t="shared" si="101"/>
        <v/>
      </c>
      <c r="X459" s="32"/>
      <c r="Y459" s="36"/>
    </row>
    <row r="460" spans="1:25" s="4" customFormat="1" ht="18" customHeight="1">
      <c r="A460" s="36"/>
      <c r="B460" s="69">
        <v>124.14</v>
      </c>
      <c r="C460" s="69"/>
      <c r="D460" s="31" t="s">
        <v>707</v>
      </c>
      <c r="E460" s="29" t="s">
        <v>34</v>
      </c>
      <c r="F460" s="28">
        <v>4.6100000000000003</v>
      </c>
      <c r="G460" s="29">
        <v>0.1</v>
      </c>
      <c r="H460" s="29">
        <v>-0.1</v>
      </c>
      <c r="I460" s="30" t="s">
        <v>39</v>
      </c>
      <c r="J460" s="12">
        <f t="shared" si="92"/>
        <v>4.71</v>
      </c>
      <c r="K460" s="12">
        <f t="shared" si="93"/>
        <v>4.5100000000000007</v>
      </c>
      <c r="L460" s="78"/>
      <c r="M460" s="78"/>
      <c r="N460" s="78"/>
      <c r="O460" s="36"/>
      <c r="P460" s="24" t="str">
        <f t="shared" si="95"/>
        <v xml:space="preserve"> </v>
      </c>
      <c r="Q460" s="25" t="str">
        <f t="shared" si="96"/>
        <v xml:space="preserve"> </v>
      </c>
      <c r="R460" s="25" t="str">
        <f t="shared" si="97"/>
        <v xml:space="preserve"> </v>
      </c>
      <c r="S460" s="26" t="str">
        <f t="shared" si="98"/>
        <v xml:space="preserve"> </v>
      </c>
      <c r="T460" s="7" t="str">
        <f t="shared" si="99"/>
        <v xml:space="preserve"> </v>
      </c>
      <c r="U460" s="8" t="str">
        <f t="shared" si="100"/>
        <v xml:space="preserve"> </v>
      </c>
      <c r="V460" s="9" t="str">
        <f t="shared" si="94"/>
        <v xml:space="preserve"> </v>
      </c>
      <c r="W460" s="9" t="str">
        <f t="shared" si="101"/>
        <v/>
      </c>
      <c r="X460" s="32"/>
      <c r="Y460" s="36"/>
    </row>
    <row r="461" spans="1:25" s="4" customFormat="1" ht="18" customHeight="1">
      <c r="A461" s="36"/>
      <c r="B461" s="69">
        <v>124.15</v>
      </c>
      <c r="C461" s="69"/>
      <c r="D461" s="31" t="s">
        <v>707</v>
      </c>
      <c r="E461" s="29" t="s">
        <v>34</v>
      </c>
      <c r="F461" s="28">
        <v>4.6100000000000003</v>
      </c>
      <c r="G461" s="29">
        <v>0.1</v>
      </c>
      <c r="H461" s="29">
        <v>-0.1</v>
      </c>
      <c r="I461" s="30" t="s">
        <v>39</v>
      </c>
      <c r="J461" s="12">
        <f t="shared" si="92"/>
        <v>4.71</v>
      </c>
      <c r="K461" s="12">
        <f t="shared" si="93"/>
        <v>4.5100000000000007</v>
      </c>
      <c r="L461" s="78"/>
      <c r="M461" s="78"/>
      <c r="N461" s="78"/>
      <c r="O461" s="36"/>
      <c r="P461" s="24" t="str">
        <f t="shared" si="95"/>
        <v xml:space="preserve"> </v>
      </c>
      <c r="Q461" s="25" t="str">
        <f t="shared" si="96"/>
        <v xml:space="preserve"> </v>
      </c>
      <c r="R461" s="25" t="str">
        <f t="shared" si="97"/>
        <v xml:space="preserve"> </v>
      </c>
      <c r="S461" s="26" t="str">
        <f t="shared" si="98"/>
        <v xml:space="preserve"> </v>
      </c>
      <c r="T461" s="7" t="str">
        <f t="shared" si="99"/>
        <v xml:space="preserve"> </v>
      </c>
      <c r="U461" s="8" t="str">
        <f t="shared" si="100"/>
        <v xml:space="preserve"> </v>
      </c>
      <c r="V461" s="9" t="str">
        <f t="shared" si="94"/>
        <v xml:space="preserve"> </v>
      </c>
      <c r="W461" s="9" t="str">
        <f t="shared" si="101"/>
        <v/>
      </c>
      <c r="X461" s="32"/>
      <c r="Y461" s="36"/>
    </row>
    <row r="462" spans="1:25" s="4" customFormat="1" ht="18" customHeight="1">
      <c r="A462" s="36"/>
      <c r="B462" s="69">
        <v>125.01</v>
      </c>
      <c r="C462" s="69" t="s">
        <v>692</v>
      </c>
      <c r="D462" s="31" t="s">
        <v>707</v>
      </c>
      <c r="E462" s="29" t="s">
        <v>34</v>
      </c>
      <c r="F462" s="28">
        <v>0</v>
      </c>
      <c r="G462" s="29">
        <v>0.1</v>
      </c>
      <c r="H462" s="29">
        <v>-0.1</v>
      </c>
      <c r="I462" s="30" t="s">
        <v>39</v>
      </c>
      <c r="J462" s="12">
        <f t="shared" si="92"/>
        <v>0.1</v>
      </c>
      <c r="K462" s="12">
        <f t="shared" si="93"/>
        <v>-0.1</v>
      </c>
      <c r="L462" s="78"/>
      <c r="M462" s="78"/>
      <c r="N462" s="78"/>
      <c r="O462" s="36"/>
      <c r="P462" s="24" t="str">
        <f t="shared" si="95"/>
        <v xml:space="preserve"> </v>
      </c>
      <c r="Q462" s="25" t="str">
        <f t="shared" si="96"/>
        <v xml:space="preserve"> </v>
      </c>
      <c r="R462" s="25" t="str">
        <f t="shared" si="97"/>
        <v xml:space="preserve"> </v>
      </c>
      <c r="S462" s="26" t="str">
        <f t="shared" si="98"/>
        <v xml:space="preserve"> </v>
      </c>
      <c r="T462" s="7" t="str">
        <f t="shared" si="99"/>
        <v xml:space="preserve"> </v>
      </c>
      <c r="U462" s="8" t="str">
        <f t="shared" si="100"/>
        <v xml:space="preserve"> </v>
      </c>
      <c r="V462" s="9" t="str">
        <f t="shared" si="94"/>
        <v xml:space="preserve"> </v>
      </c>
      <c r="W462" s="9" t="str">
        <f t="shared" si="101"/>
        <v/>
      </c>
      <c r="X462" s="32"/>
      <c r="Y462" s="36"/>
    </row>
    <row r="463" spans="1:25" s="4" customFormat="1" ht="18" customHeight="1">
      <c r="A463" s="36"/>
      <c r="B463" s="69">
        <v>125.02</v>
      </c>
      <c r="C463" s="69" t="s">
        <v>693</v>
      </c>
      <c r="D463" s="31" t="s">
        <v>707</v>
      </c>
      <c r="E463" s="29" t="s">
        <v>34</v>
      </c>
      <c r="F463" s="28">
        <v>4.12</v>
      </c>
      <c r="G463" s="29">
        <v>0.1</v>
      </c>
      <c r="H463" s="29">
        <v>-0.1</v>
      </c>
      <c r="I463" s="30" t="s">
        <v>39</v>
      </c>
      <c r="J463" s="12">
        <f t="shared" si="92"/>
        <v>4.22</v>
      </c>
      <c r="K463" s="12">
        <f t="shared" si="93"/>
        <v>4.0200000000000005</v>
      </c>
      <c r="L463" s="78"/>
      <c r="M463" s="78"/>
      <c r="N463" s="78"/>
      <c r="O463" s="36"/>
      <c r="P463" s="24" t="str">
        <f t="shared" si="95"/>
        <v xml:space="preserve"> </v>
      </c>
      <c r="Q463" s="25" t="str">
        <f t="shared" si="96"/>
        <v xml:space="preserve"> </v>
      </c>
      <c r="R463" s="25" t="str">
        <f t="shared" si="97"/>
        <v xml:space="preserve"> </v>
      </c>
      <c r="S463" s="26" t="str">
        <f t="shared" si="98"/>
        <v xml:space="preserve"> </v>
      </c>
      <c r="T463" s="7" t="str">
        <f t="shared" si="99"/>
        <v xml:space="preserve"> </v>
      </c>
      <c r="U463" s="8" t="str">
        <f t="shared" si="100"/>
        <v xml:space="preserve"> </v>
      </c>
      <c r="V463" s="9" t="str">
        <f t="shared" si="94"/>
        <v xml:space="preserve"> </v>
      </c>
      <c r="W463" s="9" t="str">
        <f t="shared" si="101"/>
        <v/>
      </c>
      <c r="X463" s="32"/>
      <c r="Y463" s="36"/>
    </row>
    <row r="464" spans="1:25" s="4" customFormat="1" ht="18" customHeight="1">
      <c r="A464" s="36"/>
      <c r="B464" s="69">
        <v>125.03</v>
      </c>
      <c r="C464" s="69" t="s">
        <v>694</v>
      </c>
      <c r="D464" s="31" t="s">
        <v>707</v>
      </c>
      <c r="E464" s="29" t="s">
        <v>34</v>
      </c>
      <c r="F464" s="28">
        <v>4.12</v>
      </c>
      <c r="G464" s="29">
        <v>0.1</v>
      </c>
      <c r="H464" s="29">
        <v>-0.1</v>
      </c>
      <c r="I464" s="30" t="s">
        <v>39</v>
      </c>
      <c r="J464" s="12">
        <f t="shared" si="92"/>
        <v>4.22</v>
      </c>
      <c r="K464" s="12">
        <f t="shared" si="93"/>
        <v>4.0200000000000005</v>
      </c>
      <c r="L464" s="78"/>
      <c r="M464" s="78"/>
      <c r="N464" s="78"/>
      <c r="O464" s="36"/>
      <c r="P464" s="24" t="str">
        <f t="shared" si="95"/>
        <v xml:space="preserve"> </v>
      </c>
      <c r="Q464" s="25" t="str">
        <f t="shared" si="96"/>
        <v xml:space="preserve"> </v>
      </c>
      <c r="R464" s="25" t="str">
        <f t="shared" si="97"/>
        <v xml:space="preserve"> </v>
      </c>
      <c r="S464" s="26" t="str">
        <f t="shared" si="98"/>
        <v xml:space="preserve"> </v>
      </c>
      <c r="T464" s="7" t="str">
        <f t="shared" si="99"/>
        <v xml:space="preserve"> </v>
      </c>
      <c r="U464" s="8" t="str">
        <f t="shared" si="100"/>
        <v xml:space="preserve"> </v>
      </c>
      <c r="V464" s="9" t="str">
        <f t="shared" si="94"/>
        <v xml:space="preserve"> </v>
      </c>
      <c r="W464" s="9" t="str">
        <f t="shared" si="101"/>
        <v/>
      </c>
      <c r="X464" s="32"/>
      <c r="Y464" s="36"/>
    </row>
    <row r="465" spans="1:25" s="4" customFormat="1" ht="18" customHeight="1">
      <c r="A465" s="36"/>
      <c r="B465" s="69">
        <v>125.04</v>
      </c>
      <c r="C465" s="69" t="s">
        <v>695</v>
      </c>
      <c r="D465" s="31" t="s">
        <v>707</v>
      </c>
      <c r="E465" s="29" t="s">
        <v>34</v>
      </c>
      <c r="F465" s="28">
        <v>4.12</v>
      </c>
      <c r="G465" s="29">
        <v>0.1</v>
      </c>
      <c r="H465" s="29">
        <v>-0.1</v>
      </c>
      <c r="I465" s="30" t="s">
        <v>39</v>
      </c>
      <c r="J465" s="12">
        <f t="shared" si="92"/>
        <v>4.22</v>
      </c>
      <c r="K465" s="12">
        <f t="shared" si="93"/>
        <v>4.0200000000000005</v>
      </c>
      <c r="L465" s="78"/>
      <c r="M465" s="78"/>
      <c r="N465" s="78"/>
      <c r="O465" s="36"/>
      <c r="P465" s="24" t="str">
        <f t="shared" si="95"/>
        <v xml:space="preserve"> </v>
      </c>
      <c r="Q465" s="25" t="str">
        <f t="shared" si="96"/>
        <v xml:space="preserve"> </v>
      </c>
      <c r="R465" s="25" t="str">
        <f t="shared" si="97"/>
        <v xml:space="preserve"> </v>
      </c>
      <c r="S465" s="26" t="str">
        <f t="shared" si="98"/>
        <v xml:space="preserve"> </v>
      </c>
      <c r="T465" s="7" t="str">
        <f t="shared" si="99"/>
        <v xml:space="preserve"> </v>
      </c>
      <c r="U465" s="8" t="str">
        <f t="shared" si="100"/>
        <v xml:space="preserve"> </v>
      </c>
      <c r="V465" s="9" t="str">
        <f t="shared" si="94"/>
        <v xml:space="preserve"> </v>
      </c>
      <c r="W465" s="9" t="str">
        <f t="shared" si="101"/>
        <v/>
      </c>
      <c r="X465" s="32"/>
      <c r="Y465" s="36"/>
    </row>
    <row r="466" spans="1:25" s="4" customFormat="1" ht="18" customHeight="1">
      <c r="A466" s="36"/>
      <c r="B466" s="69">
        <v>125.05</v>
      </c>
      <c r="C466" s="69" t="s">
        <v>696</v>
      </c>
      <c r="D466" s="31" t="s">
        <v>707</v>
      </c>
      <c r="E466" s="29" t="s">
        <v>34</v>
      </c>
      <c r="F466" s="28">
        <v>4.12</v>
      </c>
      <c r="G466" s="29">
        <v>0.1</v>
      </c>
      <c r="H466" s="29">
        <v>-0.1</v>
      </c>
      <c r="I466" s="30" t="s">
        <v>39</v>
      </c>
      <c r="J466" s="12">
        <f t="shared" si="92"/>
        <v>4.22</v>
      </c>
      <c r="K466" s="12">
        <f t="shared" si="93"/>
        <v>4.0200000000000005</v>
      </c>
      <c r="L466" s="78"/>
      <c r="M466" s="78"/>
      <c r="N466" s="78"/>
      <c r="O466" s="36"/>
      <c r="P466" s="24" t="str">
        <f t="shared" si="95"/>
        <v xml:space="preserve"> </v>
      </c>
      <c r="Q466" s="25" t="str">
        <f t="shared" si="96"/>
        <v xml:space="preserve"> </v>
      </c>
      <c r="R466" s="25" t="str">
        <f t="shared" si="97"/>
        <v xml:space="preserve"> </v>
      </c>
      <c r="S466" s="26" t="str">
        <f t="shared" si="98"/>
        <v xml:space="preserve"> </v>
      </c>
      <c r="T466" s="7" t="str">
        <f t="shared" si="99"/>
        <v xml:space="preserve"> </v>
      </c>
      <c r="U466" s="8" t="str">
        <f t="shared" si="100"/>
        <v xml:space="preserve"> </v>
      </c>
      <c r="V466" s="9" t="str">
        <f t="shared" si="94"/>
        <v xml:space="preserve"> </v>
      </c>
      <c r="W466" s="9" t="str">
        <f t="shared" si="101"/>
        <v/>
      </c>
      <c r="X466" s="32"/>
      <c r="Y466" s="36"/>
    </row>
    <row r="467" spans="1:25" s="4" customFormat="1" ht="18" customHeight="1">
      <c r="A467" s="36"/>
      <c r="B467" s="69">
        <v>125.06</v>
      </c>
      <c r="C467" s="69" t="s">
        <v>697</v>
      </c>
      <c r="D467" s="31" t="s">
        <v>707</v>
      </c>
      <c r="E467" s="29" t="s">
        <v>34</v>
      </c>
      <c r="F467" s="28">
        <v>4.12</v>
      </c>
      <c r="G467" s="29">
        <v>0.1</v>
      </c>
      <c r="H467" s="29">
        <v>-0.1</v>
      </c>
      <c r="I467" s="30" t="s">
        <v>39</v>
      </c>
      <c r="J467" s="12">
        <f t="shared" si="92"/>
        <v>4.22</v>
      </c>
      <c r="K467" s="12">
        <f t="shared" si="93"/>
        <v>4.0200000000000005</v>
      </c>
      <c r="L467" s="78"/>
      <c r="M467" s="78"/>
      <c r="N467" s="78"/>
      <c r="O467" s="36"/>
      <c r="P467" s="24" t="str">
        <f t="shared" si="95"/>
        <v xml:space="preserve"> </v>
      </c>
      <c r="Q467" s="25" t="str">
        <f t="shared" si="96"/>
        <v xml:space="preserve"> </v>
      </c>
      <c r="R467" s="25" t="str">
        <f t="shared" si="97"/>
        <v xml:space="preserve"> </v>
      </c>
      <c r="S467" s="26" t="str">
        <f t="shared" si="98"/>
        <v xml:space="preserve"> </v>
      </c>
      <c r="T467" s="7" t="str">
        <f t="shared" si="99"/>
        <v xml:space="preserve"> </v>
      </c>
      <c r="U467" s="8" t="str">
        <f t="shared" si="100"/>
        <v xml:space="preserve"> </v>
      </c>
      <c r="V467" s="9" t="str">
        <f t="shared" si="94"/>
        <v xml:space="preserve"> </v>
      </c>
      <c r="W467" s="9" t="str">
        <f t="shared" si="101"/>
        <v/>
      </c>
      <c r="X467" s="32"/>
      <c r="Y467" s="36"/>
    </row>
    <row r="468" spans="1:25" s="4" customFormat="1" ht="18" customHeight="1">
      <c r="A468" s="36"/>
      <c r="B468" s="69">
        <v>125.07</v>
      </c>
      <c r="C468" s="69" t="s">
        <v>698</v>
      </c>
      <c r="D468" s="31" t="s">
        <v>707</v>
      </c>
      <c r="E468" s="29" t="s">
        <v>34</v>
      </c>
      <c r="F468" s="28">
        <v>4.12</v>
      </c>
      <c r="G468" s="29">
        <v>0.05</v>
      </c>
      <c r="H468" s="29">
        <v>-0.05</v>
      </c>
      <c r="I468" s="30" t="s">
        <v>39</v>
      </c>
      <c r="J468" s="12">
        <f t="shared" si="92"/>
        <v>4.17</v>
      </c>
      <c r="K468" s="12">
        <f t="shared" si="93"/>
        <v>4.07</v>
      </c>
      <c r="L468" s="78"/>
      <c r="M468" s="78"/>
      <c r="N468" s="78"/>
      <c r="O468" s="36"/>
      <c r="P468" s="24" t="str">
        <f t="shared" si="95"/>
        <v xml:space="preserve"> </v>
      </c>
      <c r="Q468" s="25" t="str">
        <f t="shared" si="96"/>
        <v xml:space="preserve"> </v>
      </c>
      <c r="R468" s="25" t="str">
        <f t="shared" si="97"/>
        <v xml:space="preserve"> </v>
      </c>
      <c r="S468" s="26" t="str">
        <f t="shared" si="98"/>
        <v xml:space="preserve"> </v>
      </c>
      <c r="T468" s="7" t="str">
        <f t="shared" si="99"/>
        <v xml:space="preserve"> </v>
      </c>
      <c r="U468" s="8" t="str">
        <f t="shared" si="100"/>
        <v xml:space="preserve"> </v>
      </c>
      <c r="V468" s="9" t="str">
        <f t="shared" si="94"/>
        <v xml:space="preserve"> </v>
      </c>
      <c r="W468" s="9" t="str">
        <f t="shared" si="101"/>
        <v/>
      </c>
      <c r="X468" s="32"/>
      <c r="Y468" s="36"/>
    </row>
    <row r="469" spans="1:25" s="4" customFormat="1" ht="18" customHeight="1">
      <c r="A469" s="36"/>
      <c r="B469" s="69">
        <v>125.08</v>
      </c>
      <c r="C469" s="69" t="s">
        <v>699</v>
      </c>
      <c r="D469" s="31" t="s">
        <v>707</v>
      </c>
      <c r="E469" s="29" t="s">
        <v>34</v>
      </c>
      <c r="F469" s="28">
        <v>4.12</v>
      </c>
      <c r="G469" s="29">
        <v>0.05</v>
      </c>
      <c r="H469" s="29">
        <v>-0.05</v>
      </c>
      <c r="I469" s="30" t="s">
        <v>39</v>
      </c>
      <c r="J469" s="12">
        <f t="shared" si="92"/>
        <v>4.17</v>
      </c>
      <c r="K469" s="12">
        <f t="shared" si="93"/>
        <v>4.07</v>
      </c>
      <c r="L469" s="78"/>
      <c r="M469" s="78"/>
      <c r="N469" s="78"/>
      <c r="O469" s="36"/>
      <c r="P469" s="24" t="str">
        <f t="shared" si="95"/>
        <v xml:space="preserve"> </v>
      </c>
      <c r="Q469" s="25" t="str">
        <f t="shared" si="96"/>
        <v xml:space="preserve"> </v>
      </c>
      <c r="R469" s="25" t="str">
        <f t="shared" si="97"/>
        <v xml:space="preserve"> </v>
      </c>
      <c r="S469" s="26" t="str">
        <f t="shared" si="98"/>
        <v xml:space="preserve"> </v>
      </c>
      <c r="T469" s="7" t="str">
        <f t="shared" si="99"/>
        <v xml:space="preserve"> </v>
      </c>
      <c r="U469" s="8" t="str">
        <f t="shared" si="100"/>
        <v xml:space="preserve"> </v>
      </c>
      <c r="V469" s="9" t="str">
        <f t="shared" si="94"/>
        <v xml:space="preserve"> </v>
      </c>
      <c r="W469" s="9" t="str">
        <f t="shared" si="101"/>
        <v/>
      </c>
      <c r="X469" s="32" t="s">
        <v>856</v>
      </c>
      <c r="Y469" s="36"/>
    </row>
    <row r="470" spans="1:25" s="4" customFormat="1" ht="18" customHeight="1">
      <c r="A470" s="36"/>
      <c r="B470" s="69">
        <v>125.09</v>
      </c>
      <c r="C470" s="69" t="s">
        <v>700</v>
      </c>
      <c r="D470" s="31" t="s">
        <v>707</v>
      </c>
      <c r="E470" s="29" t="s">
        <v>34</v>
      </c>
      <c r="F470" s="28">
        <v>4.12</v>
      </c>
      <c r="G470" s="29">
        <v>0.05</v>
      </c>
      <c r="H470" s="29">
        <v>-0.05</v>
      </c>
      <c r="I470" s="30" t="s">
        <v>39</v>
      </c>
      <c r="J470" s="12">
        <f t="shared" si="92"/>
        <v>4.17</v>
      </c>
      <c r="K470" s="12">
        <f t="shared" si="93"/>
        <v>4.07</v>
      </c>
      <c r="L470" s="78"/>
      <c r="M470" s="78"/>
      <c r="N470" s="78"/>
      <c r="O470" s="36"/>
      <c r="P470" s="24" t="str">
        <f t="shared" si="95"/>
        <v xml:space="preserve"> </v>
      </c>
      <c r="Q470" s="25" t="str">
        <f t="shared" si="96"/>
        <v xml:space="preserve"> </v>
      </c>
      <c r="R470" s="25" t="str">
        <f t="shared" si="97"/>
        <v xml:space="preserve"> </v>
      </c>
      <c r="S470" s="26" t="str">
        <f t="shared" si="98"/>
        <v xml:space="preserve"> </v>
      </c>
      <c r="T470" s="7" t="str">
        <f t="shared" si="99"/>
        <v xml:space="preserve"> </v>
      </c>
      <c r="U470" s="8" t="str">
        <f t="shared" si="100"/>
        <v xml:space="preserve"> </v>
      </c>
      <c r="V470" s="9" t="str">
        <f t="shared" si="94"/>
        <v xml:space="preserve"> </v>
      </c>
      <c r="W470" s="9" t="str">
        <f t="shared" si="101"/>
        <v/>
      </c>
      <c r="X470" s="32"/>
      <c r="Y470" s="36"/>
    </row>
    <row r="471" spans="1:25" s="4" customFormat="1" ht="18" customHeight="1">
      <c r="A471" s="36"/>
      <c r="B471" s="69" t="s">
        <v>941</v>
      </c>
      <c r="C471" s="69" t="s">
        <v>701</v>
      </c>
      <c r="D471" s="31" t="s">
        <v>707</v>
      </c>
      <c r="E471" s="29" t="s">
        <v>34</v>
      </c>
      <c r="F471" s="28">
        <v>4.12</v>
      </c>
      <c r="G471" s="29">
        <v>0.05</v>
      </c>
      <c r="H471" s="29">
        <v>-0.05</v>
      </c>
      <c r="I471" s="30" t="s">
        <v>39</v>
      </c>
      <c r="J471" s="12">
        <f t="shared" si="92"/>
        <v>4.17</v>
      </c>
      <c r="K471" s="12">
        <f t="shared" si="93"/>
        <v>4.07</v>
      </c>
      <c r="L471" s="78"/>
      <c r="M471" s="78"/>
      <c r="N471" s="78"/>
      <c r="O471" s="36"/>
      <c r="P471" s="24" t="str">
        <f t="shared" si="95"/>
        <v xml:space="preserve"> </v>
      </c>
      <c r="Q471" s="25" t="str">
        <f t="shared" si="96"/>
        <v xml:space="preserve"> </v>
      </c>
      <c r="R471" s="25" t="str">
        <f t="shared" si="97"/>
        <v xml:space="preserve"> </v>
      </c>
      <c r="S471" s="26" t="str">
        <f t="shared" si="98"/>
        <v xml:space="preserve"> </v>
      </c>
      <c r="T471" s="7" t="str">
        <f t="shared" si="99"/>
        <v xml:space="preserve"> </v>
      </c>
      <c r="U471" s="8" t="str">
        <f t="shared" si="100"/>
        <v xml:space="preserve"> </v>
      </c>
      <c r="V471" s="9" t="str">
        <f t="shared" si="94"/>
        <v xml:space="preserve"> </v>
      </c>
      <c r="W471" s="9" t="str">
        <f t="shared" si="101"/>
        <v/>
      </c>
      <c r="X471" s="32"/>
      <c r="Y471" s="36"/>
    </row>
    <row r="472" spans="1:25" s="4" customFormat="1" ht="18" customHeight="1">
      <c r="A472" s="36"/>
      <c r="B472" s="69">
        <v>125.11</v>
      </c>
      <c r="C472" s="69" t="s">
        <v>702</v>
      </c>
      <c r="D472" s="31" t="s">
        <v>707</v>
      </c>
      <c r="E472" s="29" t="s">
        <v>34</v>
      </c>
      <c r="F472" s="28">
        <v>4.12</v>
      </c>
      <c r="G472" s="29">
        <v>0.05</v>
      </c>
      <c r="H472" s="29">
        <v>-0.05</v>
      </c>
      <c r="I472" s="30" t="s">
        <v>39</v>
      </c>
      <c r="J472" s="12">
        <f t="shared" si="92"/>
        <v>4.17</v>
      </c>
      <c r="K472" s="12">
        <f t="shared" si="93"/>
        <v>4.07</v>
      </c>
      <c r="L472" s="78"/>
      <c r="M472" s="78"/>
      <c r="N472" s="78"/>
      <c r="O472" s="36"/>
      <c r="P472" s="24" t="str">
        <f t="shared" si="95"/>
        <v xml:space="preserve"> </v>
      </c>
      <c r="Q472" s="25" t="str">
        <f t="shared" si="96"/>
        <v xml:space="preserve"> </v>
      </c>
      <c r="R472" s="25" t="str">
        <f t="shared" si="97"/>
        <v xml:space="preserve"> </v>
      </c>
      <c r="S472" s="26" t="str">
        <f t="shared" si="98"/>
        <v xml:space="preserve"> </v>
      </c>
      <c r="T472" s="7" t="str">
        <f t="shared" si="99"/>
        <v xml:space="preserve"> </v>
      </c>
      <c r="U472" s="8" t="str">
        <f t="shared" si="100"/>
        <v xml:space="preserve"> </v>
      </c>
      <c r="V472" s="9" t="str">
        <f t="shared" si="94"/>
        <v xml:space="preserve"> </v>
      </c>
      <c r="W472" s="9" t="str">
        <f t="shared" si="101"/>
        <v/>
      </c>
      <c r="X472" s="32"/>
      <c r="Y472" s="36"/>
    </row>
    <row r="473" spans="1:25" s="4" customFormat="1" ht="18" customHeight="1">
      <c r="A473" s="36"/>
      <c r="B473" s="69">
        <v>125.12</v>
      </c>
      <c r="C473" s="69" t="s">
        <v>703</v>
      </c>
      <c r="D473" s="31" t="s">
        <v>707</v>
      </c>
      <c r="E473" s="29" t="s">
        <v>34</v>
      </c>
      <c r="F473" s="28">
        <v>4.12</v>
      </c>
      <c r="G473" s="29">
        <v>0.05</v>
      </c>
      <c r="H473" s="29">
        <v>-0.05</v>
      </c>
      <c r="I473" s="30" t="s">
        <v>39</v>
      </c>
      <c r="J473" s="12">
        <f t="shared" si="92"/>
        <v>4.17</v>
      </c>
      <c r="K473" s="12">
        <f t="shared" si="93"/>
        <v>4.07</v>
      </c>
      <c r="L473" s="78"/>
      <c r="M473" s="78"/>
      <c r="N473" s="78"/>
      <c r="O473" s="36"/>
      <c r="P473" s="24" t="str">
        <f t="shared" si="95"/>
        <v xml:space="preserve"> </v>
      </c>
      <c r="Q473" s="25" t="str">
        <f t="shared" si="96"/>
        <v xml:space="preserve"> </v>
      </c>
      <c r="R473" s="25" t="str">
        <f t="shared" si="97"/>
        <v xml:space="preserve"> </v>
      </c>
      <c r="S473" s="26" t="str">
        <f t="shared" si="98"/>
        <v xml:space="preserve"> </v>
      </c>
      <c r="T473" s="7" t="str">
        <f t="shared" si="99"/>
        <v xml:space="preserve"> </v>
      </c>
      <c r="U473" s="8" t="str">
        <f t="shared" si="100"/>
        <v xml:space="preserve"> </v>
      </c>
      <c r="V473" s="9" t="str">
        <f t="shared" si="94"/>
        <v xml:space="preserve"> </v>
      </c>
      <c r="W473" s="9" t="str">
        <f t="shared" si="101"/>
        <v/>
      </c>
      <c r="X473" s="32"/>
      <c r="Y473" s="36"/>
    </row>
    <row r="474" spans="1:25" s="4" customFormat="1" ht="18" customHeight="1">
      <c r="A474" s="36"/>
      <c r="B474" s="69">
        <v>125.13</v>
      </c>
      <c r="C474" s="69" t="s">
        <v>704</v>
      </c>
      <c r="D474" s="31" t="s">
        <v>707</v>
      </c>
      <c r="E474" s="29" t="s">
        <v>34</v>
      </c>
      <c r="F474" s="28">
        <v>4.12</v>
      </c>
      <c r="G474" s="29">
        <v>0.05</v>
      </c>
      <c r="H474" s="29">
        <v>-0.05</v>
      </c>
      <c r="I474" s="30" t="s">
        <v>39</v>
      </c>
      <c r="J474" s="12">
        <f t="shared" si="92"/>
        <v>4.17</v>
      </c>
      <c r="K474" s="12">
        <f t="shared" si="93"/>
        <v>4.07</v>
      </c>
      <c r="L474" s="78"/>
      <c r="M474" s="78"/>
      <c r="N474" s="78"/>
      <c r="O474" s="36"/>
      <c r="P474" s="24" t="str">
        <f t="shared" si="95"/>
        <v xml:space="preserve"> </v>
      </c>
      <c r="Q474" s="25" t="str">
        <f t="shared" si="96"/>
        <v xml:space="preserve"> </v>
      </c>
      <c r="R474" s="25" t="str">
        <f t="shared" si="97"/>
        <v xml:space="preserve"> </v>
      </c>
      <c r="S474" s="26" t="str">
        <f t="shared" si="98"/>
        <v xml:space="preserve"> </v>
      </c>
      <c r="T474" s="7" t="str">
        <f t="shared" si="99"/>
        <v xml:space="preserve"> </v>
      </c>
      <c r="U474" s="8" t="str">
        <f t="shared" si="100"/>
        <v xml:space="preserve"> </v>
      </c>
      <c r="V474" s="9" t="str">
        <f t="shared" si="94"/>
        <v xml:space="preserve"> </v>
      </c>
      <c r="W474" s="9" t="str">
        <f t="shared" si="101"/>
        <v/>
      </c>
      <c r="X474" s="32"/>
      <c r="Y474" s="36"/>
    </row>
    <row r="475" spans="1:25" s="4" customFormat="1" ht="18" customHeight="1">
      <c r="A475" s="36"/>
      <c r="B475" s="69">
        <v>125.14</v>
      </c>
      <c r="C475" s="69" t="s">
        <v>705</v>
      </c>
      <c r="D475" s="31" t="s">
        <v>707</v>
      </c>
      <c r="E475" s="29" t="s">
        <v>34</v>
      </c>
      <c r="F475" s="28">
        <v>4.12</v>
      </c>
      <c r="G475" s="29">
        <v>0.05</v>
      </c>
      <c r="H475" s="29">
        <v>-0.05</v>
      </c>
      <c r="I475" s="30" t="s">
        <v>39</v>
      </c>
      <c r="J475" s="12">
        <f t="shared" si="92"/>
        <v>4.17</v>
      </c>
      <c r="K475" s="12">
        <f t="shared" si="93"/>
        <v>4.07</v>
      </c>
      <c r="L475" s="78"/>
      <c r="M475" s="78"/>
      <c r="N475" s="78"/>
      <c r="O475" s="36"/>
      <c r="P475" s="24" t="str">
        <f t="shared" si="95"/>
        <v xml:space="preserve"> </v>
      </c>
      <c r="Q475" s="25" t="str">
        <f t="shared" si="96"/>
        <v xml:space="preserve"> </v>
      </c>
      <c r="R475" s="25" t="str">
        <f t="shared" si="97"/>
        <v xml:space="preserve"> </v>
      </c>
      <c r="S475" s="26" t="str">
        <f t="shared" si="98"/>
        <v xml:space="preserve"> </v>
      </c>
      <c r="T475" s="7" t="str">
        <f t="shared" si="99"/>
        <v xml:space="preserve"> </v>
      </c>
      <c r="U475" s="8" t="str">
        <f t="shared" si="100"/>
        <v xml:space="preserve"> </v>
      </c>
      <c r="V475" s="9" t="str">
        <f t="shared" si="94"/>
        <v xml:space="preserve"> </v>
      </c>
      <c r="W475" s="9" t="str">
        <f t="shared" si="101"/>
        <v/>
      </c>
      <c r="X475" s="32"/>
      <c r="Y475" s="36"/>
    </row>
    <row r="476" spans="1:25" s="4" customFormat="1" ht="18" customHeight="1">
      <c r="A476" s="36"/>
      <c r="B476" s="69">
        <v>125.15</v>
      </c>
      <c r="C476" s="69" t="s">
        <v>706</v>
      </c>
      <c r="D476" s="31" t="s">
        <v>707</v>
      </c>
      <c r="E476" s="29" t="s">
        <v>34</v>
      </c>
      <c r="F476" s="28">
        <v>4.12</v>
      </c>
      <c r="G476" s="29">
        <v>0.05</v>
      </c>
      <c r="H476" s="29">
        <v>-0.05</v>
      </c>
      <c r="I476" s="30" t="s">
        <v>39</v>
      </c>
      <c r="J476" s="12">
        <f t="shared" si="92"/>
        <v>4.17</v>
      </c>
      <c r="K476" s="12">
        <f t="shared" si="93"/>
        <v>4.07</v>
      </c>
      <c r="L476" s="78"/>
      <c r="M476" s="78"/>
      <c r="N476" s="78"/>
      <c r="O476" s="36"/>
      <c r="P476" s="24" t="str">
        <f t="shared" si="95"/>
        <v xml:space="preserve"> </v>
      </c>
      <c r="Q476" s="25" t="str">
        <f t="shared" si="96"/>
        <v xml:space="preserve"> </v>
      </c>
      <c r="R476" s="25" t="str">
        <f t="shared" si="97"/>
        <v xml:space="preserve"> </v>
      </c>
      <c r="S476" s="26" t="str">
        <f t="shared" si="98"/>
        <v xml:space="preserve"> </v>
      </c>
      <c r="T476" s="7" t="str">
        <f t="shared" si="99"/>
        <v xml:space="preserve"> </v>
      </c>
      <c r="U476" s="8" t="str">
        <f t="shared" si="100"/>
        <v xml:space="preserve"> </v>
      </c>
      <c r="V476" s="9" t="str">
        <f t="shared" si="94"/>
        <v xml:space="preserve"> </v>
      </c>
      <c r="W476" s="9" t="str">
        <f t="shared" si="101"/>
        <v/>
      </c>
      <c r="X476" s="32"/>
      <c r="Y476" s="36"/>
    </row>
    <row r="477" spans="1:25" s="4" customFormat="1" ht="18" customHeight="1">
      <c r="A477" s="36"/>
      <c r="B477" s="69">
        <v>126.01</v>
      </c>
      <c r="C477" s="69" t="s">
        <v>759</v>
      </c>
      <c r="D477" s="31" t="s">
        <v>707</v>
      </c>
      <c r="E477" s="29" t="s">
        <v>34</v>
      </c>
      <c r="F477" s="28">
        <v>3.1</v>
      </c>
      <c r="G477" s="29">
        <v>0.05</v>
      </c>
      <c r="H477" s="29">
        <v>-0.05</v>
      </c>
      <c r="I477" s="30" t="s">
        <v>39</v>
      </c>
      <c r="J477" s="12">
        <f t="shared" si="92"/>
        <v>3.15</v>
      </c>
      <c r="K477" s="12">
        <f t="shared" si="93"/>
        <v>3.0500000000000003</v>
      </c>
      <c r="L477" s="78"/>
      <c r="M477" s="78"/>
      <c r="N477" s="78"/>
      <c r="O477" s="36"/>
      <c r="P477" s="24" t="str">
        <f t="shared" si="95"/>
        <v xml:space="preserve"> </v>
      </c>
      <c r="Q477" s="25" t="str">
        <f t="shared" si="96"/>
        <v xml:space="preserve"> </v>
      </c>
      <c r="R477" s="25" t="str">
        <f t="shared" si="97"/>
        <v xml:space="preserve"> </v>
      </c>
      <c r="S477" s="26" t="str">
        <f t="shared" si="98"/>
        <v xml:space="preserve"> </v>
      </c>
      <c r="T477" s="7" t="str">
        <f t="shared" si="99"/>
        <v xml:space="preserve"> </v>
      </c>
      <c r="U477" s="8" t="str">
        <f t="shared" si="100"/>
        <v xml:space="preserve"> </v>
      </c>
      <c r="V477" s="9" t="str">
        <f t="shared" si="94"/>
        <v xml:space="preserve"> </v>
      </c>
      <c r="W477" s="9" t="str">
        <f t="shared" si="101"/>
        <v/>
      </c>
      <c r="X477" s="32"/>
      <c r="Y477" s="36"/>
    </row>
    <row r="478" spans="1:25" s="4" customFormat="1" ht="18" customHeight="1">
      <c r="A478" s="36"/>
      <c r="B478" s="69">
        <v>126.02</v>
      </c>
      <c r="C478" s="69" t="s">
        <v>760</v>
      </c>
      <c r="D478" s="31" t="s">
        <v>707</v>
      </c>
      <c r="E478" s="29" t="s">
        <v>34</v>
      </c>
      <c r="F478" s="28">
        <v>3.1</v>
      </c>
      <c r="G478" s="29">
        <v>0.05</v>
      </c>
      <c r="H478" s="29">
        <v>-0.05</v>
      </c>
      <c r="I478" s="30" t="s">
        <v>39</v>
      </c>
      <c r="J478" s="12">
        <f t="shared" si="92"/>
        <v>3.15</v>
      </c>
      <c r="K478" s="12">
        <f t="shared" si="93"/>
        <v>3.0500000000000003</v>
      </c>
      <c r="L478" s="78"/>
      <c r="M478" s="78"/>
      <c r="N478" s="78"/>
      <c r="O478" s="36"/>
      <c r="P478" s="24" t="str">
        <f t="shared" si="95"/>
        <v xml:space="preserve"> </v>
      </c>
      <c r="Q478" s="25" t="str">
        <f t="shared" si="96"/>
        <v xml:space="preserve"> </v>
      </c>
      <c r="R478" s="25" t="str">
        <f t="shared" si="97"/>
        <v xml:space="preserve"> </v>
      </c>
      <c r="S478" s="26" t="str">
        <f t="shared" si="98"/>
        <v xml:space="preserve"> </v>
      </c>
      <c r="T478" s="7" t="str">
        <f t="shared" si="99"/>
        <v xml:space="preserve"> </v>
      </c>
      <c r="U478" s="8" t="str">
        <f t="shared" si="100"/>
        <v xml:space="preserve"> </v>
      </c>
      <c r="V478" s="9" t="str">
        <f t="shared" si="94"/>
        <v xml:space="preserve"> </v>
      </c>
      <c r="W478" s="9" t="str">
        <f t="shared" si="101"/>
        <v/>
      </c>
      <c r="X478" s="32"/>
      <c r="Y478" s="36"/>
    </row>
    <row r="479" spans="1:25" s="4" customFormat="1" ht="18" customHeight="1">
      <c r="A479" s="36"/>
      <c r="B479" s="69">
        <v>126.03</v>
      </c>
      <c r="C479" s="69" t="s">
        <v>761</v>
      </c>
      <c r="D479" s="31" t="s">
        <v>707</v>
      </c>
      <c r="E479" s="29" t="s">
        <v>34</v>
      </c>
      <c r="F479" s="28">
        <v>3.1</v>
      </c>
      <c r="G479" s="29">
        <v>0.05</v>
      </c>
      <c r="H479" s="29">
        <v>-0.05</v>
      </c>
      <c r="I479" s="30" t="s">
        <v>39</v>
      </c>
      <c r="J479" s="12">
        <f t="shared" si="92"/>
        <v>3.15</v>
      </c>
      <c r="K479" s="12">
        <f t="shared" si="93"/>
        <v>3.0500000000000003</v>
      </c>
      <c r="L479" s="78"/>
      <c r="M479" s="78"/>
      <c r="N479" s="78"/>
      <c r="O479" s="36"/>
      <c r="P479" s="24" t="str">
        <f t="shared" si="95"/>
        <v xml:space="preserve"> </v>
      </c>
      <c r="Q479" s="25" t="str">
        <f t="shared" si="96"/>
        <v xml:space="preserve"> </v>
      </c>
      <c r="R479" s="25" t="str">
        <f t="shared" si="97"/>
        <v xml:space="preserve"> </v>
      </c>
      <c r="S479" s="26" t="str">
        <f t="shared" si="98"/>
        <v xml:space="preserve"> </v>
      </c>
      <c r="T479" s="7" t="str">
        <f t="shared" si="99"/>
        <v xml:space="preserve"> </v>
      </c>
      <c r="U479" s="8" t="str">
        <f t="shared" si="100"/>
        <v xml:space="preserve"> </v>
      </c>
      <c r="V479" s="9" t="str">
        <f t="shared" si="94"/>
        <v xml:space="preserve"> </v>
      </c>
      <c r="W479" s="9" t="str">
        <f t="shared" si="101"/>
        <v/>
      </c>
      <c r="X479" s="32"/>
      <c r="Y479" s="36"/>
    </row>
    <row r="480" spans="1:25" s="4" customFormat="1" ht="18" customHeight="1">
      <c r="A480" s="36"/>
      <c r="B480" s="69">
        <v>126.04</v>
      </c>
      <c r="C480" s="69" t="s">
        <v>762</v>
      </c>
      <c r="D480" s="31" t="s">
        <v>707</v>
      </c>
      <c r="E480" s="29" t="s">
        <v>34</v>
      </c>
      <c r="F480" s="28">
        <v>3.1</v>
      </c>
      <c r="G480" s="29">
        <v>0.05</v>
      </c>
      <c r="H480" s="29">
        <v>-0.05</v>
      </c>
      <c r="I480" s="30" t="s">
        <v>39</v>
      </c>
      <c r="J480" s="12">
        <f t="shared" si="92"/>
        <v>3.15</v>
      </c>
      <c r="K480" s="12">
        <f t="shared" si="93"/>
        <v>3.0500000000000003</v>
      </c>
      <c r="L480" s="78"/>
      <c r="M480" s="78"/>
      <c r="N480" s="78"/>
      <c r="O480" s="36"/>
      <c r="P480" s="24" t="str">
        <f t="shared" si="95"/>
        <v xml:space="preserve"> </v>
      </c>
      <c r="Q480" s="25" t="str">
        <f t="shared" si="96"/>
        <v xml:space="preserve"> </v>
      </c>
      <c r="R480" s="25" t="str">
        <f t="shared" si="97"/>
        <v xml:space="preserve"> </v>
      </c>
      <c r="S480" s="26" t="str">
        <f t="shared" si="98"/>
        <v xml:space="preserve"> </v>
      </c>
      <c r="T480" s="7" t="str">
        <f t="shared" si="99"/>
        <v xml:space="preserve"> </v>
      </c>
      <c r="U480" s="8" t="str">
        <f t="shared" si="100"/>
        <v xml:space="preserve"> </v>
      </c>
      <c r="V480" s="9" t="str">
        <f t="shared" si="94"/>
        <v xml:space="preserve"> </v>
      </c>
      <c r="W480" s="9" t="str">
        <f t="shared" si="101"/>
        <v/>
      </c>
      <c r="X480" s="32"/>
      <c r="Y480" s="36"/>
    </row>
    <row r="481" spans="1:25" s="4" customFormat="1" ht="18" customHeight="1">
      <c r="A481" s="36"/>
      <c r="B481" s="69">
        <v>126.05</v>
      </c>
      <c r="C481" s="69" t="s">
        <v>763</v>
      </c>
      <c r="D481" s="31" t="s">
        <v>707</v>
      </c>
      <c r="E481" s="29" t="s">
        <v>34</v>
      </c>
      <c r="F481" s="28">
        <v>3.1</v>
      </c>
      <c r="G481" s="29">
        <v>0.05</v>
      </c>
      <c r="H481" s="29">
        <v>-0.05</v>
      </c>
      <c r="I481" s="30" t="s">
        <v>39</v>
      </c>
      <c r="J481" s="12">
        <f t="shared" si="92"/>
        <v>3.15</v>
      </c>
      <c r="K481" s="12">
        <f t="shared" si="93"/>
        <v>3.0500000000000003</v>
      </c>
      <c r="L481" s="78"/>
      <c r="M481" s="78"/>
      <c r="N481" s="78"/>
      <c r="O481" s="36"/>
      <c r="P481" s="24" t="str">
        <f t="shared" si="95"/>
        <v xml:space="preserve"> </v>
      </c>
      <c r="Q481" s="25" t="str">
        <f t="shared" si="96"/>
        <v xml:space="preserve"> </v>
      </c>
      <c r="R481" s="25" t="str">
        <f t="shared" si="97"/>
        <v xml:space="preserve"> </v>
      </c>
      <c r="S481" s="26" t="str">
        <f t="shared" si="98"/>
        <v xml:space="preserve"> </v>
      </c>
      <c r="T481" s="7" t="str">
        <f t="shared" si="99"/>
        <v xml:space="preserve"> </v>
      </c>
      <c r="U481" s="8" t="str">
        <f t="shared" si="100"/>
        <v xml:space="preserve"> </v>
      </c>
      <c r="V481" s="9" t="str">
        <f t="shared" si="94"/>
        <v xml:space="preserve"> </v>
      </c>
      <c r="W481" s="9" t="str">
        <f t="shared" si="101"/>
        <v/>
      </c>
      <c r="X481" s="32"/>
      <c r="Y481" s="36"/>
    </row>
    <row r="482" spans="1:25" s="4" customFormat="1" ht="18" customHeight="1">
      <c r="A482" s="36"/>
      <c r="B482" s="69">
        <v>126.06</v>
      </c>
      <c r="C482" s="69" t="s">
        <v>764</v>
      </c>
      <c r="D482" s="31" t="s">
        <v>707</v>
      </c>
      <c r="E482" s="29" t="s">
        <v>34</v>
      </c>
      <c r="F482" s="28">
        <v>3.1</v>
      </c>
      <c r="G482" s="29">
        <v>0.05</v>
      </c>
      <c r="H482" s="29">
        <v>-0.05</v>
      </c>
      <c r="I482" s="30" t="s">
        <v>39</v>
      </c>
      <c r="J482" s="12">
        <f t="shared" si="92"/>
        <v>3.15</v>
      </c>
      <c r="K482" s="12">
        <f t="shared" si="93"/>
        <v>3.0500000000000003</v>
      </c>
      <c r="L482" s="78"/>
      <c r="M482" s="78"/>
      <c r="N482" s="78"/>
      <c r="O482" s="36"/>
      <c r="P482" s="24" t="str">
        <f t="shared" si="95"/>
        <v xml:space="preserve"> </v>
      </c>
      <c r="Q482" s="25" t="str">
        <f t="shared" si="96"/>
        <v xml:space="preserve"> </v>
      </c>
      <c r="R482" s="25" t="str">
        <f t="shared" si="97"/>
        <v xml:space="preserve"> </v>
      </c>
      <c r="S482" s="26" t="str">
        <f t="shared" si="98"/>
        <v xml:space="preserve"> </v>
      </c>
      <c r="T482" s="7" t="str">
        <f t="shared" si="99"/>
        <v xml:space="preserve"> </v>
      </c>
      <c r="U482" s="8" t="str">
        <f t="shared" si="100"/>
        <v xml:space="preserve"> </v>
      </c>
      <c r="V482" s="9" t="str">
        <f t="shared" si="94"/>
        <v xml:space="preserve"> </v>
      </c>
      <c r="W482" s="9" t="str">
        <f t="shared" si="101"/>
        <v/>
      </c>
      <c r="X482" s="32"/>
      <c r="Y482" s="36"/>
    </row>
    <row r="483" spans="1:25" s="4" customFormat="1" ht="18" customHeight="1">
      <c r="A483" s="36"/>
      <c r="B483" s="69">
        <v>126.07</v>
      </c>
      <c r="C483" s="69" t="s">
        <v>765</v>
      </c>
      <c r="D483" s="31" t="s">
        <v>707</v>
      </c>
      <c r="E483" s="29" t="s">
        <v>34</v>
      </c>
      <c r="F483" s="28">
        <v>3.1</v>
      </c>
      <c r="G483" s="29">
        <v>0.05</v>
      </c>
      <c r="H483" s="29">
        <v>-0.05</v>
      </c>
      <c r="I483" s="30" t="s">
        <v>39</v>
      </c>
      <c r="J483" s="12">
        <f t="shared" si="92"/>
        <v>3.15</v>
      </c>
      <c r="K483" s="12">
        <f t="shared" si="93"/>
        <v>3.0500000000000003</v>
      </c>
      <c r="L483" s="78"/>
      <c r="M483" s="78"/>
      <c r="N483" s="78"/>
      <c r="O483" s="36"/>
      <c r="P483" s="24" t="str">
        <f t="shared" si="95"/>
        <v xml:space="preserve"> </v>
      </c>
      <c r="Q483" s="25" t="str">
        <f t="shared" si="96"/>
        <v xml:space="preserve"> </v>
      </c>
      <c r="R483" s="25" t="str">
        <f t="shared" si="97"/>
        <v xml:space="preserve"> </v>
      </c>
      <c r="S483" s="26" t="str">
        <f t="shared" si="98"/>
        <v xml:space="preserve"> </v>
      </c>
      <c r="T483" s="7" t="str">
        <f t="shared" si="99"/>
        <v xml:space="preserve"> </v>
      </c>
      <c r="U483" s="8" t="str">
        <f t="shared" si="100"/>
        <v xml:space="preserve"> </v>
      </c>
      <c r="V483" s="9" t="str">
        <f t="shared" si="94"/>
        <v xml:space="preserve"> </v>
      </c>
      <c r="W483" s="9" t="str">
        <f t="shared" si="101"/>
        <v/>
      </c>
      <c r="X483" s="32"/>
      <c r="Y483" s="36"/>
    </row>
    <row r="484" spans="1:25" s="4" customFormat="1" ht="18" customHeight="1">
      <c r="A484" s="36"/>
      <c r="B484" s="69">
        <v>126.08</v>
      </c>
      <c r="C484" s="69" t="s">
        <v>766</v>
      </c>
      <c r="D484" s="31" t="s">
        <v>707</v>
      </c>
      <c r="E484" s="29" t="s">
        <v>34</v>
      </c>
      <c r="F484" s="28">
        <v>3.1</v>
      </c>
      <c r="G484" s="29">
        <v>0.05</v>
      </c>
      <c r="H484" s="29">
        <v>-0.05</v>
      </c>
      <c r="I484" s="30" t="s">
        <v>39</v>
      </c>
      <c r="J484" s="12">
        <f t="shared" si="92"/>
        <v>3.15</v>
      </c>
      <c r="K484" s="12">
        <f t="shared" si="93"/>
        <v>3.0500000000000003</v>
      </c>
      <c r="L484" s="78"/>
      <c r="M484" s="78"/>
      <c r="N484" s="78"/>
      <c r="O484" s="36"/>
      <c r="P484" s="24" t="str">
        <f t="shared" si="95"/>
        <v xml:space="preserve"> </v>
      </c>
      <c r="Q484" s="25" t="str">
        <f t="shared" si="96"/>
        <v xml:space="preserve"> </v>
      </c>
      <c r="R484" s="25" t="str">
        <f t="shared" si="97"/>
        <v xml:space="preserve"> </v>
      </c>
      <c r="S484" s="26" t="str">
        <f t="shared" si="98"/>
        <v xml:space="preserve"> </v>
      </c>
      <c r="T484" s="7" t="str">
        <f t="shared" si="99"/>
        <v xml:space="preserve"> </v>
      </c>
      <c r="U484" s="8" t="str">
        <f t="shared" si="100"/>
        <v xml:space="preserve"> </v>
      </c>
      <c r="V484" s="9" t="str">
        <f t="shared" si="94"/>
        <v xml:space="preserve"> </v>
      </c>
      <c r="W484" s="9" t="str">
        <f t="shared" si="101"/>
        <v/>
      </c>
      <c r="X484" s="32"/>
      <c r="Y484" s="36"/>
    </row>
    <row r="485" spans="1:25" s="4" customFormat="1" ht="18" customHeight="1">
      <c r="A485" s="36"/>
      <c r="B485" s="69">
        <v>126.09</v>
      </c>
      <c r="C485" s="69" t="s">
        <v>767</v>
      </c>
      <c r="D485" s="31" t="s">
        <v>707</v>
      </c>
      <c r="E485" s="29" t="s">
        <v>34</v>
      </c>
      <c r="F485" s="28">
        <v>3.1</v>
      </c>
      <c r="G485" s="29">
        <v>0.05</v>
      </c>
      <c r="H485" s="29">
        <v>-0.05</v>
      </c>
      <c r="I485" s="30" t="s">
        <v>39</v>
      </c>
      <c r="J485" s="12">
        <f t="shared" si="92"/>
        <v>3.15</v>
      </c>
      <c r="K485" s="12">
        <f t="shared" si="93"/>
        <v>3.0500000000000003</v>
      </c>
      <c r="L485" s="78"/>
      <c r="M485" s="78"/>
      <c r="N485" s="78"/>
      <c r="O485" s="36"/>
      <c r="P485" s="24" t="str">
        <f t="shared" si="95"/>
        <v xml:space="preserve"> </v>
      </c>
      <c r="Q485" s="25" t="str">
        <f t="shared" si="96"/>
        <v xml:space="preserve"> </v>
      </c>
      <c r="R485" s="25" t="str">
        <f t="shared" si="97"/>
        <v xml:space="preserve"> </v>
      </c>
      <c r="S485" s="26" t="str">
        <f t="shared" si="98"/>
        <v xml:space="preserve"> </v>
      </c>
      <c r="T485" s="7" t="str">
        <f t="shared" si="99"/>
        <v xml:space="preserve"> </v>
      </c>
      <c r="U485" s="8" t="str">
        <f t="shared" si="100"/>
        <v xml:space="preserve"> </v>
      </c>
      <c r="V485" s="9" t="str">
        <f t="shared" si="94"/>
        <v xml:space="preserve"> </v>
      </c>
      <c r="W485" s="9" t="str">
        <f t="shared" si="101"/>
        <v/>
      </c>
      <c r="X485" s="32"/>
      <c r="Y485" s="36"/>
    </row>
    <row r="486" spans="1:25" s="4" customFormat="1" ht="18" customHeight="1">
      <c r="A486" s="36"/>
      <c r="B486" s="69" t="s">
        <v>942</v>
      </c>
      <c r="C486" s="69" t="s">
        <v>768</v>
      </c>
      <c r="D486" s="31" t="s">
        <v>707</v>
      </c>
      <c r="E486" s="29" t="s">
        <v>34</v>
      </c>
      <c r="F486" s="28">
        <v>3.1</v>
      </c>
      <c r="G486" s="29">
        <v>0.05</v>
      </c>
      <c r="H486" s="29">
        <v>-0.05</v>
      </c>
      <c r="I486" s="30" t="s">
        <v>39</v>
      </c>
      <c r="J486" s="12">
        <f t="shared" ref="J486:J549" si="102">IF(AND(F486="",G486=""),"",IF(F486="",G486,F486+G486))</f>
        <v>3.15</v>
      </c>
      <c r="K486" s="12">
        <f t="shared" ref="K486:K549" si="103">IF(AND(F486="",H486=""),"",IF(F486="",H486,F486+H486))</f>
        <v>3.0500000000000003</v>
      </c>
      <c r="L486" s="78"/>
      <c r="M486" s="78"/>
      <c r="N486" s="78"/>
      <c r="O486" s="36"/>
      <c r="P486" s="24" t="str">
        <f t="shared" si="95"/>
        <v xml:space="preserve"> </v>
      </c>
      <c r="Q486" s="25" t="str">
        <f t="shared" si="96"/>
        <v xml:space="preserve"> </v>
      </c>
      <c r="R486" s="25" t="str">
        <f t="shared" si="97"/>
        <v xml:space="preserve"> </v>
      </c>
      <c r="S486" s="26" t="str">
        <f t="shared" si="98"/>
        <v xml:space="preserve"> </v>
      </c>
      <c r="T486" s="7" t="str">
        <f t="shared" si="99"/>
        <v xml:space="preserve"> </v>
      </c>
      <c r="U486" s="8" t="str">
        <f t="shared" si="100"/>
        <v xml:space="preserve"> </v>
      </c>
      <c r="V486" s="9" t="str">
        <f t="shared" si="94"/>
        <v xml:space="preserve"> </v>
      </c>
      <c r="W486" s="9" t="str">
        <f t="shared" si="101"/>
        <v/>
      </c>
      <c r="X486" s="32"/>
      <c r="Y486" s="36"/>
    </row>
    <row r="487" spans="1:25" s="4" customFormat="1" ht="18" customHeight="1">
      <c r="A487" s="36"/>
      <c r="B487" s="69">
        <v>126.11</v>
      </c>
      <c r="C487" s="69" t="s">
        <v>769</v>
      </c>
      <c r="D487" s="31" t="s">
        <v>707</v>
      </c>
      <c r="E487" s="29" t="s">
        <v>34</v>
      </c>
      <c r="F487" s="28">
        <v>3.1</v>
      </c>
      <c r="G487" s="29">
        <v>0.05</v>
      </c>
      <c r="H487" s="29">
        <v>-0.05</v>
      </c>
      <c r="I487" s="30" t="s">
        <v>39</v>
      </c>
      <c r="J487" s="12">
        <f t="shared" si="102"/>
        <v>3.15</v>
      </c>
      <c r="K487" s="12">
        <f t="shared" si="103"/>
        <v>3.0500000000000003</v>
      </c>
      <c r="L487" s="78"/>
      <c r="M487" s="78"/>
      <c r="N487" s="78"/>
      <c r="O487" s="36"/>
      <c r="P487" s="24" t="str">
        <f t="shared" si="95"/>
        <v xml:space="preserve"> </v>
      </c>
      <c r="Q487" s="25" t="str">
        <f t="shared" si="96"/>
        <v xml:space="preserve"> </v>
      </c>
      <c r="R487" s="25" t="str">
        <f t="shared" si="97"/>
        <v xml:space="preserve"> </v>
      </c>
      <c r="S487" s="26" t="str">
        <f t="shared" si="98"/>
        <v xml:space="preserve"> </v>
      </c>
      <c r="T487" s="7" t="str">
        <f t="shared" si="99"/>
        <v xml:space="preserve"> </v>
      </c>
      <c r="U487" s="8" t="str">
        <f t="shared" si="100"/>
        <v xml:space="preserve"> </v>
      </c>
      <c r="V487" s="9" t="str">
        <f t="shared" ref="V487:V692" si="104">IF(ISNUMBER($T487)=TRUE,IF($T487&gt;0.651,IF($T487&gt;1.001,"Reject","Alert")," ")," ")</f>
        <v xml:space="preserve"> </v>
      </c>
      <c r="W487" s="9" t="str">
        <f t="shared" si="101"/>
        <v/>
      </c>
      <c r="X487" s="32"/>
      <c r="Y487" s="36"/>
    </row>
    <row r="488" spans="1:25" s="4" customFormat="1" ht="18" customHeight="1">
      <c r="A488" s="36"/>
      <c r="B488" s="69">
        <v>126.12</v>
      </c>
      <c r="C488" s="69" t="s">
        <v>770</v>
      </c>
      <c r="D488" s="31" t="s">
        <v>707</v>
      </c>
      <c r="E488" s="29" t="s">
        <v>34</v>
      </c>
      <c r="F488" s="28">
        <v>3.1</v>
      </c>
      <c r="G488" s="29">
        <v>0.05</v>
      </c>
      <c r="H488" s="29">
        <v>-0.05</v>
      </c>
      <c r="I488" s="30" t="s">
        <v>39</v>
      </c>
      <c r="J488" s="12">
        <f t="shared" si="102"/>
        <v>3.15</v>
      </c>
      <c r="K488" s="12">
        <f t="shared" si="103"/>
        <v>3.0500000000000003</v>
      </c>
      <c r="L488" s="78"/>
      <c r="M488" s="78"/>
      <c r="N488" s="78"/>
      <c r="O488" s="36"/>
      <c r="P488" s="24" t="str">
        <f t="shared" si="95"/>
        <v xml:space="preserve"> </v>
      </c>
      <c r="Q488" s="25" t="str">
        <f t="shared" si="96"/>
        <v xml:space="preserve"> </v>
      </c>
      <c r="R488" s="25" t="str">
        <f t="shared" si="97"/>
        <v xml:space="preserve"> </v>
      </c>
      <c r="S488" s="26" t="str">
        <f t="shared" si="98"/>
        <v xml:space="preserve"> </v>
      </c>
      <c r="T488" s="7" t="str">
        <f t="shared" si="99"/>
        <v xml:space="preserve"> </v>
      </c>
      <c r="U488" s="8" t="str">
        <f t="shared" si="100"/>
        <v xml:space="preserve"> </v>
      </c>
      <c r="V488" s="9" t="str">
        <f t="shared" si="104"/>
        <v xml:space="preserve"> </v>
      </c>
      <c r="W488" s="9" t="str">
        <f t="shared" si="101"/>
        <v/>
      </c>
      <c r="X488" s="32"/>
      <c r="Y488" s="36"/>
    </row>
    <row r="489" spans="1:25" s="4" customFormat="1" ht="18" customHeight="1">
      <c r="A489" s="36"/>
      <c r="B489" s="69">
        <v>126.13</v>
      </c>
      <c r="C489" s="69" t="s">
        <v>771</v>
      </c>
      <c r="D489" s="31" t="s">
        <v>707</v>
      </c>
      <c r="E489" s="29" t="s">
        <v>34</v>
      </c>
      <c r="F489" s="28">
        <v>3.1</v>
      </c>
      <c r="G489" s="29">
        <v>0.05</v>
      </c>
      <c r="H489" s="29">
        <v>-0.05</v>
      </c>
      <c r="I489" s="30" t="s">
        <v>39</v>
      </c>
      <c r="J489" s="12">
        <f t="shared" si="102"/>
        <v>3.15</v>
      </c>
      <c r="K489" s="12">
        <f t="shared" si="103"/>
        <v>3.0500000000000003</v>
      </c>
      <c r="L489" s="78"/>
      <c r="M489" s="78"/>
      <c r="N489" s="78"/>
      <c r="O489" s="36"/>
      <c r="P489" s="24" t="str">
        <f t="shared" si="95"/>
        <v xml:space="preserve"> </v>
      </c>
      <c r="Q489" s="25" t="str">
        <f t="shared" si="96"/>
        <v xml:space="preserve"> </v>
      </c>
      <c r="R489" s="25" t="str">
        <f t="shared" si="97"/>
        <v xml:space="preserve"> </v>
      </c>
      <c r="S489" s="26" t="str">
        <f t="shared" si="98"/>
        <v xml:space="preserve"> </v>
      </c>
      <c r="T489" s="7" t="str">
        <f t="shared" si="99"/>
        <v xml:space="preserve"> </v>
      </c>
      <c r="U489" s="8" t="str">
        <f t="shared" si="100"/>
        <v xml:space="preserve"> </v>
      </c>
      <c r="V489" s="9" t="str">
        <f t="shared" si="104"/>
        <v xml:space="preserve"> </v>
      </c>
      <c r="W489" s="9" t="str">
        <f t="shared" si="101"/>
        <v/>
      </c>
      <c r="X489" s="32"/>
      <c r="Y489" s="36"/>
    </row>
    <row r="490" spans="1:25" s="4" customFormat="1" ht="18" customHeight="1">
      <c r="A490" s="36"/>
      <c r="B490" s="69">
        <v>126.14</v>
      </c>
      <c r="C490" s="69" t="s">
        <v>772</v>
      </c>
      <c r="D490" s="31" t="s">
        <v>707</v>
      </c>
      <c r="E490" s="29" t="s">
        <v>34</v>
      </c>
      <c r="F490" s="28">
        <v>3.1</v>
      </c>
      <c r="G490" s="29">
        <v>0.05</v>
      </c>
      <c r="H490" s="29">
        <v>-0.05</v>
      </c>
      <c r="I490" s="30" t="s">
        <v>39</v>
      </c>
      <c r="J490" s="12">
        <f t="shared" si="102"/>
        <v>3.15</v>
      </c>
      <c r="K490" s="12">
        <f t="shared" si="103"/>
        <v>3.0500000000000003</v>
      </c>
      <c r="L490" s="78"/>
      <c r="M490" s="78"/>
      <c r="N490" s="78"/>
      <c r="O490" s="36"/>
      <c r="P490" s="24" t="str">
        <f t="shared" si="95"/>
        <v xml:space="preserve"> </v>
      </c>
      <c r="Q490" s="25" t="str">
        <f t="shared" si="96"/>
        <v xml:space="preserve"> </v>
      </c>
      <c r="R490" s="25" t="str">
        <f t="shared" si="97"/>
        <v xml:space="preserve"> </v>
      </c>
      <c r="S490" s="26" t="str">
        <f t="shared" si="98"/>
        <v xml:space="preserve"> </v>
      </c>
      <c r="T490" s="7" t="str">
        <f t="shared" si="99"/>
        <v xml:space="preserve"> </v>
      </c>
      <c r="U490" s="8" t="str">
        <f t="shared" si="100"/>
        <v xml:space="preserve"> </v>
      </c>
      <c r="V490" s="9" t="str">
        <f t="shared" si="104"/>
        <v xml:space="preserve"> </v>
      </c>
      <c r="W490" s="9" t="str">
        <f t="shared" si="101"/>
        <v/>
      </c>
      <c r="X490" s="32"/>
      <c r="Y490" s="36"/>
    </row>
    <row r="491" spans="1:25" s="4" customFormat="1" ht="18" customHeight="1">
      <c r="A491" s="36"/>
      <c r="B491" s="69">
        <v>126.15</v>
      </c>
      <c r="C491" s="69" t="s">
        <v>773</v>
      </c>
      <c r="D491" s="31" t="s">
        <v>707</v>
      </c>
      <c r="E491" s="29" t="s">
        <v>34</v>
      </c>
      <c r="F491" s="28">
        <v>3.1</v>
      </c>
      <c r="G491" s="29">
        <v>0.05</v>
      </c>
      <c r="H491" s="29">
        <v>-0.05</v>
      </c>
      <c r="I491" s="30" t="s">
        <v>39</v>
      </c>
      <c r="J491" s="12">
        <f t="shared" si="102"/>
        <v>3.15</v>
      </c>
      <c r="K491" s="12">
        <f t="shared" si="103"/>
        <v>3.0500000000000003</v>
      </c>
      <c r="L491" s="78"/>
      <c r="M491" s="78"/>
      <c r="N491" s="78"/>
      <c r="O491" s="36"/>
      <c r="P491" s="24" t="str">
        <f t="shared" si="95"/>
        <v xml:space="preserve"> </v>
      </c>
      <c r="Q491" s="25" t="str">
        <f t="shared" si="96"/>
        <v xml:space="preserve"> </v>
      </c>
      <c r="R491" s="25" t="str">
        <f t="shared" si="97"/>
        <v xml:space="preserve"> </v>
      </c>
      <c r="S491" s="26" t="str">
        <f t="shared" si="98"/>
        <v xml:space="preserve"> </v>
      </c>
      <c r="T491" s="7" t="str">
        <f t="shared" si="99"/>
        <v xml:space="preserve"> </v>
      </c>
      <c r="U491" s="8" t="str">
        <f t="shared" si="100"/>
        <v xml:space="preserve"> </v>
      </c>
      <c r="V491" s="9" t="str">
        <f t="shared" si="104"/>
        <v xml:space="preserve"> </v>
      </c>
      <c r="W491" s="9" t="str">
        <f t="shared" si="101"/>
        <v/>
      </c>
      <c r="X491" s="32"/>
      <c r="Y491" s="36"/>
    </row>
    <row r="492" spans="1:25" s="4" customFormat="1" ht="18" customHeight="1">
      <c r="A492" s="36"/>
      <c r="B492" s="69">
        <v>127.01</v>
      </c>
      <c r="C492" s="69" t="s">
        <v>779</v>
      </c>
      <c r="D492" s="31" t="s">
        <v>794</v>
      </c>
      <c r="E492" s="29" t="s">
        <v>34</v>
      </c>
      <c r="F492" s="28">
        <v>1.6</v>
      </c>
      <c r="G492" s="29">
        <v>0.05</v>
      </c>
      <c r="H492" s="29">
        <v>-0.05</v>
      </c>
      <c r="I492" s="30" t="s">
        <v>39</v>
      </c>
      <c r="J492" s="12">
        <f t="shared" si="102"/>
        <v>1.6500000000000001</v>
      </c>
      <c r="K492" s="12">
        <f t="shared" si="103"/>
        <v>1.55</v>
      </c>
      <c r="L492" s="78"/>
      <c r="M492" s="78"/>
      <c r="N492" s="78"/>
      <c r="O492" s="36"/>
      <c r="P492" s="24" t="str">
        <f t="shared" si="95"/>
        <v xml:space="preserve"> </v>
      </c>
      <c r="Q492" s="25" t="str">
        <f t="shared" si="96"/>
        <v xml:space="preserve"> </v>
      </c>
      <c r="R492" s="25" t="str">
        <f t="shared" si="97"/>
        <v xml:space="preserve"> </v>
      </c>
      <c r="S492" s="26" t="str">
        <f t="shared" si="98"/>
        <v xml:space="preserve"> </v>
      </c>
      <c r="T492" s="7" t="str">
        <f t="shared" si="99"/>
        <v xml:space="preserve"> </v>
      </c>
      <c r="U492" s="8" t="str">
        <f t="shared" si="100"/>
        <v xml:space="preserve"> </v>
      </c>
      <c r="V492" s="9" t="str">
        <f t="shared" si="104"/>
        <v xml:space="preserve"> </v>
      </c>
      <c r="W492" s="9" t="str">
        <f t="shared" si="101"/>
        <v/>
      </c>
      <c r="X492" s="32"/>
      <c r="Y492" s="36"/>
    </row>
    <row r="493" spans="1:25" s="4" customFormat="1" ht="18" customHeight="1">
      <c r="A493" s="36"/>
      <c r="B493" s="69">
        <v>127.02</v>
      </c>
      <c r="C493" s="69" t="s">
        <v>780</v>
      </c>
      <c r="D493" s="31" t="s">
        <v>794</v>
      </c>
      <c r="E493" s="29" t="s">
        <v>34</v>
      </c>
      <c r="F493" s="28">
        <v>1.6</v>
      </c>
      <c r="G493" s="29">
        <v>0.05</v>
      </c>
      <c r="H493" s="29">
        <v>-0.05</v>
      </c>
      <c r="I493" s="30" t="s">
        <v>39</v>
      </c>
      <c r="J493" s="12">
        <f t="shared" si="102"/>
        <v>1.6500000000000001</v>
      </c>
      <c r="K493" s="12">
        <f t="shared" si="103"/>
        <v>1.55</v>
      </c>
      <c r="L493" s="78"/>
      <c r="M493" s="78"/>
      <c r="N493" s="78"/>
      <c r="O493" s="36"/>
      <c r="P493" s="24" t="str">
        <f t="shared" si="95"/>
        <v xml:space="preserve"> </v>
      </c>
      <c r="Q493" s="25" t="str">
        <f t="shared" si="96"/>
        <v xml:space="preserve"> </v>
      </c>
      <c r="R493" s="25" t="str">
        <f t="shared" si="97"/>
        <v xml:space="preserve"> </v>
      </c>
      <c r="S493" s="26" t="str">
        <f t="shared" si="98"/>
        <v xml:space="preserve"> </v>
      </c>
      <c r="T493" s="7" t="str">
        <f t="shared" si="99"/>
        <v xml:space="preserve"> </v>
      </c>
      <c r="U493" s="8" t="str">
        <f t="shared" si="100"/>
        <v xml:space="preserve"> </v>
      </c>
      <c r="V493" s="9" t="str">
        <f t="shared" si="104"/>
        <v xml:space="preserve"> </v>
      </c>
      <c r="W493" s="9" t="str">
        <f t="shared" si="101"/>
        <v/>
      </c>
      <c r="X493" s="32"/>
      <c r="Y493" s="36"/>
    </row>
    <row r="494" spans="1:25" s="4" customFormat="1" ht="18" customHeight="1">
      <c r="A494" s="36"/>
      <c r="B494" s="69">
        <v>127.03</v>
      </c>
      <c r="C494" s="69" t="s">
        <v>781</v>
      </c>
      <c r="D494" s="31" t="s">
        <v>794</v>
      </c>
      <c r="E494" s="29" t="s">
        <v>34</v>
      </c>
      <c r="F494" s="28">
        <v>1.6</v>
      </c>
      <c r="G494" s="29">
        <v>0.05</v>
      </c>
      <c r="H494" s="29">
        <v>-0.05</v>
      </c>
      <c r="I494" s="30" t="s">
        <v>39</v>
      </c>
      <c r="J494" s="12">
        <f t="shared" si="102"/>
        <v>1.6500000000000001</v>
      </c>
      <c r="K494" s="12">
        <f t="shared" si="103"/>
        <v>1.55</v>
      </c>
      <c r="L494" s="78"/>
      <c r="M494" s="78"/>
      <c r="N494" s="78"/>
      <c r="O494" s="36"/>
      <c r="P494" s="24" t="str">
        <f t="shared" si="95"/>
        <v xml:space="preserve"> </v>
      </c>
      <c r="Q494" s="25" t="str">
        <f t="shared" si="96"/>
        <v xml:space="preserve"> </v>
      </c>
      <c r="R494" s="25" t="str">
        <f t="shared" si="97"/>
        <v xml:space="preserve"> </v>
      </c>
      <c r="S494" s="26" t="str">
        <f t="shared" si="98"/>
        <v xml:space="preserve"> </v>
      </c>
      <c r="T494" s="7" t="str">
        <f t="shared" si="99"/>
        <v xml:space="preserve"> </v>
      </c>
      <c r="U494" s="8" t="str">
        <f t="shared" si="100"/>
        <v xml:space="preserve"> </v>
      </c>
      <c r="V494" s="9" t="str">
        <f t="shared" si="104"/>
        <v xml:space="preserve"> </v>
      </c>
      <c r="W494" s="9" t="str">
        <f t="shared" si="101"/>
        <v/>
      </c>
      <c r="X494" s="32"/>
      <c r="Y494" s="36"/>
    </row>
    <row r="495" spans="1:25" s="4" customFormat="1" ht="18" customHeight="1">
      <c r="A495" s="36"/>
      <c r="B495" s="69">
        <v>127.04</v>
      </c>
      <c r="C495" s="69" t="s">
        <v>782</v>
      </c>
      <c r="D495" s="31" t="s">
        <v>794</v>
      </c>
      <c r="E495" s="29" t="s">
        <v>34</v>
      </c>
      <c r="F495" s="28">
        <v>1.6</v>
      </c>
      <c r="G495" s="29">
        <v>0.05</v>
      </c>
      <c r="H495" s="29">
        <v>-0.05</v>
      </c>
      <c r="I495" s="30" t="s">
        <v>39</v>
      </c>
      <c r="J495" s="12">
        <f t="shared" si="102"/>
        <v>1.6500000000000001</v>
      </c>
      <c r="K495" s="12">
        <f t="shared" si="103"/>
        <v>1.55</v>
      </c>
      <c r="L495" s="78"/>
      <c r="M495" s="78"/>
      <c r="N495" s="78"/>
      <c r="O495" s="36"/>
      <c r="P495" s="24" t="str">
        <f t="shared" si="95"/>
        <v xml:space="preserve"> </v>
      </c>
      <c r="Q495" s="25" t="str">
        <f t="shared" si="96"/>
        <v xml:space="preserve"> </v>
      </c>
      <c r="R495" s="25" t="str">
        <f t="shared" si="97"/>
        <v xml:space="preserve"> </v>
      </c>
      <c r="S495" s="26" t="str">
        <f t="shared" si="98"/>
        <v xml:space="preserve"> </v>
      </c>
      <c r="T495" s="7" t="str">
        <f t="shared" si="99"/>
        <v xml:space="preserve"> </v>
      </c>
      <c r="U495" s="8" t="str">
        <f t="shared" si="100"/>
        <v xml:space="preserve"> </v>
      </c>
      <c r="V495" s="9" t="str">
        <f t="shared" si="104"/>
        <v xml:space="preserve"> </v>
      </c>
      <c r="W495" s="9" t="str">
        <f t="shared" si="101"/>
        <v/>
      </c>
      <c r="X495" s="32"/>
      <c r="Y495" s="36"/>
    </row>
    <row r="496" spans="1:25" s="4" customFormat="1" ht="18" customHeight="1">
      <c r="A496" s="36"/>
      <c r="B496" s="69">
        <v>127.05</v>
      </c>
      <c r="C496" s="69" t="s">
        <v>783</v>
      </c>
      <c r="D496" s="31" t="s">
        <v>794</v>
      </c>
      <c r="E496" s="29" t="s">
        <v>34</v>
      </c>
      <c r="F496" s="28">
        <v>1.6</v>
      </c>
      <c r="G496" s="29">
        <v>0.05</v>
      </c>
      <c r="H496" s="29">
        <v>-0.05</v>
      </c>
      <c r="I496" s="30" t="s">
        <v>39</v>
      </c>
      <c r="J496" s="12">
        <f t="shared" si="102"/>
        <v>1.6500000000000001</v>
      </c>
      <c r="K496" s="12">
        <f t="shared" si="103"/>
        <v>1.55</v>
      </c>
      <c r="L496" s="78"/>
      <c r="M496" s="78"/>
      <c r="N496" s="78"/>
      <c r="O496" s="36"/>
      <c r="P496" s="24" t="str">
        <f t="shared" si="95"/>
        <v xml:space="preserve"> </v>
      </c>
      <c r="Q496" s="25" t="str">
        <f t="shared" si="96"/>
        <v xml:space="preserve"> </v>
      </c>
      <c r="R496" s="25" t="str">
        <f t="shared" si="97"/>
        <v xml:space="preserve"> </v>
      </c>
      <c r="S496" s="26" t="str">
        <f t="shared" si="98"/>
        <v xml:space="preserve"> </v>
      </c>
      <c r="T496" s="7" t="str">
        <f t="shared" si="99"/>
        <v xml:space="preserve"> </v>
      </c>
      <c r="U496" s="8" t="str">
        <f t="shared" si="100"/>
        <v xml:space="preserve"> </v>
      </c>
      <c r="V496" s="9" t="str">
        <f t="shared" si="104"/>
        <v xml:space="preserve"> </v>
      </c>
      <c r="W496" s="9" t="str">
        <f t="shared" si="101"/>
        <v/>
      </c>
      <c r="X496" s="32"/>
      <c r="Y496" s="36"/>
    </row>
    <row r="497" spans="1:25" s="4" customFormat="1" ht="18" customHeight="1">
      <c r="A497" s="36"/>
      <c r="B497" s="69">
        <v>127.06</v>
      </c>
      <c r="C497" s="69" t="s">
        <v>784</v>
      </c>
      <c r="D497" s="31" t="s">
        <v>794</v>
      </c>
      <c r="E497" s="29" t="s">
        <v>34</v>
      </c>
      <c r="F497" s="28">
        <v>1.6</v>
      </c>
      <c r="G497" s="29">
        <v>0.05</v>
      </c>
      <c r="H497" s="29">
        <v>-0.05</v>
      </c>
      <c r="I497" s="30" t="s">
        <v>39</v>
      </c>
      <c r="J497" s="12">
        <f t="shared" si="102"/>
        <v>1.6500000000000001</v>
      </c>
      <c r="K497" s="12">
        <f t="shared" si="103"/>
        <v>1.55</v>
      </c>
      <c r="L497" s="78"/>
      <c r="M497" s="78"/>
      <c r="N497" s="78"/>
      <c r="O497" s="36"/>
      <c r="P497" s="24" t="str">
        <f t="shared" si="95"/>
        <v xml:space="preserve"> </v>
      </c>
      <c r="Q497" s="25" t="str">
        <f t="shared" si="96"/>
        <v xml:space="preserve"> </v>
      </c>
      <c r="R497" s="25" t="str">
        <f t="shared" si="97"/>
        <v xml:space="preserve"> </v>
      </c>
      <c r="S497" s="26" t="str">
        <f t="shared" si="98"/>
        <v xml:space="preserve"> </v>
      </c>
      <c r="T497" s="7" t="str">
        <f t="shared" si="99"/>
        <v xml:space="preserve"> </v>
      </c>
      <c r="U497" s="8" t="str">
        <f t="shared" si="100"/>
        <v xml:space="preserve"> </v>
      </c>
      <c r="V497" s="9" t="str">
        <f t="shared" si="104"/>
        <v xml:space="preserve"> </v>
      </c>
      <c r="W497" s="9" t="str">
        <f t="shared" si="101"/>
        <v/>
      </c>
      <c r="X497" s="32"/>
      <c r="Y497" s="36"/>
    </row>
    <row r="498" spans="1:25" s="4" customFormat="1" ht="18" customHeight="1">
      <c r="A498" s="36"/>
      <c r="B498" s="69">
        <v>127.07</v>
      </c>
      <c r="C498" s="69" t="s">
        <v>785</v>
      </c>
      <c r="D498" s="31" t="s">
        <v>794</v>
      </c>
      <c r="E498" s="29" t="s">
        <v>34</v>
      </c>
      <c r="F498" s="28">
        <v>1.6</v>
      </c>
      <c r="G498" s="29">
        <v>0.05</v>
      </c>
      <c r="H498" s="29">
        <v>-0.05</v>
      </c>
      <c r="I498" s="30" t="s">
        <v>39</v>
      </c>
      <c r="J498" s="12">
        <f t="shared" si="102"/>
        <v>1.6500000000000001</v>
      </c>
      <c r="K498" s="12">
        <f t="shared" si="103"/>
        <v>1.55</v>
      </c>
      <c r="L498" s="78"/>
      <c r="M498" s="78"/>
      <c r="N498" s="78"/>
      <c r="O498" s="36"/>
      <c r="P498" s="24" t="str">
        <f t="shared" si="95"/>
        <v xml:space="preserve"> </v>
      </c>
      <c r="Q498" s="25" t="str">
        <f t="shared" si="96"/>
        <v xml:space="preserve"> </v>
      </c>
      <c r="R498" s="25" t="str">
        <f t="shared" si="97"/>
        <v xml:space="preserve"> </v>
      </c>
      <c r="S498" s="26" t="str">
        <f t="shared" si="98"/>
        <v xml:space="preserve"> </v>
      </c>
      <c r="T498" s="7" t="str">
        <f t="shared" si="99"/>
        <v xml:space="preserve"> </v>
      </c>
      <c r="U498" s="8" t="str">
        <f t="shared" si="100"/>
        <v xml:space="preserve"> </v>
      </c>
      <c r="V498" s="9" t="str">
        <f t="shared" si="104"/>
        <v xml:space="preserve"> </v>
      </c>
      <c r="W498" s="9" t="str">
        <f t="shared" si="101"/>
        <v/>
      </c>
      <c r="X498" s="32"/>
      <c r="Y498" s="36"/>
    </row>
    <row r="499" spans="1:25" s="4" customFormat="1" ht="18" customHeight="1">
      <c r="A499" s="36"/>
      <c r="B499" s="69">
        <v>127.08</v>
      </c>
      <c r="C499" s="69" t="s">
        <v>786</v>
      </c>
      <c r="D499" s="31" t="s">
        <v>794</v>
      </c>
      <c r="E499" s="29" t="s">
        <v>34</v>
      </c>
      <c r="F499" s="28">
        <v>1.6</v>
      </c>
      <c r="G499" s="29">
        <v>0.05</v>
      </c>
      <c r="H499" s="29">
        <v>-0.05</v>
      </c>
      <c r="I499" s="30" t="s">
        <v>39</v>
      </c>
      <c r="J499" s="12">
        <f t="shared" si="102"/>
        <v>1.6500000000000001</v>
      </c>
      <c r="K499" s="12">
        <f t="shared" si="103"/>
        <v>1.55</v>
      </c>
      <c r="L499" s="78"/>
      <c r="M499" s="78"/>
      <c r="N499" s="78"/>
      <c r="O499" s="36"/>
      <c r="P499" s="24" t="str">
        <f t="shared" si="95"/>
        <v xml:space="preserve"> </v>
      </c>
      <c r="Q499" s="25" t="str">
        <f t="shared" si="96"/>
        <v xml:space="preserve"> </v>
      </c>
      <c r="R499" s="25" t="str">
        <f t="shared" si="97"/>
        <v xml:space="preserve"> </v>
      </c>
      <c r="S499" s="26" t="str">
        <f t="shared" si="98"/>
        <v xml:space="preserve"> </v>
      </c>
      <c r="T499" s="7" t="str">
        <f t="shared" si="99"/>
        <v xml:space="preserve"> </v>
      </c>
      <c r="U499" s="8" t="str">
        <f t="shared" si="100"/>
        <v xml:space="preserve"> </v>
      </c>
      <c r="V499" s="9" t="str">
        <f t="shared" si="104"/>
        <v xml:space="preserve"> </v>
      </c>
      <c r="W499" s="9" t="str">
        <f t="shared" si="101"/>
        <v/>
      </c>
      <c r="X499" s="32"/>
      <c r="Y499" s="36"/>
    </row>
    <row r="500" spans="1:25" s="4" customFormat="1" ht="18" customHeight="1">
      <c r="A500" s="36"/>
      <c r="B500" s="69">
        <v>127.09</v>
      </c>
      <c r="C500" s="69" t="s">
        <v>787</v>
      </c>
      <c r="D500" s="31" t="s">
        <v>794</v>
      </c>
      <c r="E500" s="29" t="s">
        <v>34</v>
      </c>
      <c r="F500" s="28">
        <v>1.6</v>
      </c>
      <c r="G500" s="29">
        <v>0.05</v>
      </c>
      <c r="H500" s="29">
        <v>-0.05</v>
      </c>
      <c r="I500" s="30" t="s">
        <v>39</v>
      </c>
      <c r="J500" s="12">
        <f t="shared" si="102"/>
        <v>1.6500000000000001</v>
      </c>
      <c r="K500" s="12">
        <f t="shared" si="103"/>
        <v>1.55</v>
      </c>
      <c r="L500" s="78"/>
      <c r="M500" s="78"/>
      <c r="N500" s="78"/>
      <c r="O500" s="36"/>
      <c r="P500" s="24" t="str">
        <f t="shared" si="95"/>
        <v xml:space="preserve"> </v>
      </c>
      <c r="Q500" s="25" t="str">
        <f t="shared" si="96"/>
        <v xml:space="preserve"> </v>
      </c>
      <c r="R500" s="25" t="str">
        <f t="shared" si="97"/>
        <v xml:space="preserve"> </v>
      </c>
      <c r="S500" s="26" t="str">
        <f t="shared" si="98"/>
        <v xml:space="preserve"> </v>
      </c>
      <c r="T500" s="7" t="str">
        <f t="shared" si="99"/>
        <v xml:space="preserve"> </v>
      </c>
      <c r="U500" s="8" t="str">
        <f t="shared" si="100"/>
        <v xml:space="preserve"> </v>
      </c>
      <c r="V500" s="9" t="str">
        <f t="shared" si="104"/>
        <v xml:space="preserve"> </v>
      </c>
      <c r="W500" s="9" t="str">
        <f t="shared" si="101"/>
        <v/>
      </c>
      <c r="X500" s="32"/>
      <c r="Y500" s="36"/>
    </row>
    <row r="501" spans="1:25" s="4" customFormat="1" ht="18" customHeight="1">
      <c r="A501" s="36"/>
      <c r="B501" s="69" t="s">
        <v>943</v>
      </c>
      <c r="C501" s="69" t="s">
        <v>788</v>
      </c>
      <c r="D501" s="31" t="s">
        <v>794</v>
      </c>
      <c r="E501" s="29" t="s">
        <v>34</v>
      </c>
      <c r="F501" s="28">
        <v>1.6</v>
      </c>
      <c r="G501" s="29">
        <v>0.05</v>
      </c>
      <c r="H501" s="29">
        <v>-0.05</v>
      </c>
      <c r="I501" s="30" t="s">
        <v>39</v>
      </c>
      <c r="J501" s="12">
        <f t="shared" si="102"/>
        <v>1.6500000000000001</v>
      </c>
      <c r="K501" s="12">
        <f t="shared" si="103"/>
        <v>1.55</v>
      </c>
      <c r="L501" s="78"/>
      <c r="M501" s="78"/>
      <c r="N501" s="78"/>
      <c r="O501" s="36"/>
      <c r="P501" s="24" t="str">
        <f t="shared" si="95"/>
        <v xml:space="preserve"> </v>
      </c>
      <c r="Q501" s="25" t="str">
        <f t="shared" si="96"/>
        <v xml:space="preserve"> </v>
      </c>
      <c r="R501" s="25" t="str">
        <f t="shared" si="97"/>
        <v xml:space="preserve"> </v>
      </c>
      <c r="S501" s="26" t="str">
        <f t="shared" si="98"/>
        <v xml:space="preserve"> </v>
      </c>
      <c r="T501" s="7" t="str">
        <f t="shared" si="99"/>
        <v xml:space="preserve"> </v>
      </c>
      <c r="U501" s="8" t="str">
        <f t="shared" si="100"/>
        <v xml:space="preserve"> </v>
      </c>
      <c r="V501" s="9" t="str">
        <f t="shared" si="104"/>
        <v xml:space="preserve"> </v>
      </c>
      <c r="W501" s="9" t="str">
        <f t="shared" si="101"/>
        <v/>
      </c>
      <c r="X501" s="32"/>
      <c r="Y501" s="36"/>
    </row>
    <row r="502" spans="1:25" s="4" customFormat="1" ht="18" customHeight="1">
      <c r="A502" s="36"/>
      <c r="B502" s="69">
        <v>127.11</v>
      </c>
      <c r="C502" s="69" t="s">
        <v>789</v>
      </c>
      <c r="D502" s="31" t="s">
        <v>794</v>
      </c>
      <c r="E502" s="29" t="s">
        <v>34</v>
      </c>
      <c r="F502" s="28">
        <v>1.6</v>
      </c>
      <c r="G502" s="29">
        <v>0.05</v>
      </c>
      <c r="H502" s="29">
        <v>-0.05</v>
      </c>
      <c r="I502" s="30" t="s">
        <v>39</v>
      </c>
      <c r="J502" s="12">
        <f t="shared" si="102"/>
        <v>1.6500000000000001</v>
      </c>
      <c r="K502" s="12">
        <f t="shared" si="103"/>
        <v>1.55</v>
      </c>
      <c r="L502" s="78"/>
      <c r="M502" s="78"/>
      <c r="N502" s="78"/>
      <c r="O502" s="36"/>
      <c r="P502" s="24" t="str">
        <f t="shared" si="95"/>
        <v xml:space="preserve"> </v>
      </c>
      <c r="Q502" s="25" t="str">
        <f t="shared" si="96"/>
        <v xml:space="preserve"> </v>
      </c>
      <c r="R502" s="25" t="str">
        <f t="shared" si="97"/>
        <v xml:space="preserve"> </v>
      </c>
      <c r="S502" s="26" t="str">
        <f t="shared" si="98"/>
        <v xml:space="preserve"> </v>
      </c>
      <c r="T502" s="7" t="str">
        <f t="shared" si="99"/>
        <v xml:space="preserve"> </v>
      </c>
      <c r="U502" s="8" t="str">
        <f t="shared" si="100"/>
        <v xml:space="preserve"> </v>
      </c>
      <c r="V502" s="9" t="str">
        <f t="shared" si="104"/>
        <v xml:space="preserve"> </v>
      </c>
      <c r="W502" s="9" t="str">
        <f t="shared" si="101"/>
        <v/>
      </c>
      <c r="X502" s="32"/>
      <c r="Y502" s="36"/>
    </row>
    <row r="503" spans="1:25" s="4" customFormat="1" ht="18" customHeight="1">
      <c r="A503" s="36"/>
      <c r="B503" s="69">
        <v>127.12</v>
      </c>
      <c r="C503" s="69" t="s">
        <v>790</v>
      </c>
      <c r="D503" s="31" t="s">
        <v>794</v>
      </c>
      <c r="E503" s="29" t="s">
        <v>34</v>
      </c>
      <c r="F503" s="28">
        <v>1.6</v>
      </c>
      <c r="G503" s="29">
        <v>0.05</v>
      </c>
      <c r="H503" s="29">
        <v>-0.05</v>
      </c>
      <c r="I503" s="30" t="s">
        <v>39</v>
      </c>
      <c r="J503" s="12">
        <f t="shared" si="102"/>
        <v>1.6500000000000001</v>
      </c>
      <c r="K503" s="12">
        <f t="shared" si="103"/>
        <v>1.55</v>
      </c>
      <c r="L503" s="78"/>
      <c r="M503" s="78"/>
      <c r="N503" s="78"/>
      <c r="O503" s="36"/>
      <c r="P503" s="24" t="str">
        <f t="shared" si="95"/>
        <v xml:space="preserve"> </v>
      </c>
      <c r="Q503" s="25" t="str">
        <f t="shared" si="96"/>
        <v xml:space="preserve"> </v>
      </c>
      <c r="R503" s="25" t="str">
        <f t="shared" si="97"/>
        <v xml:space="preserve"> </v>
      </c>
      <c r="S503" s="26" t="str">
        <f t="shared" si="98"/>
        <v xml:space="preserve"> </v>
      </c>
      <c r="T503" s="7" t="str">
        <f t="shared" si="99"/>
        <v xml:space="preserve"> </v>
      </c>
      <c r="U503" s="8" t="str">
        <f t="shared" si="100"/>
        <v xml:space="preserve"> </v>
      </c>
      <c r="V503" s="9" t="str">
        <f t="shared" si="104"/>
        <v xml:space="preserve"> </v>
      </c>
      <c r="W503" s="9" t="str">
        <f t="shared" si="101"/>
        <v/>
      </c>
      <c r="X503" s="32"/>
      <c r="Y503" s="36"/>
    </row>
    <row r="504" spans="1:25" s="4" customFormat="1" ht="18" customHeight="1">
      <c r="A504" s="36"/>
      <c r="B504" s="69">
        <v>127.13</v>
      </c>
      <c r="C504" s="69" t="s">
        <v>791</v>
      </c>
      <c r="D504" s="31" t="s">
        <v>794</v>
      </c>
      <c r="E504" s="29" t="s">
        <v>34</v>
      </c>
      <c r="F504" s="28">
        <v>1.6</v>
      </c>
      <c r="G504" s="29">
        <v>0.05</v>
      </c>
      <c r="H504" s="29">
        <v>-0.05</v>
      </c>
      <c r="I504" s="30" t="s">
        <v>39</v>
      </c>
      <c r="J504" s="12">
        <f t="shared" si="102"/>
        <v>1.6500000000000001</v>
      </c>
      <c r="K504" s="12">
        <f t="shared" si="103"/>
        <v>1.55</v>
      </c>
      <c r="L504" s="78"/>
      <c r="M504" s="78"/>
      <c r="N504" s="78"/>
      <c r="O504" s="36"/>
      <c r="P504" s="24" t="str">
        <f t="shared" si="95"/>
        <v xml:space="preserve"> </v>
      </c>
      <c r="Q504" s="25" t="str">
        <f t="shared" si="96"/>
        <v xml:space="preserve"> </v>
      </c>
      <c r="R504" s="25" t="str">
        <f t="shared" si="97"/>
        <v xml:space="preserve"> </v>
      </c>
      <c r="S504" s="26" t="str">
        <f t="shared" si="98"/>
        <v xml:space="preserve"> </v>
      </c>
      <c r="T504" s="7" t="str">
        <f t="shared" si="99"/>
        <v xml:space="preserve"> </v>
      </c>
      <c r="U504" s="8" t="str">
        <f t="shared" si="100"/>
        <v xml:space="preserve"> </v>
      </c>
      <c r="V504" s="9" t="str">
        <f t="shared" si="104"/>
        <v xml:space="preserve"> </v>
      </c>
      <c r="W504" s="9" t="str">
        <f t="shared" si="101"/>
        <v/>
      </c>
      <c r="X504" s="32"/>
      <c r="Y504" s="36"/>
    </row>
    <row r="505" spans="1:25" s="4" customFormat="1" ht="18" customHeight="1">
      <c r="A505" s="36"/>
      <c r="B505" s="69">
        <v>127.14</v>
      </c>
      <c r="C505" s="69" t="s">
        <v>792</v>
      </c>
      <c r="D505" s="31" t="s">
        <v>794</v>
      </c>
      <c r="E505" s="29" t="s">
        <v>34</v>
      </c>
      <c r="F505" s="28">
        <v>1.6</v>
      </c>
      <c r="G505" s="29">
        <v>0.05</v>
      </c>
      <c r="H505" s="29">
        <v>-0.05</v>
      </c>
      <c r="I505" s="30" t="s">
        <v>39</v>
      </c>
      <c r="J505" s="12">
        <f t="shared" si="102"/>
        <v>1.6500000000000001</v>
      </c>
      <c r="K505" s="12">
        <f t="shared" si="103"/>
        <v>1.55</v>
      </c>
      <c r="L505" s="78"/>
      <c r="M505" s="78"/>
      <c r="N505" s="78"/>
      <c r="O505" s="36"/>
      <c r="P505" s="24" t="str">
        <f t="shared" si="95"/>
        <v xml:space="preserve"> </v>
      </c>
      <c r="Q505" s="25" t="str">
        <f t="shared" si="96"/>
        <v xml:space="preserve"> </v>
      </c>
      <c r="R505" s="25" t="str">
        <f t="shared" si="97"/>
        <v xml:space="preserve"> </v>
      </c>
      <c r="S505" s="26" t="str">
        <f t="shared" si="98"/>
        <v xml:space="preserve"> </v>
      </c>
      <c r="T505" s="7" t="str">
        <f t="shared" si="99"/>
        <v xml:space="preserve"> </v>
      </c>
      <c r="U505" s="8" t="str">
        <f t="shared" si="100"/>
        <v xml:space="preserve"> </v>
      </c>
      <c r="V505" s="9" t="str">
        <f t="shared" si="104"/>
        <v xml:space="preserve"> </v>
      </c>
      <c r="W505" s="9" t="str">
        <f t="shared" si="101"/>
        <v/>
      </c>
      <c r="X505" s="32"/>
      <c r="Y505" s="36"/>
    </row>
    <row r="506" spans="1:25" s="4" customFormat="1" ht="18" customHeight="1">
      <c r="A506" s="36"/>
      <c r="B506" s="69">
        <v>127.15</v>
      </c>
      <c r="C506" s="69" t="s">
        <v>793</v>
      </c>
      <c r="D506" s="31" t="s">
        <v>794</v>
      </c>
      <c r="E506" s="29" t="s">
        <v>34</v>
      </c>
      <c r="F506" s="28">
        <v>1.6</v>
      </c>
      <c r="G506" s="29">
        <v>0.05</v>
      </c>
      <c r="H506" s="29">
        <v>-0.05</v>
      </c>
      <c r="I506" s="30" t="s">
        <v>39</v>
      </c>
      <c r="J506" s="12">
        <f t="shared" si="102"/>
        <v>1.6500000000000001</v>
      </c>
      <c r="K506" s="12">
        <f t="shared" si="103"/>
        <v>1.55</v>
      </c>
      <c r="L506" s="78"/>
      <c r="M506" s="78"/>
      <c r="N506" s="78"/>
      <c r="O506" s="36"/>
      <c r="P506" s="24" t="str">
        <f t="shared" si="95"/>
        <v xml:space="preserve"> </v>
      </c>
      <c r="Q506" s="25" t="str">
        <f t="shared" si="96"/>
        <v xml:space="preserve"> </v>
      </c>
      <c r="R506" s="25" t="str">
        <f t="shared" si="97"/>
        <v xml:space="preserve"> </v>
      </c>
      <c r="S506" s="26" t="str">
        <f t="shared" si="98"/>
        <v xml:space="preserve"> </v>
      </c>
      <c r="T506" s="7" t="str">
        <f t="shared" si="99"/>
        <v xml:space="preserve"> </v>
      </c>
      <c r="U506" s="8" t="str">
        <f t="shared" si="100"/>
        <v xml:space="preserve"> </v>
      </c>
      <c r="V506" s="9" t="str">
        <f t="shared" si="104"/>
        <v xml:space="preserve"> </v>
      </c>
      <c r="W506" s="9" t="str">
        <f t="shared" si="101"/>
        <v/>
      </c>
      <c r="X506" s="32"/>
      <c r="Y506" s="36"/>
    </row>
    <row r="507" spans="1:25" s="4" customFormat="1" ht="18" customHeight="1">
      <c r="A507" s="36"/>
      <c r="B507" s="69">
        <v>128.01</v>
      </c>
      <c r="C507" s="69" t="s">
        <v>795</v>
      </c>
      <c r="D507" s="31" t="s">
        <v>794</v>
      </c>
      <c r="E507" s="29" t="s">
        <v>34</v>
      </c>
      <c r="F507" s="28">
        <v>0.6</v>
      </c>
      <c r="G507" s="29">
        <v>0.05</v>
      </c>
      <c r="H507" s="29">
        <v>-0.05</v>
      </c>
      <c r="I507" s="30" t="s">
        <v>39</v>
      </c>
      <c r="J507" s="12">
        <f t="shared" si="102"/>
        <v>0.65</v>
      </c>
      <c r="K507" s="12">
        <f t="shared" si="103"/>
        <v>0.54999999999999993</v>
      </c>
      <c r="L507" s="78"/>
      <c r="M507" s="78"/>
      <c r="N507" s="78"/>
      <c r="O507" s="36"/>
      <c r="P507" s="24" t="str">
        <f t="shared" si="95"/>
        <v xml:space="preserve"> </v>
      </c>
      <c r="Q507" s="25" t="str">
        <f t="shared" si="96"/>
        <v xml:space="preserve"> </v>
      </c>
      <c r="R507" s="25" t="str">
        <f t="shared" si="97"/>
        <v xml:space="preserve"> </v>
      </c>
      <c r="S507" s="26" t="str">
        <f t="shared" si="98"/>
        <v xml:space="preserve"> </v>
      </c>
      <c r="T507" s="7" t="str">
        <f t="shared" si="99"/>
        <v xml:space="preserve"> </v>
      </c>
      <c r="U507" s="8" t="str">
        <f t="shared" si="100"/>
        <v xml:space="preserve"> </v>
      </c>
      <c r="V507" s="9" t="str">
        <f t="shared" si="104"/>
        <v xml:space="preserve"> </v>
      </c>
      <c r="W507" s="9" t="str">
        <f t="shared" si="101"/>
        <v/>
      </c>
      <c r="X507" s="32"/>
      <c r="Y507" s="36"/>
    </row>
    <row r="508" spans="1:25" s="4" customFormat="1" ht="18" customHeight="1">
      <c r="A508" s="36"/>
      <c r="B508" s="69">
        <v>128.02000000000001</v>
      </c>
      <c r="C508" s="69" t="s">
        <v>796</v>
      </c>
      <c r="D508" s="31" t="s">
        <v>794</v>
      </c>
      <c r="E508" s="29" t="s">
        <v>34</v>
      </c>
      <c r="F508" s="28">
        <v>0.6</v>
      </c>
      <c r="G508" s="29">
        <v>0.05</v>
      </c>
      <c r="H508" s="29">
        <v>-0.05</v>
      </c>
      <c r="I508" s="30" t="s">
        <v>39</v>
      </c>
      <c r="J508" s="12">
        <f t="shared" si="102"/>
        <v>0.65</v>
      </c>
      <c r="K508" s="12">
        <f t="shared" si="103"/>
        <v>0.54999999999999993</v>
      </c>
      <c r="L508" s="78"/>
      <c r="M508" s="78"/>
      <c r="N508" s="78"/>
      <c r="O508" s="36"/>
      <c r="P508" s="24" t="str">
        <f t="shared" si="95"/>
        <v xml:space="preserve"> </v>
      </c>
      <c r="Q508" s="25" t="str">
        <f t="shared" si="96"/>
        <v xml:space="preserve"> </v>
      </c>
      <c r="R508" s="25" t="str">
        <f t="shared" si="97"/>
        <v xml:space="preserve"> </v>
      </c>
      <c r="S508" s="26" t="str">
        <f t="shared" si="98"/>
        <v xml:space="preserve"> </v>
      </c>
      <c r="T508" s="7" t="str">
        <f t="shared" si="99"/>
        <v xml:space="preserve"> </v>
      </c>
      <c r="U508" s="8" t="str">
        <f t="shared" si="100"/>
        <v xml:space="preserve"> </v>
      </c>
      <c r="V508" s="9" t="str">
        <f t="shared" si="104"/>
        <v xml:space="preserve"> </v>
      </c>
      <c r="W508" s="9" t="str">
        <f t="shared" si="101"/>
        <v/>
      </c>
      <c r="X508" s="32"/>
      <c r="Y508" s="36"/>
    </row>
    <row r="509" spans="1:25" s="4" customFormat="1" ht="18" customHeight="1">
      <c r="A509" s="36"/>
      <c r="B509" s="69">
        <v>128.03</v>
      </c>
      <c r="C509" s="69" t="s">
        <v>797</v>
      </c>
      <c r="D509" s="31" t="s">
        <v>794</v>
      </c>
      <c r="E509" s="29" t="s">
        <v>34</v>
      </c>
      <c r="F509" s="28">
        <v>0.6</v>
      </c>
      <c r="G509" s="29">
        <v>0.05</v>
      </c>
      <c r="H509" s="29">
        <v>-0.05</v>
      </c>
      <c r="I509" s="30" t="s">
        <v>39</v>
      </c>
      <c r="J509" s="12">
        <f t="shared" si="102"/>
        <v>0.65</v>
      </c>
      <c r="K509" s="12">
        <f t="shared" si="103"/>
        <v>0.54999999999999993</v>
      </c>
      <c r="L509" s="78"/>
      <c r="M509" s="78"/>
      <c r="N509" s="78"/>
      <c r="O509" s="36"/>
      <c r="P509" s="24" t="str">
        <f t="shared" si="95"/>
        <v xml:space="preserve"> </v>
      </c>
      <c r="Q509" s="25" t="str">
        <f t="shared" si="96"/>
        <v xml:space="preserve"> </v>
      </c>
      <c r="R509" s="25" t="str">
        <f t="shared" si="97"/>
        <v xml:space="preserve"> </v>
      </c>
      <c r="S509" s="26" t="str">
        <f t="shared" si="98"/>
        <v xml:space="preserve"> </v>
      </c>
      <c r="T509" s="7" t="str">
        <f t="shared" si="99"/>
        <v xml:space="preserve"> </v>
      </c>
      <c r="U509" s="8" t="str">
        <f t="shared" si="100"/>
        <v xml:space="preserve"> </v>
      </c>
      <c r="V509" s="9" t="str">
        <f t="shared" si="104"/>
        <v xml:space="preserve"> </v>
      </c>
      <c r="W509" s="9" t="str">
        <f t="shared" si="101"/>
        <v/>
      </c>
      <c r="X509" s="32"/>
      <c r="Y509" s="36"/>
    </row>
    <row r="510" spans="1:25" s="4" customFormat="1" ht="18" customHeight="1">
      <c r="A510" s="36"/>
      <c r="B510" s="69">
        <v>128.04</v>
      </c>
      <c r="C510" s="69" t="s">
        <v>798</v>
      </c>
      <c r="D510" s="31" t="s">
        <v>794</v>
      </c>
      <c r="E510" s="29" t="s">
        <v>34</v>
      </c>
      <c r="F510" s="28">
        <v>0.6</v>
      </c>
      <c r="G510" s="29">
        <v>0.05</v>
      </c>
      <c r="H510" s="29">
        <v>-0.05</v>
      </c>
      <c r="I510" s="30" t="s">
        <v>39</v>
      </c>
      <c r="J510" s="12">
        <f t="shared" si="102"/>
        <v>0.65</v>
      </c>
      <c r="K510" s="12">
        <f t="shared" si="103"/>
        <v>0.54999999999999993</v>
      </c>
      <c r="L510" s="78"/>
      <c r="M510" s="78"/>
      <c r="N510" s="78"/>
      <c r="O510" s="36"/>
      <c r="P510" s="24" t="str">
        <f t="shared" si="95"/>
        <v xml:space="preserve"> </v>
      </c>
      <c r="Q510" s="25" t="str">
        <f t="shared" si="96"/>
        <v xml:space="preserve"> </v>
      </c>
      <c r="R510" s="25" t="str">
        <f t="shared" si="97"/>
        <v xml:space="preserve"> </v>
      </c>
      <c r="S510" s="26" t="str">
        <f t="shared" si="98"/>
        <v xml:space="preserve"> </v>
      </c>
      <c r="T510" s="7" t="str">
        <f t="shared" si="99"/>
        <v xml:space="preserve"> </v>
      </c>
      <c r="U510" s="8" t="str">
        <f t="shared" si="100"/>
        <v xml:space="preserve"> </v>
      </c>
      <c r="V510" s="9" t="str">
        <f t="shared" si="104"/>
        <v xml:space="preserve"> </v>
      </c>
      <c r="W510" s="9" t="str">
        <f t="shared" si="101"/>
        <v/>
      </c>
      <c r="X510" s="32"/>
      <c r="Y510" s="36"/>
    </row>
    <row r="511" spans="1:25" s="4" customFormat="1" ht="18" customHeight="1">
      <c r="A511" s="36"/>
      <c r="B511" s="69">
        <v>128.05000000000001</v>
      </c>
      <c r="C511" s="69" t="s">
        <v>799</v>
      </c>
      <c r="D511" s="31" t="s">
        <v>794</v>
      </c>
      <c r="E511" s="29" t="s">
        <v>34</v>
      </c>
      <c r="F511" s="28">
        <v>0.6</v>
      </c>
      <c r="G511" s="29">
        <v>0.05</v>
      </c>
      <c r="H511" s="29">
        <v>-0.05</v>
      </c>
      <c r="I511" s="30" t="s">
        <v>39</v>
      </c>
      <c r="J511" s="12">
        <f t="shared" si="102"/>
        <v>0.65</v>
      </c>
      <c r="K511" s="12">
        <f t="shared" si="103"/>
        <v>0.54999999999999993</v>
      </c>
      <c r="L511" s="78"/>
      <c r="M511" s="78"/>
      <c r="N511" s="78"/>
      <c r="O511" s="36"/>
      <c r="P511" s="24" t="str">
        <f t="shared" si="95"/>
        <v xml:space="preserve"> </v>
      </c>
      <c r="Q511" s="25" t="str">
        <f t="shared" si="96"/>
        <v xml:space="preserve"> </v>
      </c>
      <c r="R511" s="25" t="str">
        <f t="shared" si="97"/>
        <v xml:space="preserve"> </v>
      </c>
      <c r="S511" s="26" t="str">
        <f t="shared" si="98"/>
        <v xml:space="preserve"> </v>
      </c>
      <c r="T511" s="7" t="str">
        <f t="shared" si="99"/>
        <v xml:space="preserve"> </v>
      </c>
      <c r="U511" s="8" t="str">
        <f t="shared" si="100"/>
        <v xml:space="preserve"> </v>
      </c>
      <c r="V511" s="9" t="str">
        <f t="shared" si="104"/>
        <v xml:space="preserve"> </v>
      </c>
      <c r="W511" s="9" t="str">
        <f t="shared" si="101"/>
        <v/>
      </c>
      <c r="X511" s="32"/>
      <c r="Y511" s="36"/>
    </row>
    <row r="512" spans="1:25" s="4" customFormat="1" ht="18" customHeight="1">
      <c r="A512" s="36"/>
      <c r="B512" s="69">
        <v>128.06</v>
      </c>
      <c r="C512" s="69" t="s">
        <v>800</v>
      </c>
      <c r="D512" s="31" t="s">
        <v>794</v>
      </c>
      <c r="E512" s="29" t="s">
        <v>34</v>
      </c>
      <c r="F512" s="28">
        <v>0.6</v>
      </c>
      <c r="G512" s="29">
        <v>0.05</v>
      </c>
      <c r="H512" s="29">
        <v>-0.05</v>
      </c>
      <c r="I512" s="30" t="s">
        <v>39</v>
      </c>
      <c r="J512" s="12">
        <f t="shared" si="102"/>
        <v>0.65</v>
      </c>
      <c r="K512" s="12">
        <f t="shared" si="103"/>
        <v>0.54999999999999993</v>
      </c>
      <c r="L512" s="78"/>
      <c r="M512" s="78"/>
      <c r="N512" s="78"/>
      <c r="O512" s="36"/>
      <c r="P512" s="24" t="str">
        <f t="shared" si="95"/>
        <v xml:space="preserve"> </v>
      </c>
      <c r="Q512" s="25" t="str">
        <f t="shared" si="96"/>
        <v xml:space="preserve"> </v>
      </c>
      <c r="R512" s="25" t="str">
        <f t="shared" si="97"/>
        <v xml:space="preserve"> </v>
      </c>
      <c r="S512" s="26" t="str">
        <f t="shared" si="98"/>
        <v xml:space="preserve"> </v>
      </c>
      <c r="T512" s="7" t="str">
        <f t="shared" si="99"/>
        <v xml:space="preserve"> </v>
      </c>
      <c r="U512" s="8" t="str">
        <f t="shared" si="100"/>
        <v xml:space="preserve"> </v>
      </c>
      <c r="V512" s="9" t="str">
        <f t="shared" si="104"/>
        <v xml:space="preserve"> </v>
      </c>
      <c r="W512" s="9" t="str">
        <f t="shared" si="101"/>
        <v/>
      </c>
      <c r="X512" s="32"/>
      <c r="Y512" s="36"/>
    </row>
    <row r="513" spans="1:25" s="4" customFormat="1" ht="18" customHeight="1">
      <c r="A513" s="36"/>
      <c r="B513" s="69">
        <v>128.07</v>
      </c>
      <c r="C513" s="69" t="s">
        <v>801</v>
      </c>
      <c r="D513" s="31" t="s">
        <v>794</v>
      </c>
      <c r="E513" s="29" t="s">
        <v>34</v>
      </c>
      <c r="F513" s="28">
        <v>0.6</v>
      </c>
      <c r="G513" s="29">
        <v>0.1</v>
      </c>
      <c r="H513" s="29">
        <v>-0.1</v>
      </c>
      <c r="I513" s="30" t="s">
        <v>39</v>
      </c>
      <c r="J513" s="12">
        <f t="shared" si="102"/>
        <v>0.7</v>
      </c>
      <c r="K513" s="12">
        <f t="shared" si="103"/>
        <v>0.5</v>
      </c>
      <c r="L513" s="78"/>
      <c r="M513" s="78"/>
      <c r="N513" s="78"/>
      <c r="O513" s="36"/>
      <c r="P513" s="24" t="str">
        <f t="shared" si="95"/>
        <v xml:space="preserve"> </v>
      </c>
      <c r="Q513" s="25" t="str">
        <f t="shared" si="96"/>
        <v xml:space="preserve"> </v>
      </c>
      <c r="R513" s="25" t="str">
        <f t="shared" si="97"/>
        <v xml:space="preserve"> </v>
      </c>
      <c r="S513" s="26" t="str">
        <f t="shared" si="98"/>
        <v xml:space="preserve"> </v>
      </c>
      <c r="T513" s="7" t="str">
        <f t="shared" si="99"/>
        <v xml:space="preserve"> </v>
      </c>
      <c r="U513" s="8" t="str">
        <f t="shared" si="100"/>
        <v xml:space="preserve"> </v>
      </c>
      <c r="V513" s="9" t="str">
        <f t="shared" si="104"/>
        <v xml:space="preserve"> </v>
      </c>
      <c r="W513" s="9" t="str">
        <f t="shared" si="101"/>
        <v/>
      </c>
      <c r="X513" s="32"/>
      <c r="Y513" s="36"/>
    </row>
    <row r="514" spans="1:25" s="4" customFormat="1" ht="18" customHeight="1">
      <c r="A514" s="36"/>
      <c r="B514" s="69">
        <v>128.08000000000001</v>
      </c>
      <c r="C514" s="69" t="s">
        <v>802</v>
      </c>
      <c r="D514" s="31" t="s">
        <v>794</v>
      </c>
      <c r="E514" s="29" t="s">
        <v>34</v>
      </c>
      <c r="F514" s="28">
        <v>0.6</v>
      </c>
      <c r="G514" s="29">
        <v>0.1</v>
      </c>
      <c r="H514" s="29">
        <v>-0.1</v>
      </c>
      <c r="I514" s="30" t="s">
        <v>39</v>
      </c>
      <c r="J514" s="12">
        <f t="shared" si="102"/>
        <v>0.7</v>
      </c>
      <c r="K514" s="12">
        <f t="shared" si="103"/>
        <v>0.5</v>
      </c>
      <c r="L514" s="78"/>
      <c r="M514" s="78"/>
      <c r="N514" s="78"/>
      <c r="O514" s="36"/>
      <c r="P514" s="24" t="str">
        <f t="shared" si="95"/>
        <v xml:space="preserve"> </v>
      </c>
      <c r="Q514" s="25" t="str">
        <f t="shared" si="96"/>
        <v xml:space="preserve"> </v>
      </c>
      <c r="R514" s="25" t="str">
        <f t="shared" si="97"/>
        <v xml:space="preserve"> </v>
      </c>
      <c r="S514" s="26" t="str">
        <f t="shared" si="98"/>
        <v xml:space="preserve"> </v>
      </c>
      <c r="T514" s="7" t="str">
        <f t="shared" si="99"/>
        <v xml:space="preserve"> </v>
      </c>
      <c r="U514" s="8" t="str">
        <f t="shared" si="100"/>
        <v xml:space="preserve"> </v>
      </c>
      <c r="V514" s="9" t="str">
        <f t="shared" si="104"/>
        <v xml:space="preserve"> </v>
      </c>
      <c r="W514" s="9" t="str">
        <f t="shared" si="101"/>
        <v/>
      </c>
      <c r="X514" s="32"/>
      <c r="Y514" s="36"/>
    </row>
    <row r="515" spans="1:25" s="4" customFormat="1" ht="18" customHeight="1">
      <c r="A515" s="36"/>
      <c r="B515" s="69">
        <v>128.09</v>
      </c>
      <c r="C515" s="69" t="s">
        <v>803</v>
      </c>
      <c r="D515" s="31" t="s">
        <v>794</v>
      </c>
      <c r="E515" s="29" t="s">
        <v>34</v>
      </c>
      <c r="F515" s="28">
        <v>0.6</v>
      </c>
      <c r="G515" s="29">
        <v>0.1</v>
      </c>
      <c r="H515" s="29">
        <v>-0.1</v>
      </c>
      <c r="I515" s="30" t="s">
        <v>39</v>
      </c>
      <c r="J515" s="12">
        <f t="shared" si="102"/>
        <v>0.7</v>
      </c>
      <c r="K515" s="12">
        <f t="shared" si="103"/>
        <v>0.5</v>
      </c>
      <c r="L515" s="78"/>
      <c r="M515" s="78"/>
      <c r="N515" s="78"/>
      <c r="O515" s="36"/>
      <c r="P515" s="24" t="str">
        <f t="shared" ref="P515:P692" si="105">IF(ISERR(L515/L515)=TRUE," ",L515-$F515)</f>
        <v xml:space="preserve"> </v>
      </c>
      <c r="Q515" s="25" t="str">
        <f t="shared" ref="Q515:Q692" si="106">IF(ISERR(M515/M515)=TRUE," ",M515-$F515)</f>
        <v xml:space="preserve"> </v>
      </c>
      <c r="R515" s="25" t="str">
        <f t="shared" ref="R515:R692" si="107">IF(ISERR(N515/N515)=TRUE," ",N515-$F515)</f>
        <v xml:space="preserve"> </v>
      </c>
      <c r="S515" s="26" t="str">
        <f t="shared" ref="S515:S692" si="108">IF(ISERR(L515/L515)=TRUE," ",AVERAGE(L515:N515))</f>
        <v xml:space="preserve"> </v>
      </c>
      <c r="T515" s="7" t="str">
        <f t="shared" ref="T515:T692" si="109">IF(ISERR(G515/G515)=TRUE," ",IF(ISERR(L515/L515)=TRUE," ",IF(ISNUMBER($L515)=FALSE," ",IF(MAX($L515:$N515)&lt;$F515,0,(MAX($L515:$N515)-$F515)/$G515))))</f>
        <v xml:space="preserve"> </v>
      </c>
      <c r="U515" s="8" t="str">
        <f t="shared" ref="U515:U692" si="110">IF(ISERR(H515/F515)=TRUE," ",IF(ISERR(H515/H515)=TRUE," ",IF(ISERR(L515/L515)=TRUE," ",IF(ISNUMBER(L515)=FALSE," ",IF(MIN(L515:N515)&gt;$F515,0,($F515-MIN(L515:N515))/-H515)))))</f>
        <v xml:space="preserve"> </v>
      </c>
      <c r="V515" s="9" t="str">
        <f t="shared" si="104"/>
        <v xml:space="preserve"> </v>
      </c>
      <c r="W515" s="9" t="str">
        <f t="shared" ref="W515:W692" si="111">IF(L515="","",IF(ISERR(H515/H515)=TRUE," ",IF(ISERR(H515/F515)=TRUE,IF((H515-MIN(L515:N515))&gt;0.001,"Reject",""),IF(ISNUMBER($U515)=TRUE,IF($U515&gt;0.651,IF($U515&gt;1.001,"Reject","Alert")," ")," "))))</f>
        <v/>
      </c>
      <c r="X515" s="32"/>
      <c r="Y515" s="36"/>
    </row>
    <row r="516" spans="1:25" s="4" customFormat="1" ht="18" customHeight="1">
      <c r="A516" s="36"/>
      <c r="B516" s="69" t="s">
        <v>944</v>
      </c>
      <c r="C516" s="69" t="s">
        <v>804</v>
      </c>
      <c r="D516" s="31" t="s">
        <v>794</v>
      </c>
      <c r="E516" s="29" t="s">
        <v>34</v>
      </c>
      <c r="F516" s="28">
        <v>0.6</v>
      </c>
      <c r="G516" s="29">
        <v>0.1</v>
      </c>
      <c r="H516" s="29">
        <v>-0.1</v>
      </c>
      <c r="I516" s="30" t="s">
        <v>39</v>
      </c>
      <c r="J516" s="12">
        <f t="shared" si="102"/>
        <v>0.7</v>
      </c>
      <c r="K516" s="12">
        <f t="shared" si="103"/>
        <v>0.5</v>
      </c>
      <c r="L516" s="78"/>
      <c r="M516" s="78"/>
      <c r="N516" s="78"/>
      <c r="O516" s="36"/>
      <c r="P516" s="24" t="str">
        <f t="shared" si="105"/>
        <v xml:space="preserve"> </v>
      </c>
      <c r="Q516" s="25" t="str">
        <f t="shared" si="106"/>
        <v xml:space="preserve"> </v>
      </c>
      <c r="R516" s="25" t="str">
        <f t="shared" si="107"/>
        <v xml:space="preserve"> </v>
      </c>
      <c r="S516" s="26" t="str">
        <f t="shared" si="108"/>
        <v xml:space="preserve"> </v>
      </c>
      <c r="T516" s="7" t="str">
        <f t="shared" si="109"/>
        <v xml:space="preserve"> </v>
      </c>
      <c r="U516" s="8" t="str">
        <f t="shared" si="110"/>
        <v xml:space="preserve"> </v>
      </c>
      <c r="V516" s="9" t="str">
        <f t="shared" si="104"/>
        <v xml:space="preserve"> </v>
      </c>
      <c r="W516" s="9" t="str">
        <f t="shared" si="111"/>
        <v/>
      </c>
      <c r="X516" s="32"/>
      <c r="Y516" s="36"/>
    </row>
    <row r="517" spans="1:25" s="4" customFormat="1" ht="18" customHeight="1">
      <c r="A517" s="36"/>
      <c r="B517" s="69">
        <v>128.11000000000001</v>
      </c>
      <c r="C517" s="69" t="s">
        <v>805</v>
      </c>
      <c r="D517" s="31" t="s">
        <v>794</v>
      </c>
      <c r="E517" s="29" t="s">
        <v>34</v>
      </c>
      <c r="F517" s="28">
        <v>0.6</v>
      </c>
      <c r="G517" s="29">
        <v>0.1</v>
      </c>
      <c r="H517" s="29">
        <v>-0.1</v>
      </c>
      <c r="I517" s="30" t="s">
        <v>39</v>
      </c>
      <c r="J517" s="12">
        <f t="shared" si="102"/>
        <v>0.7</v>
      </c>
      <c r="K517" s="12">
        <f t="shared" si="103"/>
        <v>0.5</v>
      </c>
      <c r="L517" s="78"/>
      <c r="M517" s="78"/>
      <c r="N517" s="78"/>
      <c r="O517" s="36"/>
      <c r="P517" s="24" t="str">
        <f t="shared" si="105"/>
        <v xml:space="preserve"> </v>
      </c>
      <c r="Q517" s="25" t="str">
        <f t="shared" si="106"/>
        <v xml:space="preserve"> </v>
      </c>
      <c r="R517" s="25" t="str">
        <f t="shared" si="107"/>
        <v xml:space="preserve"> </v>
      </c>
      <c r="S517" s="26" t="str">
        <f t="shared" si="108"/>
        <v xml:space="preserve"> </v>
      </c>
      <c r="T517" s="7" t="str">
        <f t="shared" si="109"/>
        <v xml:space="preserve"> </v>
      </c>
      <c r="U517" s="8" t="str">
        <f t="shared" si="110"/>
        <v xml:space="preserve"> </v>
      </c>
      <c r="V517" s="9" t="str">
        <f t="shared" si="104"/>
        <v xml:space="preserve"> </v>
      </c>
      <c r="W517" s="9" t="str">
        <f t="shared" si="111"/>
        <v/>
      </c>
      <c r="X517" s="32"/>
      <c r="Y517" s="36"/>
    </row>
    <row r="518" spans="1:25" s="4" customFormat="1" ht="18" customHeight="1">
      <c r="A518" s="36"/>
      <c r="B518" s="69">
        <v>128.12</v>
      </c>
      <c r="C518" s="69" t="s">
        <v>806</v>
      </c>
      <c r="D518" s="31" t="s">
        <v>794</v>
      </c>
      <c r="E518" s="29" t="s">
        <v>34</v>
      </c>
      <c r="F518" s="28">
        <v>0.6</v>
      </c>
      <c r="G518" s="29">
        <v>0.1</v>
      </c>
      <c r="H518" s="29">
        <v>-0.1</v>
      </c>
      <c r="I518" s="30" t="s">
        <v>39</v>
      </c>
      <c r="J518" s="12">
        <f t="shared" si="102"/>
        <v>0.7</v>
      </c>
      <c r="K518" s="12">
        <f t="shared" si="103"/>
        <v>0.5</v>
      </c>
      <c r="L518" s="78"/>
      <c r="M518" s="78"/>
      <c r="N518" s="78"/>
      <c r="O518" s="36"/>
      <c r="P518" s="24" t="str">
        <f t="shared" si="105"/>
        <v xml:space="preserve"> </v>
      </c>
      <c r="Q518" s="25" t="str">
        <f t="shared" si="106"/>
        <v xml:space="preserve"> </v>
      </c>
      <c r="R518" s="25" t="str">
        <f t="shared" si="107"/>
        <v xml:space="preserve"> </v>
      </c>
      <c r="S518" s="26" t="str">
        <f t="shared" si="108"/>
        <v xml:space="preserve"> </v>
      </c>
      <c r="T518" s="7" t="str">
        <f t="shared" si="109"/>
        <v xml:space="preserve"> </v>
      </c>
      <c r="U518" s="8" t="str">
        <f t="shared" si="110"/>
        <v xml:space="preserve"> </v>
      </c>
      <c r="V518" s="9" t="str">
        <f t="shared" si="104"/>
        <v xml:space="preserve"> </v>
      </c>
      <c r="W518" s="9" t="str">
        <f t="shared" si="111"/>
        <v/>
      </c>
      <c r="X518" s="32"/>
      <c r="Y518" s="36"/>
    </row>
    <row r="519" spans="1:25" s="4" customFormat="1" ht="18" customHeight="1">
      <c r="A519" s="36"/>
      <c r="B519" s="69">
        <v>128.13</v>
      </c>
      <c r="C519" s="69" t="s">
        <v>807</v>
      </c>
      <c r="D519" s="31" t="s">
        <v>794</v>
      </c>
      <c r="E519" s="29" t="s">
        <v>34</v>
      </c>
      <c r="F519" s="28">
        <v>0.6</v>
      </c>
      <c r="G519" s="29">
        <v>0.1</v>
      </c>
      <c r="H519" s="29">
        <v>-0.1</v>
      </c>
      <c r="I519" s="30" t="s">
        <v>39</v>
      </c>
      <c r="J519" s="12">
        <f t="shared" si="102"/>
        <v>0.7</v>
      </c>
      <c r="K519" s="12">
        <f t="shared" si="103"/>
        <v>0.5</v>
      </c>
      <c r="L519" s="78"/>
      <c r="M519" s="78"/>
      <c r="N519" s="78"/>
      <c r="O519" s="36"/>
      <c r="P519" s="24" t="str">
        <f t="shared" si="105"/>
        <v xml:space="preserve"> </v>
      </c>
      <c r="Q519" s="25" t="str">
        <f t="shared" si="106"/>
        <v xml:space="preserve"> </v>
      </c>
      <c r="R519" s="25" t="str">
        <f t="shared" si="107"/>
        <v xml:space="preserve"> </v>
      </c>
      <c r="S519" s="26" t="str">
        <f t="shared" si="108"/>
        <v xml:space="preserve"> </v>
      </c>
      <c r="T519" s="7" t="str">
        <f t="shared" si="109"/>
        <v xml:space="preserve"> </v>
      </c>
      <c r="U519" s="8" t="str">
        <f t="shared" si="110"/>
        <v xml:space="preserve"> </v>
      </c>
      <c r="V519" s="9" t="str">
        <f t="shared" si="104"/>
        <v xml:space="preserve"> </v>
      </c>
      <c r="W519" s="9" t="str">
        <f t="shared" si="111"/>
        <v/>
      </c>
      <c r="X519" s="32"/>
      <c r="Y519" s="36"/>
    </row>
    <row r="520" spans="1:25" s="4" customFormat="1" ht="18" customHeight="1">
      <c r="A520" s="36"/>
      <c r="B520" s="69">
        <v>128.13999999999999</v>
      </c>
      <c r="C520" s="69" t="s">
        <v>808</v>
      </c>
      <c r="D520" s="31" t="s">
        <v>794</v>
      </c>
      <c r="E520" s="29" t="s">
        <v>34</v>
      </c>
      <c r="F520" s="28">
        <v>0.6</v>
      </c>
      <c r="G520" s="29">
        <v>0.1</v>
      </c>
      <c r="H520" s="29">
        <v>-0.1</v>
      </c>
      <c r="I520" s="30" t="s">
        <v>39</v>
      </c>
      <c r="J520" s="12">
        <f t="shared" si="102"/>
        <v>0.7</v>
      </c>
      <c r="K520" s="12">
        <f t="shared" si="103"/>
        <v>0.5</v>
      </c>
      <c r="L520" s="78"/>
      <c r="M520" s="78"/>
      <c r="N520" s="78"/>
      <c r="O520" s="36"/>
      <c r="P520" s="24" t="str">
        <f t="shared" si="105"/>
        <v xml:space="preserve"> </v>
      </c>
      <c r="Q520" s="25" t="str">
        <f t="shared" si="106"/>
        <v xml:space="preserve"> </v>
      </c>
      <c r="R520" s="25" t="str">
        <f t="shared" si="107"/>
        <v xml:space="preserve"> </v>
      </c>
      <c r="S520" s="26" t="str">
        <f t="shared" si="108"/>
        <v xml:space="preserve"> </v>
      </c>
      <c r="T520" s="7" t="str">
        <f t="shared" si="109"/>
        <v xml:space="preserve"> </v>
      </c>
      <c r="U520" s="8" t="str">
        <f t="shared" si="110"/>
        <v xml:space="preserve"> </v>
      </c>
      <c r="V520" s="9" t="str">
        <f t="shared" si="104"/>
        <v xml:space="preserve"> </v>
      </c>
      <c r="W520" s="9" t="str">
        <f t="shared" si="111"/>
        <v/>
      </c>
      <c r="X520" s="32"/>
      <c r="Y520" s="36"/>
    </row>
    <row r="521" spans="1:25" s="4" customFormat="1" ht="18" customHeight="1">
      <c r="A521" s="36"/>
      <c r="B521" s="69">
        <v>128.15</v>
      </c>
      <c r="C521" s="69" t="s">
        <v>809</v>
      </c>
      <c r="D521" s="31" t="s">
        <v>794</v>
      </c>
      <c r="E521" s="29" t="s">
        <v>34</v>
      </c>
      <c r="F521" s="28">
        <v>0.6</v>
      </c>
      <c r="G521" s="29">
        <v>0.1</v>
      </c>
      <c r="H521" s="29">
        <v>-0.1</v>
      </c>
      <c r="I521" s="30" t="s">
        <v>39</v>
      </c>
      <c r="J521" s="12">
        <f t="shared" si="102"/>
        <v>0.7</v>
      </c>
      <c r="K521" s="12">
        <f t="shared" si="103"/>
        <v>0.5</v>
      </c>
      <c r="L521" s="78"/>
      <c r="M521" s="78"/>
      <c r="N521" s="78"/>
      <c r="O521" s="36"/>
      <c r="P521" s="24" t="str">
        <f t="shared" si="105"/>
        <v xml:space="preserve"> </v>
      </c>
      <c r="Q521" s="25" t="str">
        <f t="shared" si="106"/>
        <v xml:space="preserve"> </v>
      </c>
      <c r="R521" s="25" t="str">
        <f t="shared" si="107"/>
        <v xml:space="preserve"> </v>
      </c>
      <c r="S521" s="26" t="str">
        <f t="shared" si="108"/>
        <v xml:space="preserve"> </v>
      </c>
      <c r="T521" s="7" t="str">
        <f t="shared" si="109"/>
        <v xml:space="preserve"> </v>
      </c>
      <c r="U521" s="8" t="str">
        <f t="shared" si="110"/>
        <v xml:space="preserve"> </v>
      </c>
      <c r="V521" s="9" t="str">
        <f t="shared" si="104"/>
        <v xml:space="preserve"> </v>
      </c>
      <c r="W521" s="9" t="str">
        <f t="shared" si="111"/>
        <v/>
      </c>
      <c r="X521" s="32"/>
      <c r="Y521" s="36"/>
    </row>
    <row r="522" spans="1:25" s="4" customFormat="1" ht="18" customHeight="1">
      <c r="A522" s="36"/>
      <c r="B522" s="69">
        <v>135</v>
      </c>
      <c r="C522" s="69"/>
      <c r="D522" s="31" t="s">
        <v>810</v>
      </c>
      <c r="E522" s="29" t="s">
        <v>36</v>
      </c>
      <c r="F522" s="28"/>
      <c r="G522" s="29">
        <v>0.1</v>
      </c>
      <c r="H522" s="29"/>
      <c r="I522" s="30" t="s">
        <v>39</v>
      </c>
      <c r="J522" s="12">
        <f t="shared" si="102"/>
        <v>0.1</v>
      </c>
      <c r="K522" s="12" t="str">
        <f t="shared" si="103"/>
        <v/>
      </c>
      <c r="L522" s="78"/>
      <c r="M522" s="78"/>
      <c r="N522" s="78"/>
      <c r="O522" s="36"/>
      <c r="P522" s="24" t="str">
        <f t="shared" si="105"/>
        <v xml:space="preserve"> </v>
      </c>
      <c r="Q522" s="25" t="str">
        <f t="shared" si="106"/>
        <v xml:space="preserve"> </v>
      </c>
      <c r="R522" s="25" t="str">
        <f t="shared" si="107"/>
        <v xml:space="preserve"> </v>
      </c>
      <c r="S522" s="26" t="str">
        <f t="shared" si="108"/>
        <v xml:space="preserve"> </v>
      </c>
      <c r="T522" s="7" t="str">
        <f t="shared" si="109"/>
        <v xml:space="preserve"> </v>
      </c>
      <c r="U522" s="8" t="str">
        <f t="shared" si="110"/>
        <v xml:space="preserve"> </v>
      </c>
      <c r="V522" s="9" t="str">
        <f t="shared" si="104"/>
        <v xml:space="preserve"> </v>
      </c>
      <c r="W522" s="9" t="str">
        <f t="shared" si="111"/>
        <v/>
      </c>
      <c r="X522" s="32"/>
      <c r="Y522" s="36"/>
    </row>
    <row r="523" spans="1:25" s="4" customFormat="1" ht="18" customHeight="1">
      <c r="A523" s="36"/>
      <c r="B523" s="69">
        <v>136</v>
      </c>
      <c r="C523" s="69"/>
      <c r="D523" s="31" t="s">
        <v>794</v>
      </c>
      <c r="E523" s="29" t="s">
        <v>36</v>
      </c>
      <c r="F523" s="28"/>
      <c r="G523" s="29">
        <v>0.1</v>
      </c>
      <c r="H523" s="29"/>
      <c r="I523" s="30" t="s">
        <v>39</v>
      </c>
      <c r="J523" s="12">
        <f t="shared" si="102"/>
        <v>0.1</v>
      </c>
      <c r="K523" s="12" t="str">
        <f t="shared" si="103"/>
        <v/>
      </c>
      <c r="L523" s="78"/>
      <c r="M523" s="78"/>
      <c r="N523" s="78"/>
      <c r="O523" s="36"/>
      <c r="P523" s="24" t="str">
        <f t="shared" si="105"/>
        <v xml:space="preserve"> </v>
      </c>
      <c r="Q523" s="25" t="str">
        <f t="shared" si="106"/>
        <v xml:space="preserve"> </v>
      </c>
      <c r="R523" s="25" t="str">
        <f t="shared" si="107"/>
        <v xml:space="preserve"> </v>
      </c>
      <c r="S523" s="26" t="str">
        <f t="shared" si="108"/>
        <v xml:space="preserve"> </v>
      </c>
      <c r="T523" s="7" t="str">
        <f t="shared" si="109"/>
        <v xml:space="preserve"> </v>
      </c>
      <c r="U523" s="8" t="str">
        <f t="shared" si="110"/>
        <v xml:space="preserve"> </v>
      </c>
      <c r="V523" s="9" t="str">
        <f t="shared" si="104"/>
        <v xml:space="preserve"> </v>
      </c>
      <c r="W523" s="9" t="str">
        <f t="shared" si="111"/>
        <v/>
      </c>
      <c r="X523" s="32"/>
      <c r="Y523" s="36"/>
    </row>
    <row r="524" spans="1:25" s="4" customFormat="1" ht="18" customHeight="1">
      <c r="A524" s="36"/>
      <c r="B524" s="69">
        <v>137</v>
      </c>
      <c r="C524" s="69"/>
      <c r="D524" s="31" t="s">
        <v>794</v>
      </c>
      <c r="E524" s="29" t="s">
        <v>36</v>
      </c>
      <c r="F524" s="28"/>
      <c r="G524" s="29">
        <v>0.1</v>
      </c>
      <c r="H524" s="29"/>
      <c r="I524" s="30" t="s">
        <v>39</v>
      </c>
      <c r="J524" s="12">
        <f t="shared" si="102"/>
        <v>0.1</v>
      </c>
      <c r="K524" s="12" t="str">
        <f t="shared" si="103"/>
        <v/>
      </c>
      <c r="L524" s="78"/>
      <c r="M524" s="78"/>
      <c r="N524" s="78"/>
      <c r="O524" s="36"/>
      <c r="P524" s="24" t="str">
        <f t="shared" si="105"/>
        <v xml:space="preserve"> </v>
      </c>
      <c r="Q524" s="25" t="str">
        <f t="shared" si="106"/>
        <v xml:space="preserve"> </v>
      </c>
      <c r="R524" s="25" t="str">
        <f t="shared" si="107"/>
        <v xml:space="preserve"> </v>
      </c>
      <c r="S524" s="26" t="str">
        <f t="shared" si="108"/>
        <v xml:space="preserve"> </v>
      </c>
      <c r="T524" s="7" t="str">
        <f t="shared" si="109"/>
        <v xml:space="preserve"> </v>
      </c>
      <c r="U524" s="8" t="str">
        <f t="shared" si="110"/>
        <v xml:space="preserve"> </v>
      </c>
      <c r="V524" s="9" t="str">
        <f t="shared" si="104"/>
        <v xml:space="preserve"> </v>
      </c>
      <c r="W524" s="9" t="str">
        <f t="shared" si="111"/>
        <v/>
      </c>
      <c r="X524" s="32"/>
      <c r="Y524" s="36"/>
    </row>
    <row r="525" spans="1:25" s="4" customFormat="1" ht="18" customHeight="1">
      <c r="A525" s="36"/>
      <c r="B525" s="69">
        <v>146.01</v>
      </c>
      <c r="C525" s="69" t="s">
        <v>811</v>
      </c>
      <c r="D525" s="31" t="s">
        <v>810</v>
      </c>
      <c r="E525" s="29" t="s">
        <v>34</v>
      </c>
      <c r="F525" s="28">
        <v>0.7</v>
      </c>
      <c r="G525" s="29">
        <v>0.1</v>
      </c>
      <c r="H525" s="29">
        <v>-0.1</v>
      </c>
      <c r="I525" s="30" t="s">
        <v>39</v>
      </c>
      <c r="J525" s="12">
        <f t="shared" si="102"/>
        <v>0.79999999999999993</v>
      </c>
      <c r="K525" s="12">
        <f t="shared" si="103"/>
        <v>0.6</v>
      </c>
      <c r="L525" s="78"/>
      <c r="M525" s="78"/>
      <c r="N525" s="78"/>
      <c r="O525" s="36"/>
      <c r="P525" s="24" t="str">
        <f t="shared" si="105"/>
        <v xml:space="preserve"> </v>
      </c>
      <c r="Q525" s="25" t="str">
        <f t="shared" si="106"/>
        <v xml:space="preserve"> </v>
      </c>
      <c r="R525" s="25" t="str">
        <f t="shared" si="107"/>
        <v xml:space="preserve"> </v>
      </c>
      <c r="S525" s="26" t="str">
        <f t="shared" si="108"/>
        <v xml:space="preserve"> </v>
      </c>
      <c r="T525" s="7" t="str">
        <f t="shared" si="109"/>
        <v xml:space="preserve"> </v>
      </c>
      <c r="U525" s="8" t="str">
        <f t="shared" si="110"/>
        <v xml:space="preserve"> </v>
      </c>
      <c r="V525" s="9" t="str">
        <f t="shared" si="104"/>
        <v xml:space="preserve"> </v>
      </c>
      <c r="W525" s="9" t="str">
        <f t="shared" si="111"/>
        <v/>
      </c>
      <c r="X525" s="32"/>
      <c r="Y525" s="36"/>
    </row>
    <row r="526" spans="1:25" s="4" customFormat="1" ht="18" customHeight="1">
      <c r="A526" s="36"/>
      <c r="B526" s="69">
        <v>146.02000000000001</v>
      </c>
      <c r="C526" s="69" t="s">
        <v>812</v>
      </c>
      <c r="D526" s="31" t="s">
        <v>810</v>
      </c>
      <c r="E526" s="29" t="s">
        <v>34</v>
      </c>
      <c r="F526" s="28">
        <v>0.7</v>
      </c>
      <c r="G526" s="29">
        <v>0.1</v>
      </c>
      <c r="H526" s="29">
        <v>-0.1</v>
      </c>
      <c r="I526" s="30" t="s">
        <v>39</v>
      </c>
      <c r="J526" s="12">
        <f t="shared" si="102"/>
        <v>0.79999999999999993</v>
      </c>
      <c r="K526" s="12">
        <f t="shared" si="103"/>
        <v>0.6</v>
      </c>
      <c r="L526" s="78"/>
      <c r="M526" s="78"/>
      <c r="N526" s="78"/>
      <c r="O526" s="36"/>
      <c r="P526" s="24" t="str">
        <f t="shared" si="105"/>
        <v xml:space="preserve"> </v>
      </c>
      <c r="Q526" s="25" t="str">
        <f t="shared" si="106"/>
        <v xml:space="preserve"> </v>
      </c>
      <c r="R526" s="25" t="str">
        <f t="shared" si="107"/>
        <v xml:space="preserve"> </v>
      </c>
      <c r="S526" s="26" t="str">
        <f t="shared" si="108"/>
        <v xml:space="preserve"> </v>
      </c>
      <c r="T526" s="7" t="str">
        <f t="shared" si="109"/>
        <v xml:space="preserve"> </v>
      </c>
      <c r="U526" s="8" t="str">
        <f t="shared" si="110"/>
        <v xml:space="preserve"> </v>
      </c>
      <c r="V526" s="9" t="str">
        <f t="shared" si="104"/>
        <v xml:space="preserve"> </v>
      </c>
      <c r="W526" s="9" t="str">
        <f t="shared" si="111"/>
        <v/>
      </c>
      <c r="X526" s="32"/>
      <c r="Y526" s="36"/>
    </row>
    <row r="527" spans="1:25" s="4" customFormat="1" ht="18" customHeight="1">
      <c r="A527" s="36"/>
      <c r="B527" s="69">
        <v>146.03</v>
      </c>
      <c r="C527" s="69" t="s">
        <v>813</v>
      </c>
      <c r="D527" s="31" t="s">
        <v>810</v>
      </c>
      <c r="E527" s="29" t="s">
        <v>34</v>
      </c>
      <c r="F527" s="28">
        <v>0.7</v>
      </c>
      <c r="G527" s="29">
        <v>0.1</v>
      </c>
      <c r="H527" s="29">
        <v>-0.1</v>
      </c>
      <c r="I527" s="30" t="s">
        <v>39</v>
      </c>
      <c r="J527" s="12">
        <f t="shared" si="102"/>
        <v>0.79999999999999993</v>
      </c>
      <c r="K527" s="12">
        <f t="shared" si="103"/>
        <v>0.6</v>
      </c>
      <c r="L527" s="78"/>
      <c r="M527" s="78"/>
      <c r="N527" s="78"/>
      <c r="O527" s="36"/>
      <c r="P527" s="24" t="str">
        <f t="shared" si="105"/>
        <v xml:space="preserve"> </v>
      </c>
      <c r="Q527" s="25" t="str">
        <f t="shared" si="106"/>
        <v xml:space="preserve"> </v>
      </c>
      <c r="R527" s="25" t="str">
        <f t="shared" si="107"/>
        <v xml:space="preserve"> </v>
      </c>
      <c r="S527" s="26" t="str">
        <f t="shared" si="108"/>
        <v xml:space="preserve"> </v>
      </c>
      <c r="T527" s="7" t="str">
        <f t="shared" si="109"/>
        <v xml:space="preserve"> </v>
      </c>
      <c r="U527" s="8" t="str">
        <f t="shared" si="110"/>
        <v xml:space="preserve"> </v>
      </c>
      <c r="V527" s="9" t="str">
        <f t="shared" si="104"/>
        <v xml:space="preserve"> </v>
      </c>
      <c r="W527" s="9" t="str">
        <f t="shared" si="111"/>
        <v/>
      </c>
      <c r="X527" s="32"/>
      <c r="Y527" s="36"/>
    </row>
    <row r="528" spans="1:25" s="4" customFormat="1" ht="18" customHeight="1">
      <c r="A528" s="36"/>
      <c r="B528" s="69">
        <v>146.04</v>
      </c>
      <c r="C528" s="69" t="s">
        <v>814</v>
      </c>
      <c r="D528" s="31" t="s">
        <v>810</v>
      </c>
      <c r="E528" s="29" t="s">
        <v>34</v>
      </c>
      <c r="F528" s="28">
        <v>0.7</v>
      </c>
      <c r="G528" s="29">
        <v>0.1</v>
      </c>
      <c r="H528" s="29"/>
      <c r="I528" s="30" t="s">
        <v>39</v>
      </c>
      <c r="J528" s="12">
        <f t="shared" si="102"/>
        <v>0.79999999999999993</v>
      </c>
      <c r="K528" s="12">
        <f t="shared" si="103"/>
        <v>0.7</v>
      </c>
      <c r="L528" s="78"/>
      <c r="M528" s="78"/>
      <c r="N528" s="78"/>
      <c r="O528" s="36"/>
      <c r="P528" s="24" t="str">
        <f t="shared" si="105"/>
        <v xml:space="preserve"> </v>
      </c>
      <c r="Q528" s="25" t="str">
        <f t="shared" si="106"/>
        <v xml:space="preserve"> </v>
      </c>
      <c r="R528" s="25" t="str">
        <f t="shared" si="107"/>
        <v xml:space="preserve"> </v>
      </c>
      <c r="S528" s="26" t="str">
        <f t="shared" si="108"/>
        <v xml:space="preserve"> </v>
      </c>
      <c r="T528" s="7" t="str">
        <f t="shared" si="109"/>
        <v xml:space="preserve"> </v>
      </c>
      <c r="U528" s="8" t="str">
        <f t="shared" si="110"/>
        <v xml:space="preserve"> </v>
      </c>
      <c r="V528" s="9" t="str">
        <f t="shared" si="104"/>
        <v xml:space="preserve"> </v>
      </c>
      <c r="W528" s="9" t="str">
        <f t="shared" si="111"/>
        <v/>
      </c>
      <c r="X528" s="32"/>
      <c r="Y528" s="36"/>
    </row>
    <row r="529" spans="1:25" s="4" customFormat="1" ht="18" customHeight="1">
      <c r="A529" s="36"/>
      <c r="B529" s="69">
        <v>146.05000000000001</v>
      </c>
      <c r="C529" s="69" t="s">
        <v>815</v>
      </c>
      <c r="D529" s="31" t="s">
        <v>810</v>
      </c>
      <c r="E529" s="29" t="s">
        <v>34</v>
      </c>
      <c r="F529" s="28">
        <v>0.7</v>
      </c>
      <c r="G529" s="29">
        <v>0.1</v>
      </c>
      <c r="H529" s="29"/>
      <c r="I529" s="30" t="s">
        <v>39</v>
      </c>
      <c r="J529" s="12">
        <f t="shared" si="102"/>
        <v>0.79999999999999993</v>
      </c>
      <c r="K529" s="12">
        <f t="shared" si="103"/>
        <v>0.7</v>
      </c>
      <c r="L529" s="78"/>
      <c r="M529" s="78"/>
      <c r="N529" s="78"/>
      <c r="O529" s="36"/>
      <c r="P529" s="24" t="str">
        <f t="shared" si="105"/>
        <v xml:space="preserve"> </v>
      </c>
      <c r="Q529" s="25" t="str">
        <f t="shared" si="106"/>
        <v xml:space="preserve"> </v>
      </c>
      <c r="R529" s="25" t="str">
        <f t="shared" si="107"/>
        <v xml:space="preserve"> </v>
      </c>
      <c r="S529" s="26" t="str">
        <f t="shared" si="108"/>
        <v xml:space="preserve"> </v>
      </c>
      <c r="T529" s="7" t="str">
        <f t="shared" si="109"/>
        <v xml:space="preserve"> </v>
      </c>
      <c r="U529" s="8" t="str">
        <f t="shared" si="110"/>
        <v xml:space="preserve"> </v>
      </c>
      <c r="V529" s="9" t="str">
        <f t="shared" si="104"/>
        <v xml:space="preserve"> </v>
      </c>
      <c r="W529" s="9" t="str">
        <f t="shared" si="111"/>
        <v/>
      </c>
      <c r="X529" s="32"/>
      <c r="Y529" s="36"/>
    </row>
    <row r="530" spans="1:25" s="4" customFormat="1" ht="18" customHeight="1">
      <c r="A530" s="36"/>
      <c r="B530" s="69">
        <v>146.06</v>
      </c>
      <c r="C530" s="69" t="s">
        <v>816</v>
      </c>
      <c r="D530" s="31" t="s">
        <v>810</v>
      </c>
      <c r="E530" s="29" t="s">
        <v>34</v>
      </c>
      <c r="F530" s="28">
        <v>0.7</v>
      </c>
      <c r="G530" s="29">
        <v>0.1</v>
      </c>
      <c r="H530" s="29"/>
      <c r="I530" s="30" t="s">
        <v>39</v>
      </c>
      <c r="J530" s="12">
        <f t="shared" si="102"/>
        <v>0.79999999999999993</v>
      </c>
      <c r="K530" s="12">
        <f t="shared" si="103"/>
        <v>0.7</v>
      </c>
      <c r="L530" s="78"/>
      <c r="M530" s="78"/>
      <c r="N530" s="78"/>
      <c r="O530" s="36"/>
      <c r="P530" s="24" t="str">
        <f t="shared" si="105"/>
        <v xml:space="preserve"> </v>
      </c>
      <c r="Q530" s="25" t="str">
        <f t="shared" si="106"/>
        <v xml:space="preserve"> </v>
      </c>
      <c r="R530" s="25" t="str">
        <f t="shared" si="107"/>
        <v xml:space="preserve"> </v>
      </c>
      <c r="S530" s="26" t="str">
        <f t="shared" si="108"/>
        <v xml:space="preserve"> </v>
      </c>
      <c r="T530" s="7" t="str">
        <f t="shared" si="109"/>
        <v xml:space="preserve"> </v>
      </c>
      <c r="U530" s="8" t="str">
        <f t="shared" si="110"/>
        <v xml:space="preserve"> </v>
      </c>
      <c r="V530" s="9" t="str">
        <f t="shared" si="104"/>
        <v xml:space="preserve"> </v>
      </c>
      <c r="W530" s="9" t="str">
        <f t="shared" si="111"/>
        <v/>
      </c>
      <c r="X530" s="32"/>
      <c r="Y530" s="36"/>
    </row>
    <row r="531" spans="1:25" s="4" customFormat="1" ht="18" customHeight="1">
      <c r="A531" s="36"/>
      <c r="B531" s="69">
        <v>146.07</v>
      </c>
      <c r="C531" s="69" t="s">
        <v>817</v>
      </c>
      <c r="D531" s="31" t="s">
        <v>810</v>
      </c>
      <c r="E531" s="29" t="s">
        <v>34</v>
      </c>
      <c r="F531" s="28">
        <v>0.7</v>
      </c>
      <c r="G531" s="29">
        <v>0.1</v>
      </c>
      <c r="H531" s="29">
        <v>-0.1</v>
      </c>
      <c r="I531" s="30" t="s">
        <v>39</v>
      </c>
      <c r="J531" s="12">
        <f t="shared" si="102"/>
        <v>0.79999999999999993</v>
      </c>
      <c r="K531" s="12">
        <f t="shared" si="103"/>
        <v>0.6</v>
      </c>
      <c r="L531" s="78"/>
      <c r="M531" s="78"/>
      <c r="N531" s="78"/>
      <c r="O531" s="36"/>
      <c r="P531" s="24" t="str">
        <f t="shared" si="105"/>
        <v xml:space="preserve"> </v>
      </c>
      <c r="Q531" s="25" t="str">
        <f t="shared" si="106"/>
        <v xml:space="preserve"> </v>
      </c>
      <c r="R531" s="25" t="str">
        <f t="shared" si="107"/>
        <v xml:space="preserve"> </v>
      </c>
      <c r="S531" s="26" t="str">
        <f t="shared" si="108"/>
        <v xml:space="preserve"> </v>
      </c>
      <c r="T531" s="7" t="str">
        <f t="shared" si="109"/>
        <v xml:space="preserve"> </v>
      </c>
      <c r="U531" s="8" t="str">
        <f t="shared" si="110"/>
        <v xml:space="preserve"> </v>
      </c>
      <c r="V531" s="9" t="str">
        <f t="shared" si="104"/>
        <v xml:space="preserve"> </v>
      </c>
      <c r="W531" s="9" t="str">
        <f t="shared" si="111"/>
        <v/>
      </c>
      <c r="X531" s="32"/>
      <c r="Y531" s="36"/>
    </row>
    <row r="532" spans="1:25" s="4" customFormat="1" ht="18" customHeight="1">
      <c r="A532" s="36"/>
      <c r="B532" s="69">
        <v>146.09</v>
      </c>
      <c r="C532" s="69" t="s">
        <v>818</v>
      </c>
      <c r="D532" s="31" t="s">
        <v>810</v>
      </c>
      <c r="E532" s="29" t="s">
        <v>34</v>
      </c>
      <c r="F532" s="28">
        <v>0.7</v>
      </c>
      <c r="G532" s="29">
        <v>0.1</v>
      </c>
      <c r="H532" s="29">
        <v>-0.1</v>
      </c>
      <c r="I532" s="30" t="s">
        <v>39</v>
      </c>
      <c r="J532" s="12">
        <f t="shared" si="102"/>
        <v>0.79999999999999993</v>
      </c>
      <c r="K532" s="12">
        <f t="shared" si="103"/>
        <v>0.6</v>
      </c>
      <c r="L532" s="78"/>
      <c r="M532" s="78"/>
      <c r="N532" s="78"/>
      <c r="O532" s="36"/>
      <c r="P532" s="24" t="str">
        <f t="shared" si="105"/>
        <v xml:space="preserve"> </v>
      </c>
      <c r="Q532" s="25" t="str">
        <f t="shared" si="106"/>
        <v xml:space="preserve"> </v>
      </c>
      <c r="R532" s="25" t="str">
        <f t="shared" si="107"/>
        <v xml:space="preserve"> </v>
      </c>
      <c r="S532" s="26" t="str">
        <f t="shared" si="108"/>
        <v xml:space="preserve"> </v>
      </c>
      <c r="T532" s="7" t="str">
        <f t="shared" si="109"/>
        <v xml:space="preserve"> </v>
      </c>
      <c r="U532" s="8" t="str">
        <f t="shared" si="110"/>
        <v xml:space="preserve"> </v>
      </c>
      <c r="V532" s="9" t="str">
        <f t="shared" si="104"/>
        <v xml:space="preserve"> </v>
      </c>
      <c r="W532" s="9" t="str">
        <f t="shared" si="111"/>
        <v/>
      </c>
      <c r="X532" s="32"/>
      <c r="Y532" s="36"/>
    </row>
    <row r="533" spans="1:25" s="4" customFormat="1" ht="18" customHeight="1">
      <c r="A533" s="36"/>
      <c r="B533" s="69" t="s">
        <v>945</v>
      </c>
      <c r="C533" s="69" t="s">
        <v>819</v>
      </c>
      <c r="D533" s="31" t="s">
        <v>810</v>
      </c>
      <c r="E533" s="29" t="s">
        <v>34</v>
      </c>
      <c r="F533" s="28">
        <v>0.7</v>
      </c>
      <c r="G533" s="29">
        <v>0.1</v>
      </c>
      <c r="H533" s="29">
        <v>-0.1</v>
      </c>
      <c r="I533" s="30" t="s">
        <v>39</v>
      </c>
      <c r="J533" s="12">
        <f t="shared" si="102"/>
        <v>0.79999999999999993</v>
      </c>
      <c r="K533" s="12">
        <f t="shared" si="103"/>
        <v>0.6</v>
      </c>
      <c r="L533" s="78"/>
      <c r="M533" s="78"/>
      <c r="N533" s="78"/>
      <c r="O533" s="36"/>
      <c r="P533" s="24" t="str">
        <f t="shared" si="105"/>
        <v xml:space="preserve"> </v>
      </c>
      <c r="Q533" s="25" t="str">
        <f t="shared" si="106"/>
        <v xml:space="preserve"> </v>
      </c>
      <c r="R533" s="25" t="str">
        <f t="shared" si="107"/>
        <v xml:space="preserve"> </v>
      </c>
      <c r="S533" s="26" t="str">
        <f t="shared" si="108"/>
        <v xml:space="preserve"> </v>
      </c>
      <c r="T533" s="7" t="str">
        <f t="shared" si="109"/>
        <v xml:space="preserve"> </v>
      </c>
      <c r="U533" s="8" t="str">
        <f t="shared" si="110"/>
        <v xml:space="preserve"> </v>
      </c>
      <c r="V533" s="9" t="str">
        <f t="shared" si="104"/>
        <v xml:space="preserve"> </v>
      </c>
      <c r="W533" s="9" t="str">
        <f t="shared" si="111"/>
        <v/>
      </c>
      <c r="X533" s="32"/>
      <c r="Y533" s="36"/>
    </row>
    <row r="534" spans="1:25" s="4" customFormat="1" ht="18" customHeight="1">
      <c r="A534" s="36"/>
      <c r="B534" s="69">
        <v>146.11000000000001</v>
      </c>
      <c r="C534" s="69" t="s">
        <v>820</v>
      </c>
      <c r="D534" s="31" t="s">
        <v>810</v>
      </c>
      <c r="E534" s="29" t="s">
        <v>34</v>
      </c>
      <c r="F534" s="28">
        <v>0.7</v>
      </c>
      <c r="G534" s="29">
        <v>0.1</v>
      </c>
      <c r="H534" s="29">
        <v>-0.1</v>
      </c>
      <c r="I534" s="30" t="s">
        <v>39</v>
      </c>
      <c r="J534" s="12">
        <f t="shared" si="102"/>
        <v>0.79999999999999993</v>
      </c>
      <c r="K534" s="12">
        <f t="shared" si="103"/>
        <v>0.6</v>
      </c>
      <c r="L534" s="78"/>
      <c r="M534" s="78"/>
      <c r="N534" s="78"/>
      <c r="O534" s="36"/>
      <c r="P534" s="24" t="str">
        <f t="shared" si="105"/>
        <v xml:space="preserve"> </v>
      </c>
      <c r="Q534" s="25" t="str">
        <f t="shared" si="106"/>
        <v xml:space="preserve"> </v>
      </c>
      <c r="R534" s="25" t="str">
        <f t="shared" si="107"/>
        <v xml:space="preserve"> </v>
      </c>
      <c r="S534" s="26" t="str">
        <f t="shared" si="108"/>
        <v xml:space="preserve"> </v>
      </c>
      <c r="T534" s="7" t="str">
        <f t="shared" si="109"/>
        <v xml:space="preserve"> </v>
      </c>
      <c r="U534" s="8" t="str">
        <f t="shared" si="110"/>
        <v xml:space="preserve"> </v>
      </c>
      <c r="V534" s="9" t="str">
        <f t="shared" si="104"/>
        <v xml:space="preserve"> </v>
      </c>
      <c r="W534" s="9" t="str">
        <f t="shared" si="111"/>
        <v/>
      </c>
      <c r="X534" s="32"/>
      <c r="Y534" s="36"/>
    </row>
    <row r="535" spans="1:25" s="4" customFormat="1" ht="18" customHeight="1">
      <c r="A535" s="36"/>
      <c r="B535" s="69">
        <v>146.12</v>
      </c>
      <c r="C535" s="69" t="s">
        <v>821</v>
      </c>
      <c r="D535" s="31" t="s">
        <v>810</v>
      </c>
      <c r="E535" s="29" t="s">
        <v>34</v>
      </c>
      <c r="F535" s="28">
        <v>0.7</v>
      </c>
      <c r="G535" s="29">
        <v>0.1</v>
      </c>
      <c r="H535" s="29">
        <v>-0.1</v>
      </c>
      <c r="I535" s="30" t="s">
        <v>39</v>
      </c>
      <c r="J535" s="12">
        <f t="shared" si="102"/>
        <v>0.79999999999999993</v>
      </c>
      <c r="K535" s="12">
        <f t="shared" si="103"/>
        <v>0.6</v>
      </c>
      <c r="L535" s="78"/>
      <c r="M535" s="78"/>
      <c r="N535" s="78"/>
      <c r="O535" s="36"/>
      <c r="P535" s="24" t="str">
        <f t="shared" si="105"/>
        <v xml:space="preserve"> </v>
      </c>
      <c r="Q535" s="25" t="str">
        <f t="shared" si="106"/>
        <v xml:space="preserve"> </v>
      </c>
      <c r="R535" s="25" t="str">
        <f t="shared" si="107"/>
        <v xml:space="preserve"> </v>
      </c>
      <c r="S535" s="26" t="str">
        <f t="shared" si="108"/>
        <v xml:space="preserve"> </v>
      </c>
      <c r="T535" s="7" t="str">
        <f t="shared" si="109"/>
        <v xml:space="preserve"> </v>
      </c>
      <c r="U535" s="8" t="str">
        <f t="shared" si="110"/>
        <v xml:space="preserve"> </v>
      </c>
      <c r="V535" s="9" t="str">
        <f t="shared" si="104"/>
        <v xml:space="preserve"> </v>
      </c>
      <c r="W535" s="9" t="str">
        <f t="shared" si="111"/>
        <v/>
      </c>
      <c r="X535" s="32"/>
      <c r="Y535" s="36"/>
    </row>
    <row r="536" spans="1:25" s="4" customFormat="1" ht="18" customHeight="1">
      <c r="A536" s="36"/>
      <c r="B536" s="69">
        <v>146.13</v>
      </c>
      <c r="C536" s="69" t="s">
        <v>822</v>
      </c>
      <c r="D536" s="31" t="s">
        <v>810</v>
      </c>
      <c r="E536" s="29" t="s">
        <v>34</v>
      </c>
      <c r="F536" s="28">
        <v>0.7</v>
      </c>
      <c r="G536" s="29">
        <v>0.1</v>
      </c>
      <c r="H536" s="29">
        <v>-0.1</v>
      </c>
      <c r="I536" s="30" t="s">
        <v>39</v>
      </c>
      <c r="J536" s="12">
        <f t="shared" si="102"/>
        <v>0.79999999999999993</v>
      </c>
      <c r="K536" s="12">
        <f t="shared" si="103"/>
        <v>0.6</v>
      </c>
      <c r="L536" s="78"/>
      <c r="M536" s="78"/>
      <c r="N536" s="78"/>
      <c r="O536" s="36"/>
      <c r="P536" s="24" t="str">
        <f t="shared" si="105"/>
        <v xml:space="preserve"> </v>
      </c>
      <c r="Q536" s="25" t="str">
        <f t="shared" si="106"/>
        <v xml:space="preserve"> </v>
      </c>
      <c r="R536" s="25" t="str">
        <f t="shared" si="107"/>
        <v xml:space="preserve"> </v>
      </c>
      <c r="S536" s="26" t="str">
        <f t="shared" si="108"/>
        <v xml:space="preserve"> </v>
      </c>
      <c r="T536" s="7" t="str">
        <f t="shared" si="109"/>
        <v xml:space="preserve"> </v>
      </c>
      <c r="U536" s="8" t="str">
        <f t="shared" si="110"/>
        <v xml:space="preserve"> </v>
      </c>
      <c r="V536" s="9" t="str">
        <f t="shared" si="104"/>
        <v xml:space="preserve"> </v>
      </c>
      <c r="W536" s="9" t="str">
        <f t="shared" si="111"/>
        <v/>
      </c>
      <c r="X536" s="32"/>
      <c r="Y536" s="36"/>
    </row>
    <row r="537" spans="1:25" s="4" customFormat="1" ht="18" customHeight="1">
      <c r="A537" s="36"/>
      <c r="B537" s="69">
        <v>146.13999999999999</v>
      </c>
      <c r="C537" s="69" t="s">
        <v>823</v>
      </c>
      <c r="D537" s="31" t="s">
        <v>810</v>
      </c>
      <c r="E537" s="29" t="s">
        <v>34</v>
      </c>
      <c r="F537" s="28">
        <v>0.7</v>
      </c>
      <c r="G537" s="29">
        <v>0.1</v>
      </c>
      <c r="H537" s="29">
        <v>-0.1</v>
      </c>
      <c r="I537" s="30" t="s">
        <v>39</v>
      </c>
      <c r="J537" s="12">
        <f t="shared" si="102"/>
        <v>0.79999999999999993</v>
      </c>
      <c r="K537" s="12">
        <f t="shared" si="103"/>
        <v>0.6</v>
      </c>
      <c r="L537" s="78"/>
      <c r="M537" s="78"/>
      <c r="N537" s="78"/>
      <c r="O537" s="36"/>
      <c r="P537" s="24" t="str">
        <f t="shared" si="105"/>
        <v xml:space="preserve"> </v>
      </c>
      <c r="Q537" s="25" t="str">
        <f t="shared" si="106"/>
        <v xml:space="preserve"> </v>
      </c>
      <c r="R537" s="25" t="str">
        <f t="shared" si="107"/>
        <v xml:space="preserve"> </v>
      </c>
      <c r="S537" s="26" t="str">
        <f t="shared" si="108"/>
        <v xml:space="preserve"> </v>
      </c>
      <c r="T537" s="7" t="str">
        <f t="shared" si="109"/>
        <v xml:space="preserve"> </v>
      </c>
      <c r="U537" s="8" t="str">
        <f t="shared" si="110"/>
        <v xml:space="preserve"> </v>
      </c>
      <c r="V537" s="9" t="str">
        <f t="shared" si="104"/>
        <v xml:space="preserve"> </v>
      </c>
      <c r="W537" s="9" t="str">
        <f t="shared" si="111"/>
        <v/>
      </c>
      <c r="X537" s="32"/>
      <c r="Y537" s="36"/>
    </row>
    <row r="538" spans="1:25" s="4" customFormat="1" ht="18" customHeight="1">
      <c r="A538" s="36"/>
      <c r="B538" s="69">
        <v>146.15</v>
      </c>
      <c r="C538" s="69" t="s">
        <v>824</v>
      </c>
      <c r="D538" s="31" t="s">
        <v>810</v>
      </c>
      <c r="E538" s="29" t="s">
        <v>34</v>
      </c>
      <c r="F538" s="28">
        <v>0.7</v>
      </c>
      <c r="G538" s="29">
        <v>0.1</v>
      </c>
      <c r="H538" s="29">
        <v>-0.1</v>
      </c>
      <c r="I538" s="30" t="s">
        <v>39</v>
      </c>
      <c r="J538" s="12">
        <f t="shared" si="102"/>
        <v>0.79999999999999993</v>
      </c>
      <c r="K538" s="12">
        <f t="shared" si="103"/>
        <v>0.6</v>
      </c>
      <c r="L538" s="78"/>
      <c r="M538" s="78"/>
      <c r="N538" s="78"/>
      <c r="O538" s="36"/>
      <c r="P538" s="24" t="str">
        <f t="shared" si="105"/>
        <v xml:space="preserve"> </v>
      </c>
      <c r="Q538" s="25" t="str">
        <f t="shared" si="106"/>
        <v xml:space="preserve"> </v>
      </c>
      <c r="R538" s="25" t="str">
        <f t="shared" si="107"/>
        <v xml:space="preserve"> </v>
      </c>
      <c r="S538" s="26" t="str">
        <f t="shared" si="108"/>
        <v xml:space="preserve"> </v>
      </c>
      <c r="T538" s="7" t="str">
        <f t="shared" si="109"/>
        <v xml:space="preserve"> </v>
      </c>
      <c r="U538" s="8" t="str">
        <f t="shared" si="110"/>
        <v xml:space="preserve"> </v>
      </c>
      <c r="V538" s="9" t="str">
        <f t="shared" si="104"/>
        <v xml:space="preserve"> </v>
      </c>
      <c r="W538" s="9" t="str">
        <f t="shared" si="111"/>
        <v/>
      </c>
      <c r="X538" s="32"/>
      <c r="Y538" s="36"/>
    </row>
    <row r="539" spans="1:25" s="4" customFormat="1" ht="18" customHeight="1">
      <c r="A539" s="36"/>
      <c r="B539" s="69">
        <v>147.01</v>
      </c>
      <c r="C539" s="69" t="s">
        <v>825</v>
      </c>
      <c r="D539" s="31" t="s">
        <v>827</v>
      </c>
      <c r="E539" s="29" t="s">
        <v>34</v>
      </c>
      <c r="F539" s="28">
        <v>0.6</v>
      </c>
      <c r="G539" s="29">
        <v>0.1</v>
      </c>
      <c r="H539" s="29">
        <v>-0.1</v>
      </c>
      <c r="I539" s="30" t="s">
        <v>39</v>
      </c>
      <c r="J539" s="12">
        <f t="shared" si="102"/>
        <v>0.7</v>
      </c>
      <c r="K539" s="12">
        <f t="shared" si="103"/>
        <v>0.5</v>
      </c>
      <c r="L539" s="78"/>
      <c r="M539" s="78"/>
      <c r="N539" s="78"/>
      <c r="O539" s="36"/>
      <c r="P539" s="24" t="str">
        <f t="shared" si="105"/>
        <v xml:space="preserve"> </v>
      </c>
      <c r="Q539" s="25" t="str">
        <f t="shared" si="106"/>
        <v xml:space="preserve"> </v>
      </c>
      <c r="R539" s="25" t="str">
        <f t="shared" si="107"/>
        <v xml:space="preserve"> </v>
      </c>
      <c r="S539" s="26" t="str">
        <f t="shared" si="108"/>
        <v xml:space="preserve"> </v>
      </c>
      <c r="T539" s="7" t="str">
        <f t="shared" si="109"/>
        <v xml:space="preserve"> </v>
      </c>
      <c r="U539" s="8" t="str">
        <f t="shared" si="110"/>
        <v xml:space="preserve"> </v>
      </c>
      <c r="V539" s="9" t="str">
        <f t="shared" si="104"/>
        <v xml:space="preserve"> </v>
      </c>
      <c r="W539" s="9" t="str">
        <f t="shared" si="111"/>
        <v/>
      </c>
      <c r="X539" s="32"/>
      <c r="Y539" s="36"/>
    </row>
    <row r="540" spans="1:25" s="4" customFormat="1" ht="18" customHeight="1">
      <c r="A540" s="36"/>
      <c r="B540" s="69">
        <v>147.02000000000001</v>
      </c>
      <c r="C540" s="69" t="s">
        <v>826</v>
      </c>
      <c r="D540" s="31" t="s">
        <v>827</v>
      </c>
      <c r="E540" s="29" t="s">
        <v>34</v>
      </c>
      <c r="F540" s="28">
        <v>0.6</v>
      </c>
      <c r="G540" s="29">
        <v>0.1</v>
      </c>
      <c r="H540" s="29">
        <v>-0.1</v>
      </c>
      <c r="I540" s="30" t="s">
        <v>39</v>
      </c>
      <c r="J540" s="12">
        <f t="shared" si="102"/>
        <v>0.7</v>
      </c>
      <c r="K540" s="12">
        <f t="shared" si="103"/>
        <v>0.5</v>
      </c>
      <c r="L540" s="78"/>
      <c r="M540" s="78"/>
      <c r="N540" s="78"/>
      <c r="O540" s="36"/>
      <c r="P540" s="24" t="str">
        <f t="shared" si="105"/>
        <v xml:space="preserve"> </v>
      </c>
      <c r="Q540" s="25" t="str">
        <f t="shared" si="106"/>
        <v xml:space="preserve"> </v>
      </c>
      <c r="R540" s="25" t="str">
        <f t="shared" si="107"/>
        <v xml:space="preserve"> </v>
      </c>
      <c r="S540" s="26" t="str">
        <f t="shared" si="108"/>
        <v xml:space="preserve"> </v>
      </c>
      <c r="T540" s="7" t="str">
        <f t="shared" si="109"/>
        <v xml:space="preserve"> </v>
      </c>
      <c r="U540" s="8" t="str">
        <f t="shared" si="110"/>
        <v xml:space="preserve"> </v>
      </c>
      <c r="V540" s="9" t="str">
        <f t="shared" si="104"/>
        <v xml:space="preserve"> </v>
      </c>
      <c r="W540" s="9" t="str">
        <f t="shared" si="111"/>
        <v/>
      </c>
      <c r="X540" s="32"/>
      <c r="Y540" s="36"/>
    </row>
    <row r="541" spans="1:25" s="4" customFormat="1" ht="18" customHeight="1">
      <c r="A541" s="36"/>
      <c r="B541" s="69">
        <v>148.01</v>
      </c>
      <c r="C541" s="69" t="s">
        <v>829</v>
      </c>
      <c r="D541" s="31" t="s">
        <v>828</v>
      </c>
      <c r="E541" s="29" t="s">
        <v>34</v>
      </c>
      <c r="F541" s="28">
        <v>45.14</v>
      </c>
      <c r="G541" s="29">
        <v>0.1</v>
      </c>
      <c r="H541" s="29">
        <v>-0.1</v>
      </c>
      <c r="I541" s="30" t="s">
        <v>39</v>
      </c>
      <c r="J541" s="12">
        <f t="shared" si="102"/>
        <v>45.24</v>
      </c>
      <c r="K541" s="12">
        <f t="shared" si="103"/>
        <v>45.04</v>
      </c>
      <c r="L541" s="78"/>
      <c r="M541" s="78"/>
      <c r="N541" s="78"/>
      <c r="O541" s="36"/>
      <c r="P541" s="24" t="str">
        <f t="shared" si="105"/>
        <v xml:space="preserve"> </v>
      </c>
      <c r="Q541" s="25" t="str">
        <f t="shared" si="106"/>
        <v xml:space="preserve"> </v>
      </c>
      <c r="R541" s="25" t="str">
        <f t="shared" si="107"/>
        <v xml:space="preserve"> </v>
      </c>
      <c r="S541" s="26" t="str">
        <f t="shared" si="108"/>
        <v xml:space="preserve"> </v>
      </c>
      <c r="T541" s="7" t="str">
        <f t="shared" si="109"/>
        <v xml:space="preserve"> </v>
      </c>
      <c r="U541" s="8" t="str">
        <f t="shared" si="110"/>
        <v xml:space="preserve"> </v>
      </c>
      <c r="V541" s="9" t="str">
        <f t="shared" si="104"/>
        <v xml:space="preserve"> </v>
      </c>
      <c r="W541" s="9" t="str">
        <f t="shared" si="111"/>
        <v/>
      </c>
      <c r="X541" s="32"/>
      <c r="Y541" s="36"/>
    </row>
    <row r="542" spans="1:25" s="4" customFormat="1" ht="18" customHeight="1">
      <c r="A542" s="36"/>
      <c r="B542" s="69">
        <v>148.02000000000001</v>
      </c>
      <c r="C542" s="69" t="s">
        <v>830</v>
      </c>
      <c r="D542" s="31" t="s">
        <v>828</v>
      </c>
      <c r="E542" s="29" t="s">
        <v>34</v>
      </c>
      <c r="F542" s="28">
        <v>45.14</v>
      </c>
      <c r="G542" s="29">
        <v>0.1</v>
      </c>
      <c r="H542" s="29">
        <v>-0.1</v>
      </c>
      <c r="I542" s="30" t="s">
        <v>39</v>
      </c>
      <c r="J542" s="12">
        <f t="shared" si="102"/>
        <v>45.24</v>
      </c>
      <c r="K542" s="12">
        <f t="shared" si="103"/>
        <v>45.04</v>
      </c>
      <c r="L542" s="78"/>
      <c r="M542" s="78"/>
      <c r="N542" s="78"/>
      <c r="O542" s="36"/>
      <c r="P542" s="24" t="str">
        <f t="shared" si="105"/>
        <v xml:space="preserve"> </v>
      </c>
      <c r="Q542" s="25" t="str">
        <f t="shared" si="106"/>
        <v xml:space="preserve"> </v>
      </c>
      <c r="R542" s="25" t="str">
        <f t="shared" si="107"/>
        <v xml:space="preserve"> </v>
      </c>
      <c r="S542" s="26" t="str">
        <f t="shared" si="108"/>
        <v xml:space="preserve"> </v>
      </c>
      <c r="T542" s="7" t="str">
        <f t="shared" si="109"/>
        <v xml:space="preserve"> </v>
      </c>
      <c r="U542" s="8" t="str">
        <f t="shared" si="110"/>
        <v xml:space="preserve"> </v>
      </c>
      <c r="V542" s="9" t="str">
        <f t="shared" si="104"/>
        <v xml:space="preserve"> </v>
      </c>
      <c r="W542" s="9" t="str">
        <f t="shared" si="111"/>
        <v/>
      </c>
      <c r="X542" s="32"/>
      <c r="Y542" s="36"/>
    </row>
    <row r="543" spans="1:25" s="4" customFormat="1" ht="18" customHeight="1">
      <c r="A543" s="36"/>
      <c r="B543" s="69">
        <v>148.03</v>
      </c>
      <c r="C543" s="69" t="s">
        <v>831</v>
      </c>
      <c r="D543" s="31" t="s">
        <v>828</v>
      </c>
      <c r="E543" s="29" t="s">
        <v>34</v>
      </c>
      <c r="F543" s="28">
        <v>45.14</v>
      </c>
      <c r="G543" s="29">
        <v>0.1</v>
      </c>
      <c r="H543" s="29">
        <v>-0.1</v>
      </c>
      <c r="I543" s="30" t="s">
        <v>39</v>
      </c>
      <c r="J543" s="12">
        <f t="shared" si="102"/>
        <v>45.24</v>
      </c>
      <c r="K543" s="12">
        <f t="shared" si="103"/>
        <v>45.04</v>
      </c>
      <c r="L543" s="78"/>
      <c r="M543" s="78"/>
      <c r="N543" s="78"/>
      <c r="O543" s="36"/>
      <c r="P543" s="24" t="str">
        <f t="shared" si="105"/>
        <v xml:space="preserve"> </v>
      </c>
      <c r="Q543" s="25" t="str">
        <f t="shared" si="106"/>
        <v xml:space="preserve"> </v>
      </c>
      <c r="R543" s="25" t="str">
        <f t="shared" si="107"/>
        <v xml:space="preserve"> </v>
      </c>
      <c r="S543" s="26" t="str">
        <f t="shared" si="108"/>
        <v xml:space="preserve"> </v>
      </c>
      <c r="T543" s="7" t="str">
        <f t="shared" si="109"/>
        <v xml:space="preserve"> </v>
      </c>
      <c r="U543" s="8" t="str">
        <f t="shared" si="110"/>
        <v xml:space="preserve"> </v>
      </c>
      <c r="V543" s="9" t="str">
        <f t="shared" si="104"/>
        <v xml:space="preserve"> </v>
      </c>
      <c r="W543" s="9" t="str">
        <f t="shared" si="111"/>
        <v/>
      </c>
      <c r="X543" s="32"/>
      <c r="Y543" s="36"/>
    </row>
    <row r="544" spans="1:25" s="4" customFormat="1" ht="18" customHeight="1">
      <c r="A544" s="36"/>
      <c r="B544" s="69">
        <v>149.01</v>
      </c>
      <c r="C544" s="69" t="s">
        <v>832</v>
      </c>
      <c r="D544" s="31" t="s">
        <v>828</v>
      </c>
      <c r="E544" s="29" t="s">
        <v>36</v>
      </c>
      <c r="F544" s="28"/>
      <c r="G544" s="29">
        <v>0.1</v>
      </c>
      <c r="H544" s="29"/>
      <c r="I544" s="30" t="s">
        <v>39</v>
      </c>
      <c r="J544" s="12">
        <f t="shared" si="102"/>
        <v>0.1</v>
      </c>
      <c r="K544" s="12" t="str">
        <f t="shared" si="103"/>
        <v/>
      </c>
      <c r="L544" s="78"/>
      <c r="M544" s="78"/>
      <c r="N544" s="78"/>
      <c r="O544" s="36"/>
      <c r="P544" s="24" t="str">
        <f t="shared" si="105"/>
        <v xml:space="preserve"> </v>
      </c>
      <c r="Q544" s="25" t="str">
        <f t="shared" si="106"/>
        <v xml:space="preserve"> </v>
      </c>
      <c r="R544" s="25" t="str">
        <f t="shared" si="107"/>
        <v xml:space="preserve"> </v>
      </c>
      <c r="S544" s="26" t="str">
        <f t="shared" si="108"/>
        <v xml:space="preserve"> </v>
      </c>
      <c r="T544" s="7" t="str">
        <f t="shared" si="109"/>
        <v xml:space="preserve"> </v>
      </c>
      <c r="U544" s="8" t="str">
        <f t="shared" si="110"/>
        <v xml:space="preserve"> </v>
      </c>
      <c r="V544" s="9" t="str">
        <f t="shared" si="104"/>
        <v xml:space="preserve"> </v>
      </c>
      <c r="W544" s="9" t="str">
        <f t="shared" si="111"/>
        <v/>
      </c>
      <c r="X544" s="32"/>
      <c r="Y544" s="36"/>
    </row>
    <row r="545" spans="1:25" s="4" customFormat="1" ht="18" customHeight="1">
      <c r="A545" s="36"/>
      <c r="B545" s="69">
        <v>149.02000000000001</v>
      </c>
      <c r="C545" s="69" t="s">
        <v>833</v>
      </c>
      <c r="D545" s="31" t="s">
        <v>828</v>
      </c>
      <c r="E545" s="29" t="s">
        <v>36</v>
      </c>
      <c r="F545" s="28"/>
      <c r="G545" s="29">
        <v>0.04</v>
      </c>
      <c r="H545" s="29"/>
      <c r="I545" s="30" t="s">
        <v>39</v>
      </c>
      <c r="J545" s="12">
        <f t="shared" si="102"/>
        <v>0.04</v>
      </c>
      <c r="K545" s="12" t="str">
        <f t="shared" si="103"/>
        <v/>
      </c>
      <c r="L545" s="78"/>
      <c r="M545" s="78"/>
      <c r="N545" s="78"/>
      <c r="O545" s="36"/>
      <c r="P545" s="24" t="str">
        <f t="shared" si="105"/>
        <v xml:space="preserve"> </v>
      </c>
      <c r="Q545" s="25" t="str">
        <f t="shared" si="106"/>
        <v xml:space="preserve"> </v>
      </c>
      <c r="R545" s="25" t="str">
        <f t="shared" si="107"/>
        <v xml:space="preserve"> </v>
      </c>
      <c r="S545" s="26" t="str">
        <f t="shared" si="108"/>
        <v xml:space="preserve"> </v>
      </c>
      <c r="T545" s="7" t="str">
        <f t="shared" si="109"/>
        <v xml:space="preserve"> </v>
      </c>
      <c r="U545" s="8" t="str">
        <f t="shared" si="110"/>
        <v xml:space="preserve"> </v>
      </c>
      <c r="V545" s="9" t="str">
        <f t="shared" si="104"/>
        <v xml:space="preserve"> </v>
      </c>
      <c r="W545" s="9" t="str">
        <f t="shared" si="111"/>
        <v/>
      </c>
      <c r="X545" s="32"/>
      <c r="Y545" s="36"/>
    </row>
    <row r="546" spans="1:25" s="4" customFormat="1" ht="18" customHeight="1">
      <c r="A546" s="36"/>
      <c r="B546" s="69">
        <v>149.03</v>
      </c>
      <c r="C546" s="69" t="s">
        <v>834</v>
      </c>
      <c r="D546" s="31" t="s">
        <v>828</v>
      </c>
      <c r="E546" s="29" t="s">
        <v>36</v>
      </c>
      <c r="F546" s="28"/>
      <c r="G546" s="29">
        <v>0.04</v>
      </c>
      <c r="H546" s="29"/>
      <c r="I546" s="30" t="s">
        <v>39</v>
      </c>
      <c r="J546" s="12">
        <f t="shared" si="102"/>
        <v>0.04</v>
      </c>
      <c r="K546" s="12" t="str">
        <f t="shared" si="103"/>
        <v/>
      </c>
      <c r="L546" s="78"/>
      <c r="M546" s="78"/>
      <c r="N546" s="78"/>
      <c r="O546" s="36"/>
      <c r="P546" s="24" t="str">
        <f t="shared" si="105"/>
        <v xml:space="preserve"> </v>
      </c>
      <c r="Q546" s="25" t="str">
        <f t="shared" si="106"/>
        <v xml:space="preserve"> </v>
      </c>
      <c r="R546" s="25" t="str">
        <f t="shared" si="107"/>
        <v xml:space="preserve"> </v>
      </c>
      <c r="S546" s="26" t="str">
        <f t="shared" si="108"/>
        <v xml:space="preserve"> </v>
      </c>
      <c r="T546" s="7" t="str">
        <f t="shared" si="109"/>
        <v xml:space="preserve"> </v>
      </c>
      <c r="U546" s="8" t="str">
        <f t="shared" si="110"/>
        <v xml:space="preserve"> </v>
      </c>
      <c r="V546" s="9" t="str">
        <f t="shared" si="104"/>
        <v xml:space="preserve"> </v>
      </c>
      <c r="W546" s="9" t="str">
        <f t="shared" si="111"/>
        <v/>
      </c>
      <c r="X546" s="32"/>
      <c r="Y546" s="36"/>
    </row>
    <row r="547" spans="1:25" s="4" customFormat="1" ht="18" customHeight="1">
      <c r="A547" s="36"/>
      <c r="B547" s="69">
        <v>150.01</v>
      </c>
      <c r="C547" s="69" t="s">
        <v>835</v>
      </c>
      <c r="D547" s="31" t="s">
        <v>850</v>
      </c>
      <c r="E547" s="29" t="s">
        <v>34</v>
      </c>
      <c r="F547" s="28">
        <v>1.1100000000000001</v>
      </c>
      <c r="G547" s="29">
        <v>0.05</v>
      </c>
      <c r="H547" s="29">
        <v>-0.05</v>
      </c>
      <c r="I547" s="30" t="s">
        <v>39</v>
      </c>
      <c r="J547" s="12">
        <f t="shared" si="102"/>
        <v>1.1600000000000001</v>
      </c>
      <c r="K547" s="12">
        <f t="shared" si="103"/>
        <v>1.06</v>
      </c>
      <c r="L547" s="78"/>
      <c r="M547" s="78"/>
      <c r="N547" s="78"/>
      <c r="O547" s="36"/>
      <c r="P547" s="24" t="str">
        <f t="shared" si="105"/>
        <v xml:space="preserve"> </v>
      </c>
      <c r="Q547" s="25" t="str">
        <f t="shared" si="106"/>
        <v xml:space="preserve"> </v>
      </c>
      <c r="R547" s="25" t="str">
        <f t="shared" si="107"/>
        <v xml:space="preserve"> </v>
      </c>
      <c r="S547" s="26" t="str">
        <f t="shared" si="108"/>
        <v xml:space="preserve"> </v>
      </c>
      <c r="T547" s="7" t="str">
        <f t="shared" si="109"/>
        <v xml:space="preserve"> </v>
      </c>
      <c r="U547" s="8" t="str">
        <f t="shared" si="110"/>
        <v xml:space="preserve"> </v>
      </c>
      <c r="V547" s="9" t="str">
        <f t="shared" si="104"/>
        <v xml:space="preserve"> </v>
      </c>
      <c r="W547" s="9" t="str">
        <f t="shared" si="111"/>
        <v/>
      </c>
      <c r="X547" s="32"/>
      <c r="Y547" s="36"/>
    </row>
    <row r="548" spans="1:25" s="4" customFormat="1" ht="18" customHeight="1">
      <c r="A548" s="36"/>
      <c r="B548" s="69">
        <v>150.02000000000001</v>
      </c>
      <c r="C548" s="69" t="s">
        <v>836</v>
      </c>
      <c r="D548" s="31" t="s">
        <v>850</v>
      </c>
      <c r="E548" s="29" t="s">
        <v>34</v>
      </c>
      <c r="F548" s="28">
        <v>1.1100000000000001</v>
      </c>
      <c r="G548" s="29">
        <v>0.05</v>
      </c>
      <c r="H548" s="29">
        <v>-0.05</v>
      </c>
      <c r="I548" s="30" t="s">
        <v>39</v>
      </c>
      <c r="J548" s="12">
        <f t="shared" si="102"/>
        <v>1.1600000000000001</v>
      </c>
      <c r="K548" s="12">
        <f t="shared" si="103"/>
        <v>1.06</v>
      </c>
      <c r="L548" s="78"/>
      <c r="M548" s="78"/>
      <c r="N548" s="78"/>
      <c r="O548" s="36"/>
      <c r="P548" s="24" t="str">
        <f t="shared" si="105"/>
        <v xml:space="preserve"> </v>
      </c>
      <c r="Q548" s="25" t="str">
        <f t="shared" si="106"/>
        <v xml:space="preserve"> </v>
      </c>
      <c r="R548" s="25" t="str">
        <f t="shared" si="107"/>
        <v xml:space="preserve"> </v>
      </c>
      <c r="S548" s="26" t="str">
        <f t="shared" si="108"/>
        <v xml:space="preserve"> </v>
      </c>
      <c r="T548" s="7" t="str">
        <f t="shared" si="109"/>
        <v xml:space="preserve"> </v>
      </c>
      <c r="U548" s="8" t="str">
        <f t="shared" si="110"/>
        <v xml:space="preserve"> </v>
      </c>
      <c r="V548" s="9" t="str">
        <f t="shared" si="104"/>
        <v xml:space="preserve"> </v>
      </c>
      <c r="W548" s="9" t="str">
        <f t="shared" si="111"/>
        <v/>
      </c>
      <c r="X548" s="32"/>
      <c r="Y548" s="36"/>
    </row>
    <row r="549" spans="1:25" s="4" customFormat="1" ht="18" customHeight="1">
      <c r="A549" s="36"/>
      <c r="B549" s="69">
        <v>150.03</v>
      </c>
      <c r="C549" s="69" t="s">
        <v>837</v>
      </c>
      <c r="D549" s="31" t="s">
        <v>850</v>
      </c>
      <c r="E549" s="29" t="s">
        <v>34</v>
      </c>
      <c r="F549" s="28">
        <v>1.1100000000000001</v>
      </c>
      <c r="G549" s="29">
        <v>0.05</v>
      </c>
      <c r="H549" s="29">
        <v>-0.05</v>
      </c>
      <c r="I549" s="30" t="s">
        <v>39</v>
      </c>
      <c r="J549" s="12">
        <f t="shared" si="102"/>
        <v>1.1600000000000001</v>
      </c>
      <c r="K549" s="12">
        <f t="shared" si="103"/>
        <v>1.06</v>
      </c>
      <c r="L549" s="78"/>
      <c r="M549" s="78"/>
      <c r="N549" s="78"/>
      <c r="O549" s="36"/>
      <c r="P549" s="24" t="str">
        <f t="shared" si="105"/>
        <v xml:space="preserve"> </v>
      </c>
      <c r="Q549" s="25" t="str">
        <f t="shared" si="106"/>
        <v xml:space="preserve"> </v>
      </c>
      <c r="R549" s="25" t="str">
        <f t="shared" si="107"/>
        <v xml:space="preserve"> </v>
      </c>
      <c r="S549" s="26" t="str">
        <f t="shared" si="108"/>
        <v xml:space="preserve"> </v>
      </c>
      <c r="T549" s="7" t="str">
        <f t="shared" si="109"/>
        <v xml:space="preserve"> </v>
      </c>
      <c r="U549" s="8" t="str">
        <f t="shared" si="110"/>
        <v xml:space="preserve"> </v>
      </c>
      <c r="V549" s="9" t="str">
        <f t="shared" si="104"/>
        <v xml:space="preserve"> </v>
      </c>
      <c r="W549" s="9" t="str">
        <f t="shared" si="111"/>
        <v/>
      </c>
      <c r="X549" s="32"/>
      <c r="Y549" s="36"/>
    </row>
    <row r="550" spans="1:25" s="4" customFormat="1" ht="18" customHeight="1">
      <c r="A550" s="36"/>
      <c r="B550" s="69">
        <v>150.04</v>
      </c>
      <c r="C550" s="69" t="s">
        <v>838</v>
      </c>
      <c r="D550" s="31" t="s">
        <v>850</v>
      </c>
      <c r="E550" s="29" t="s">
        <v>34</v>
      </c>
      <c r="F550" s="28">
        <v>1.1100000000000001</v>
      </c>
      <c r="G550" s="29">
        <v>0.1</v>
      </c>
      <c r="H550" s="29">
        <v>0.1</v>
      </c>
      <c r="I550" s="30" t="s">
        <v>39</v>
      </c>
      <c r="J550" s="12">
        <f t="shared" ref="J550:J565" si="112">IF(AND(F550="",G550=""),"",IF(F550="",G550,F550+G550))</f>
        <v>1.2100000000000002</v>
      </c>
      <c r="K550" s="12">
        <f t="shared" ref="K550:K565" si="113">IF(AND(F550="",H550=""),"",IF(F550="",H550,F550+H550))</f>
        <v>1.2100000000000002</v>
      </c>
      <c r="L550" s="78"/>
      <c r="M550" s="78"/>
      <c r="N550" s="78"/>
      <c r="O550" s="36"/>
      <c r="P550" s="24" t="str">
        <f t="shared" si="105"/>
        <v xml:space="preserve"> </v>
      </c>
      <c r="Q550" s="25" t="str">
        <f t="shared" si="106"/>
        <v xml:space="preserve"> </v>
      </c>
      <c r="R550" s="25" t="str">
        <f t="shared" si="107"/>
        <v xml:space="preserve"> </v>
      </c>
      <c r="S550" s="26" t="str">
        <f t="shared" si="108"/>
        <v xml:space="preserve"> </v>
      </c>
      <c r="T550" s="7" t="str">
        <f t="shared" si="109"/>
        <v xml:space="preserve"> </v>
      </c>
      <c r="U550" s="8" t="str">
        <f t="shared" si="110"/>
        <v xml:space="preserve"> </v>
      </c>
      <c r="V550" s="9" t="str">
        <f t="shared" si="104"/>
        <v xml:space="preserve"> </v>
      </c>
      <c r="W550" s="9" t="str">
        <f t="shared" si="111"/>
        <v/>
      </c>
      <c r="X550" s="32"/>
      <c r="Y550" s="36"/>
    </row>
    <row r="551" spans="1:25" s="4" customFormat="1" ht="18" customHeight="1">
      <c r="A551" s="36"/>
      <c r="B551" s="69">
        <v>150.05000000000001</v>
      </c>
      <c r="C551" s="69" t="s">
        <v>839</v>
      </c>
      <c r="D551" s="31" t="s">
        <v>850</v>
      </c>
      <c r="E551" s="29" t="s">
        <v>34</v>
      </c>
      <c r="F551" s="28">
        <v>1.1100000000000001</v>
      </c>
      <c r="G551" s="29">
        <v>0.1</v>
      </c>
      <c r="H551" s="29">
        <v>0.1</v>
      </c>
      <c r="I551" s="30" t="s">
        <v>39</v>
      </c>
      <c r="J551" s="12">
        <f t="shared" si="112"/>
        <v>1.2100000000000002</v>
      </c>
      <c r="K551" s="12">
        <f t="shared" si="113"/>
        <v>1.2100000000000002</v>
      </c>
      <c r="L551" s="78"/>
      <c r="M551" s="78"/>
      <c r="N551" s="78"/>
      <c r="O551" s="36"/>
      <c r="P551" s="24" t="str">
        <f t="shared" si="105"/>
        <v xml:space="preserve"> </v>
      </c>
      <c r="Q551" s="25" t="str">
        <f t="shared" si="106"/>
        <v xml:space="preserve"> </v>
      </c>
      <c r="R551" s="25" t="str">
        <f t="shared" si="107"/>
        <v xml:space="preserve"> </v>
      </c>
      <c r="S551" s="26" t="str">
        <f t="shared" si="108"/>
        <v xml:space="preserve"> </v>
      </c>
      <c r="T551" s="7" t="str">
        <f t="shared" si="109"/>
        <v xml:space="preserve"> </v>
      </c>
      <c r="U551" s="8" t="str">
        <f t="shared" si="110"/>
        <v xml:space="preserve"> </v>
      </c>
      <c r="V551" s="9" t="str">
        <f t="shared" si="104"/>
        <v xml:space="preserve"> </v>
      </c>
      <c r="W551" s="9" t="str">
        <f t="shared" si="111"/>
        <v/>
      </c>
      <c r="X551" s="32"/>
      <c r="Y551" s="36"/>
    </row>
    <row r="552" spans="1:25" s="4" customFormat="1" ht="18" customHeight="1">
      <c r="A552" s="36"/>
      <c r="B552" s="69">
        <v>150.06</v>
      </c>
      <c r="C552" s="69" t="s">
        <v>840</v>
      </c>
      <c r="D552" s="31" t="s">
        <v>850</v>
      </c>
      <c r="E552" s="29" t="s">
        <v>34</v>
      </c>
      <c r="F552" s="28">
        <v>1.1000000000000001</v>
      </c>
      <c r="G552" s="29">
        <v>0.1</v>
      </c>
      <c r="H552" s="29">
        <v>0.1</v>
      </c>
      <c r="I552" s="30" t="s">
        <v>39</v>
      </c>
      <c r="J552" s="12">
        <f t="shared" si="112"/>
        <v>1.2000000000000002</v>
      </c>
      <c r="K552" s="12">
        <f t="shared" si="113"/>
        <v>1.2000000000000002</v>
      </c>
      <c r="L552" s="78"/>
      <c r="M552" s="78"/>
      <c r="N552" s="78"/>
      <c r="O552" s="36"/>
      <c r="P552" s="24" t="str">
        <f t="shared" si="105"/>
        <v xml:space="preserve"> </v>
      </c>
      <c r="Q552" s="25" t="str">
        <f t="shared" si="106"/>
        <v xml:space="preserve"> </v>
      </c>
      <c r="R552" s="25" t="str">
        <f t="shared" si="107"/>
        <v xml:space="preserve"> </v>
      </c>
      <c r="S552" s="26" t="str">
        <f t="shared" si="108"/>
        <v xml:space="preserve"> </v>
      </c>
      <c r="T552" s="7" t="str">
        <f t="shared" si="109"/>
        <v xml:space="preserve"> </v>
      </c>
      <c r="U552" s="8" t="str">
        <f t="shared" si="110"/>
        <v xml:space="preserve"> </v>
      </c>
      <c r="V552" s="9" t="str">
        <f t="shared" si="104"/>
        <v xml:space="preserve"> </v>
      </c>
      <c r="W552" s="9" t="str">
        <f t="shared" si="111"/>
        <v/>
      </c>
      <c r="X552" s="32"/>
      <c r="Y552" s="36"/>
    </row>
    <row r="553" spans="1:25" s="4" customFormat="1" ht="18" customHeight="1">
      <c r="A553" s="36"/>
      <c r="B553" s="69">
        <v>150.07</v>
      </c>
      <c r="C553" s="69" t="s">
        <v>841</v>
      </c>
      <c r="D553" s="31" t="s">
        <v>850</v>
      </c>
      <c r="E553" s="29" t="s">
        <v>34</v>
      </c>
      <c r="F553" s="28">
        <v>1.1000000000000001</v>
      </c>
      <c r="G553" s="29">
        <v>0.05</v>
      </c>
      <c r="H553" s="29">
        <v>-0.05</v>
      </c>
      <c r="I553" s="30" t="s">
        <v>39</v>
      </c>
      <c r="J553" s="12">
        <f t="shared" si="112"/>
        <v>1.1500000000000001</v>
      </c>
      <c r="K553" s="12">
        <f t="shared" si="113"/>
        <v>1.05</v>
      </c>
      <c r="L553" s="78"/>
      <c r="M553" s="78"/>
      <c r="N553" s="78"/>
      <c r="O553" s="36"/>
      <c r="P553" s="24" t="str">
        <f t="shared" si="105"/>
        <v xml:space="preserve"> </v>
      </c>
      <c r="Q553" s="25" t="str">
        <f t="shared" si="106"/>
        <v xml:space="preserve"> </v>
      </c>
      <c r="R553" s="25" t="str">
        <f t="shared" si="107"/>
        <v xml:space="preserve"> </v>
      </c>
      <c r="S553" s="26" t="str">
        <f t="shared" si="108"/>
        <v xml:space="preserve"> </v>
      </c>
      <c r="T553" s="7" t="str">
        <f t="shared" si="109"/>
        <v xml:space="preserve"> </v>
      </c>
      <c r="U553" s="8" t="str">
        <f t="shared" si="110"/>
        <v xml:space="preserve"> </v>
      </c>
      <c r="V553" s="9" t="str">
        <f t="shared" si="104"/>
        <v xml:space="preserve"> </v>
      </c>
      <c r="W553" s="9" t="str">
        <f t="shared" si="111"/>
        <v/>
      </c>
      <c r="X553" s="32"/>
      <c r="Y553" s="36"/>
    </row>
    <row r="554" spans="1:25" s="4" customFormat="1" ht="18" customHeight="1">
      <c r="A554" s="36"/>
      <c r="B554" s="69">
        <v>150.08000000000001</v>
      </c>
      <c r="C554" s="69" t="s">
        <v>842</v>
      </c>
      <c r="D554" s="31" t="s">
        <v>850</v>
      </c>
      <c r="E554" s="29" t="s">
        <v>34</v>
      </c>
      <c r="F554" s="28">
        <v>1.1000000000000001</v>
      </c>
      <c r="G554" s="29">
        <v>0.05</v>
      </c>
      <c r="H554" s="29">
        <v>-0.05</v>
      </c>
      <c r="I554" s="30" t="s">
        <v>39</v>
      </c>
      <c r="J554" s="12">
        <f t="shared" si="112"/>
        <v>1.1500000000000001</v>
      </c>
      <c r="K554" s="12">
        <f t="shared" si="113"/>
        <v>1.05</v>
      </c>
      <c r="L554" s="78"/>
      <c r="M554" s="78"/>
      <c r="N554" s="78"/>
      <c r="O554" s="36"/>
      <c r="P554" s="24" t="str">
        <f t="shared" si="105"/>
        <v xml:space="preserve"> </v>
      </c>
      <c r="Q554" s="25" t="str">
        <f t="shared" si="106"/>
        <v xml:space="preserve"> </v>
      </c>
      <c r="R554" s="25" t="str">
        <f t="shared" si="107"/>
        <v xml:space="preserve"> </v>
      </c>
      <c r="S554" s="26" t="str">
        <f t="shared" si="108"/>
        <v xml:space="preserve"> </v>
      </c>
      <c r="T554" s="7" t="str">
        <f t="shared" si="109"/>
        <v xml:space="preserve"> </v>
      </c>
      <c r="U554" s="8" t="str">
        <f t="shared" si="110"/>
        <v xml:space="preserve"> </v>
      </c>
      <c r="V554" s="9" t="str">
        <f t="shared" si="104"/>
        <v xml:space="preserve"> </v>
      </c>
      <c r="W554" s="9" t="str">
        <f t="shared" si="111"/>
        <v/>
      </c>
      <c r="X554" s="32"/>
      <c r="Y554" s="36"/>
    </row>
    <row r="555" spans="1:25" s="4" customFormat="1" ht="18" customHeight="1">
      <c r="A555" s="36"/>
      <c r="B555" s="69">
        <v>150.09</v>
      </c>
      <c r="C555" s="69" t="s">
        <v>843</v>
      </c>
      <c r="D555" s="31" t="s">
        <v>850</v>
      </c>
      <c r="E555" s="29" t="s">
        <v>34</v>
      </c>
      <c r="F555" s="28">
        <v>1.1000000000000001</v>
      </c>
      <c r="G555" s="29">
        <v>0.05</v>
      </c>
      <c r="H555" s="29">
        <v>-0.05</v>
      </c>
      <c r="I555" s="30" t="s">
        <v>39</v>
      </c>
      <c r="J555" s="12">
        <f t="shared" si="112"/>
        <v>1.1500000000000001</v>
      </c>
      <c r="K555" s="12">
        <f t="shared" si="113"/>
        <v>1.05</v>
      </c>
      <c r="L555" s="78"/>
      <c r="M555" s="78"/>
      <c r="N555" s="78"/>
      <c r="O555" s="36"/>
      <c r="P555" s="24" t="str">
        <f t="shared" si="105"/>
        <v xml:space="preserve"> </v>
      </c>
      <c r="Q555" s="25" t="str">
        <f t="shared" si="106"/>
        <v xml:space="preserve"> </v>
      </c>
      <c r="R555" s="25" t="str">
        <f t="shared" si="107"/>
        <v xml:space="preserve"> </v>
      </c>
      <c r="S555" s="26" t="str">
        <f t="shared" si="108"/>
        <v xml:space="preserve"> </v>
      </c>
      <c r="T555" s="7" t="str">
        <f t="shared" si="109"/>
        <v xml:space="preserve"> </v>
      </c>
      <c r="U555" s="8" t="str">
        <f t="shared" si="110"/>
        <v xml:space="preserve"> </v>
      </c>
      <c r="V555" s="9" t="str">
        <f t="shared" si="104"/>
        <v xml:space="preserve"> </v>
      </c>
      <c r="W555" s="9" t="str">
        <f t="shared" si="111"/>
        <v/>
      </c>
      <c r="X555" s="32"/>
      <c r="Y555" s="36"/>
    </row>
    <row r="556" spans="1:25" s="4" customFormat="1" ht="18" customHeight="1">
      <c r="A556" s="36"/>
      <c r="B556" s="69" t="s">
        <v>947</v>
      </c>
      <c r="C556" s="69" t="s">
        <v>844</v>
      </c>
      <c r="D556" s="31" t="s">
        <v>850</v>
      </c>
      <c r="E556" s="29" t="s">
        <v>34</v>
      </c>
      <c r="F556" s="28">
        <v>1.1000000000000001</v>
      </c>
      <c r="G556" s="29">
        <v>0.05</v>
      </c>
      <c r="H556" s="29">
        <v>-0.05</v>
      </c>
      <c r="I556" s="30" t="s">
        <v>39</v>
      </c>
      <c r="J556" s="12">
        <f t="shared" si="112"/>
        <v>1.1500000000000001</v>
      </c>
      <c r="K556" s="12">
        <f t="shared" si="113"/>
        <v>1.05</v>
      </c>
      <c r="L556" s="78"/>
      <c r="M556" s="78"/>
      <c r="N556" s="78"/>
      <c r="O556" s="36"/>
      <c r="P556" s="24" t="str">
        <f t="shared" si="105"/>
        <v xml:space="preserve"> </v>
      </c>
      <c r="Q556" s="25" t="str">
        <f t="shared" si="106"/>
        <v xml:space="preserve"> </v>
      </c>
      <c r="R556" s="25" t="str">
        <f t="shared" si="107"/>
        <v xml:space="preserve"> </v>
      </c>
      <c r="S556" s="26" t="str">
        <f t="shared" si="108"/>
        <v xml:space="preserve"> </v>
      </c>
      <c r="T556" s="7" t="str">
        <f t="shared" si="109"/>
        <v xml:space="preserve"> </v>
      </c>
      <c r="U556" s="8" t="str">
        <f t="shared" si="110"/>
        <v xml:space="preserve"> </v>
      </c>
      <c r="V556" s="9" t="str">
        <f t="shared" si="104"/>
        <v xml:space="preserve"> </v>
      </c>
      <c r="W556" s="9" t="str">
        <f t="shared" si="111"/>
        <v/>
      </c>
      <c r="X556" s="32"/>
      <c r="Y556" s="36"/>
    </row>
    <row r="557" spans="1:25" s="4" customFormat="1" ht="18" customHeight="1">
      <c r="A557" s="36"/>
      <c r="B557" s="69">
        <v>150.11000000000001</v>
      </c>
      <c r="C557" s="69" t="s">
        <v>845</v>
      </c>
      <c r="D557" s="31" t="s">
        <v>850</v>
      </c>
      <c r="E557" s="29" t="s">
        <v>34</v>
      </c>
      <c r="F557" s="28">
        <v>1.1000000000000001</v>
      </c>
      <c r="G557" s="29">
        <v>0.05</v>
      </c>
      <c r="H557" s="29">
        <v>-0.05</v>
      </c>
      <c r="I557" s="30" t="s">
        <v>39</v>
      </c>
      <c r="J557" s="12">
        <f t="shared" si="112"/>
        <v>1.1500000000000001</v>
      </c>
      <c r="K557" s="12">
        <f t="shared" si="113"/>
        <v>1.05</v>
      </c>
      <c r="L557" s="78"/>
      <c r="M557" s="78"/>
      <c r="N557" s="78"/>
      <c r="O557" s="36"/>
      <c r="P557" s="24" t="str">
        <f t="shared" si="105"/>
        <v xml:space="preserve"> </v>
      </c>
      <c r="Q557" s="25" t="str">
        <f t="shared" si="106"/>
        <v xml:space="preserve"> </v>
      </c>
      <c r="R557" s="25" t="str">
        <f t="shared" si="107"/>
        <v xml:space="preserve"> </v>
      </c>
      <c r="S557" s="26" t="str">
        <f t="shared" si="108"/>
        <v xml:space="preserve"> </v>
      </c>
      <c r="T557" s="7" t="str">
        <f t="shared" si="109"/>
        <v xml:space="preserve"> </v>
      </c>
      <c r="U557" s="8" t="str">
        <f t="shared" si="110"/>
        <v xml:space="preserve"> </v>
      </c>
      <c r="V557" s="9" t="str">
        <f t="shared" si="104"/>
        <v xml:space="preserve"> </v>
      </c>
      <c r="W557" s="9" t="str">
        <f t="shared" si="111"/>
        <v/>
      </c>
      <c r="X557" s="32"/>
      <c r="Y557" s="36"/>
    </row>
    <row r="558" spans="1:25" s="4" customFormat="1" ht="18" customHeight="1">
      <c r="A558" s="36"/>
      <c r="B558" s="69">
        <v>150.12</v>
      </c>
      <c r="C558" s="69" t="s">
        <v>846</v>
      </c>
      <c r="D558" s="31" t="s">
        <v>850</v>
      </c>
      <c r="E558" s="29" t="s">
        <v>34</v>
      </c>
      <c r="F558" s="28">
        <v>1.1000000000000001</v>
      </c>
      <c r="G558" s="29">
        <v>0.05</v>
      </c>
      <c r="H558" s="29">
        <v>-0.05</v>
      </c>
      <c r="I558" s="30" t="s">
        <v>39</v>
      </c>
      <c r="J558" s="12">
        <f t="shared" si="112"/>
        <v>1.1500000000000001</v>
      </c>
      <c r="K558" s="12">
        <f t="shared" si="113"/>
        <v>1.05</v>
      </c>
      <c r="L558" s="78"/>
      <c r="M558" s="78"/>
      <c r="N558" s="78"/>
      <c r="O558" s="36"/>
      <c r="P558" s="24" t="str">
        <f t="shared" si="105"/>
        <v xml:space="preserve"> </v>
      </c>
      <c r="Q558" s="25" t="str">
        <f t="shared" si="106"/>
        <v xml:space="preserve"> </v>
      </c>
      <c r="R558" s="25" t="str">
        <f t="shared" si="107"/>
        <v xml:space="preserve"> </v>
      </c>
      <c r="S558" s="26" t="str">
        <f t="shared" si="108"/>
        <v xml:space="preserve"> </v>
      </c>
      <c r="T558" s="7" t="str">
        <f t="shared" si="109"/>
        <v xml:space="preserve"> </v>
      </c>
      <c r="U558" s="8" t="str">
        <f t="shared" si="110"/>
        <v xml:space="preserve"> </v>
      </c>
      <c r="V558" s="9" t="str">
        <f t="shared" si="104"/>
        <v xml:space="preserve"> </v>
      </c>
      <c r="W558" s="9" t="str">
        <f t="shared" si="111"/>
        <v/>
      </c>
      <c r="X558" s="32"/>
      <c r="Y558" s="36"/>
    </row>
    <row r="559" spans="1:25" s="4" customFormat="1" ht="18" customHeight="1">
      <c r="A559" s="36"/>
      <c r="B559" s="69">
        <v>150.13</v>
      </c>
      <c r="C559" s="69" t="s">
        <v>847</v>
      </c>
      <c r="D559" s="31" t="s">
        <v>850</v>
      </c>
      <c r="E559" s="29" t="s">
        <v>34</v>
      </c>
      <c r="F559" s="28">
        <v>1.1000000000000001</v>
      </c>
      <c r="G559" s="29">
        <v>0.05</v>
      </c>
      <c r="H559" s="29">
        <v>-0.05</v>
      </c>
      <c r="I559" s="30" t="s">
        <v>39</v>
      </c>
      <c r="J559" s="12">
        <f t="shared" si="112"/>
        <v>1.1500000000000001</v>
      </c>
      <c r="K559" s="12">
        <f t="shared" si="113"/>
        <v>1.05</v>
      </c>
      <c r="L559" s="78"/>
      <c r="M559" s="78"/>
      <c r="N559" s="78"/>
      <c r="O559" s="36"/>
      <c r="P559" s="24" t="str">
        <f t="shared" si="105"/>
        <v xml:space="preserve"> </v>
      </c>
      <c r="Q559" s="25" t="str">
        <f t="shared" si="106"/>
        <v xml:space="preserve"> </v>
      </c>
      <c r="R559" s="25" t="str">
        <f t="shared" si="107"/>
        <v xml:space="preserve"> </v>
      </c>
      <c r="S559" s="26" t="str">
        <f t="shared" si="108"/>
        <v xml:space="preserve"> </v>
      </c>
      <c r="T559" s="7" t="str">
        <f t="shared" si="109"/>
        <v xml:space="preserve"> </v>
      </c>
      <c r="U559" s="8" t="str">
        <f t="shared" si="110"/>
        <v xml:space="preserve"> </v>
      </c>
      <c r="V559" s="9" t="str">
        <f t="shared" si="104"/>
        <v xml:space="preserve"> </v>
      </c>
      <c r="W559" s="9" t="str">
        <f t="shared" si="111"/>
        <v/>
      </c>
      <c r="X559" s="32"/>
      <c r="Y559" s="36"/>
    </row>
    <row r="560" spans="1:25" s="4" customFormat="1" ht="18" customHeight="1">
      <c r="A560" s="36"/>
      <c r="B560" s="69">
        <v>150.13999999999999</v>
      </c>
      <c r="C560" s="69" t="s">
        <v>848</v>
      </c>
      <c r="D560" s="31" t="s">
        <v>850</v>
      </c>
      <c r="E560" s="29" t="s">
        <v>34</v>
      </c>
      <c r="F560" s="28">
        <v>1.1000000000000001</v>
      </c>
      <c r="G560" s="29">
        <v>0.05</v>
      </c>
      <c r="H560" s="29">
        <v>-0.05</v>
      </c>
      <c r="I560" s="30" t="s">
        <v>39</v>
      </c>
      <c r="J560" s="12">
        <f t="shared" si="112"/>
        <v>1.1500000000000001</v>
      </c>
      <c r="K560" s="12">
        <f t="shared" si="113"/>
        <v>1.05</v>
      </c>
      <c r="L560" s="78"/>
      <c r="M560" s="78"/>
      <c r="N560" s="78"/>
      <c r="O560" s="36"/>
      <c r="P560" s="24" t="str">
        <f t="shared" si="105"/>
        <v xml:space="preserve"> </v>
      </c>
      <c r="Q560" s="25" t="str">
        <f t="shared" si="106"/>
        <v xml:space="preserve"> </v>
      </c>
      <c r="R560" s="25" t="str">
        <f t="shared" si="107"/>
        <v xml:space="preserve"> </v>
      </c>
      <c r="S560" s="26" t="str">
        <f t="shared" si="108"/>
        <v xml:space="preserve"> </v>
      </c>
      <c r="T560" s="7" t="str">
        <f t="shared" si="109"/>
        <v xml:space="preserve"> </v>
      </c>
      <c r="U560" s="8" t="str">
        <f t="shared" si="110"/>
        <v xml:space="preserve"> </v>
      </c>
      <c r="V560" s="9" t="str">
        <f t="shared" si="104"/>
        <v xml:space="preserve"> </v>
      </c>
      <c r="W560" s="9" t="str">
        <f t="shared" si="111"/>
        <v/>
      </c>
      <c r="X560" s="32"/>
      <c r="Y560" s="36"/>
    </row>
    <row r="561" spans="1:25" s="4" customFormat="1" ht="18" customHeight="1">
      <c r="A561" s="36"/>
      <c r="B561" s="69">
        <v>150.15</v>
      </c>
      <c r="C561" s="69" t="s">
        <v>849</v>
      </c>
      <c r="D561" s="31" t="s">
        <v>850</v>
      </c>
      <c r="E561" s="29" t="s">
        <v>34</v>
      </c>
      <c r="F561" s="28">
        <v>1.1000000000000001</v>
      </c>
      <c r="G561" s="29">
        <v>0.05</v>
      </c>
      <c r="H561" s="29">
        <v>-0.05</v>
      </c>
      <c r="I561" s="30" t="s">
        <v>39</v>
      </c>
      <c r="J561" s="12">
        <f t="shared" si="112"/>
        <v>1.1500000000000001</v>
      </c>
      <c r="K561" s="12">
        <f t="shared" si="113"/>
        <v>1.05</v>
      </c>
      <c r="L561" s="78"/>
      <c r="M561" s="78"/>
      <c r="N561" s="78"/>
      <c r="O561" s="36"/>
      <c r="P561" s="24" t="str">
        <f t="shared" si="105"/>
        <v xml:space="preserve"> </v>
      </c>
      <c r="Q561" s="25" t="str">
        <f t="shared" si="106"/>
        <v xml:space="preserve"> </v>
      </c>
      <c r="R561" s="25" t="str">
        <f t="shared" si="107"/>
        <v xml:space="preserve"> </v>
      </c>
      <c r="S561" s="26" t="str">
        <f t="shared" si="108"/>
        <v xml:space="preserve"> </v>
      </c>
      <c r="T561" s="7" t="str">
        <f t="shared" si="109"/>
        <v xml:space="preserve"> </v>
      </c>
      <c r="U561" s="8" t="str">
        <f t="shared" si="110"/>
        <v xml:space="preserve"> </v>
      </c>
      <c r="V561" s="9" t="str">
        <f t="shared" si="104"/>
        <v xml:space="preserve"> </v>
      </c>
      <c r="W561" s="9" t="str">
        <f t="shared" si="111"/>
        <v/>
      </c>
      <c r="X561" s="32"/>
      <c r="Y561" s="36"/>
    </row>
    <row r="562" spans="1:25" s="4" customFormat="1" ht="18" customHeight="1">
      <c r="A562" s="36"/>
      <c r="B562" s="69">
        <v>151.01</v>
      </c>
      <c r="C562" s="69" t="s">
        <v>852</v>
      </c>
      <c r="D562" s="31" t="s">
        <v>851</v>
      </c>
      <c r="E562" s="29" t="s">
        <v>34</v>
      </c>
      <c r="F562" s="28">
        <v>42.51</v>
      </c>
      <c r="G562" s="29">
        <v>0.05</v>
      </c>
      <c r="H562" s="29">
        <v>-0.05</v>
      </c>
      <c r="I562" s="30" t="s">
        <v>39</v>
      </c>
      <c r="J562" s="12">
        <f t="shared" si="112"/>
        <v>42.559999999999995</v>
      </c>
      <c r="K562" s="12">
        <f t="shared" si="113"/>
        <v>42.46</v>
      </c>
      <c r="L562" s="78"/>
      <c r="M562" s="78"/>
      <c r="N562" s="78"/>
      <c r="O562" s="36"/>
      <c r="P562" s="24" t="str">
        <f t="shared" si="105"/>
        <v xml:space="preserve"> </v>
      </c>
      <c r="Q562" s="25" t="str">
        <f t="shared" si="106"/>
        <v xml:space="preserve"> </v>
      </c>
      <c r="R562" s="25" t="str">
        <f t="shared" si="107"/>
        <v xml:space="preserve"> </v>
      </c>
      <c r="S562" s="26" t="str">
        <f t="shared" si="108"/>
        <v xml:space="preserve"> </v>
      </c>
      <c r="T562" s="7" t="str">
        <f t="shared" si="109"/>
        <v xml:space="preserve"> </v>
      </c>
      <c r="U562" s="8" t="str">
        <f t="shared" si="110"/>
        <v xml:space="preserve"> </v>
      </c>
      <c r="V562" s="9" t="str">
        <f t="shared" si="104"/>
        <v xml:space="preserve"> </v>
      </c>
      <c r="W562" s="9" t="str">
        <f t="shared" si="111"/>
        <v/>
      </c>
      <c r="X562" s="32"/>
      <c r="Y562" s="36"/>
    </row>
    <row r="563" spans="1:25" s="4" customFormat="1" ht="18" customHeight="1">
      <c r="A563" s="36"/>
      <c r="B563" s="69">
        <v>151.02000000000001</v>
      </c>
      <c r="C563" s="69" t="s">
        <v>853</v>
      </c>
      <c r="D563" s="31" t="s">
        <v>851</v>
      </c>
      <c r="E563" s="29" t="s">
        <v>34</v>
      </c>
      <c r="F563" s="28">
        <v>42.51</v>
      </c>
      <c r="G563" s="29">
        <v>0.05</v>
      </c>
      <c r="H563" s="29">
        <v>-0.05</v>
      </c>
      <c r="I563" s="30" t="s">
        <v>39</v>
      </c>
      <c r="J563" s="12">
        <f t="shared" si="112"/>
        <v>42.559999999999995</v>
      </c>
      <c r="K563" s="12">
        <f t="shared" si="113"/>
        <v>42.46</v>
      </c>
      <c r="L563" s="78"/>
      <c r="M563" s="78"/>
      <c r="N563" s="78"/>
      <c r="O563" s="36"/>
      <c r="P563" s="24" t="str">
        <f t="shared" si="105"/>
        <v xml:space="preserve"> </v>
      </c>
      <c r="Q563" s="25" t="str">
        <f t="shared" si="106"/>
        <v xml:space="preserve"> </v>
      </c>
      <c r="R563" s="25" t="str">
        <f t="shared" si="107"/>
        <v xml:space="preserve"> </v>
      </c>
      <c r="S563" s="26" t="str">
        <f t="shared" si="108"/>
        <v xml:space="preserve"> </v>
      </c>
      <c r="T563" s="7" t="str">
        <f t="shared" si="109"/>
        <v xml:space="preserve"> </v>
      </c>
      <c r="U563" s="8" t="str">
        <f t="shared" si="110"/>
        <v xml:space="preserve"> </v>
      </c>
      <c r="V563" s="9" t="str">
        <f t="shared" si="104"/>
        <v xml:space="preserve"> </v>
      </c>
      <c r="W563" s="9" t="str">
        <f t="shared" si="111"/>
        <v/>
      </c>
      <c r="X563" s="32"/>
      <c r="Y563" s="36"/>
    </row>
    <row r="564" spans="1:25" s="4" customFormat="1" ht="18" customHeight="1">
      <c r="A564" s="36"/>
      <c r="B564" s="69">
        <v>152.01</v>
      </c>
      <c r="C564" s="69" t="s">
        <v>854</v>
      </c>
      <c r="D564" s="31" t="s">
        <v>851</v>
      </c>
      <c r="E564" s="29" t="s">
        <v>36</v>
      </c>
      <c r="F564" s="28"/>
      <c r="G564" s="29">
        <v>0.05</v>
      </c>
      <c r="H564" s="29"/>
      <c r="I564" s="30" t="s">
        <v>39</v>
      </c>
      <c r="J564" s="12">
        <f t="shared" si="112"/>
        <v>0.05</v>
      </c>
      <c r="K564" s="12" t="str">
        <f t="shared" si="113"/>
        <v/>
      </c>
      <c r="L564" s="78"/>
      <c r="M564" s="78"/>
      <c r="N564" s="78"/>
      <c r="O564" s="36"/>
      <c r="P564" s="24" t="str">
        <f t="shared" si="105"/>
        <v xml:space="preserve"> </v>
      </c>
      <c r="Q564" s="25" t="str">
        <f t="shared" si="106"/>
        <v xml:space="preserve"> </v>
      </c>
      <c r="R564" s="25" t="str">
        <f t="shared" si="107"/>
        <v xml:space="preserve"> </v>
      </c>
      <c r="S564" s="26" t="str">
        <f t="shared" si="108"/>
        <v xml:space="preserve"> </v>
      </c>
      <c r="T564" s="7" t="str">
        <f t="shared" si="109"/>
        <v xml:space="preserve"> </v>
      </c>
      <c r="U564" s="8" t="str">
        <f t="shared" si="110"/>
        <v xml:space="preserve"> </v>
      </c>
      <c r="V564" s="9" t="str">
        <f t="shared" si="104"/>
        <v xml:space="preserve"> </v>
      </c>
      <c r="W564" s="9" t="str">
        <f t="shared" si="111"/>
        <v/>
      </c>
      <c r="X564" s="32"/>
      <c r="Y564" s="36"/>
    </row>
    <row r="565" spans="1:25" s="4" customFormat="1" ht="18" customHeight="1">
      <c r="A565" s="36"/>
      <c r="B565" s="69">
        <v>152.02000000000001</v>
      </c>
      <c r="C565" s="69" t="s">
        <v>855</v>
      </c>
      <c r="D565" s="31" t="s">
        <v>851</v>
      </c>
      <c r="E565" s="29" t="s">
        <v>36</v>
      </c>
      <c r="F565" s="28"/>
      <c r="G565" s="29">
        <v>0.05</v>
      </c>
      <c r="H565" s="29"/>
      <c r="I565" s="30" t="s">
        <v>39</v>
      </c>
      <c r="J565" s="12">
        <f t="shared" si="112"/>
        <v>0.05</v>
      </c>
      <c r="K565" s="12" t="str">
        <f t="shared" si="113"/>
        <v/>
      </c>
      <c r="L565" s="78"/>
      <c r="M565" s="78"/>
      <c r="N565" s="78"/>
      <c r="O565" s="36"/>
      <c r="P565" s="24" t="str">
        <f t="shared" si="105"/>
        <v xml:space="preserve"> </v>
      </c>
      <c r="Q565" s="25" t="str">
        <f t="shared" si="106"/>
        <v xml:space="preserve"> </v>
      </c>
      <c r="R565" s="25" t="str">
        <f t="shared" si="107"/>
        <v xml:space="preserve"> </v>
      </c>
      <c r="S565" s="26" t="str">
        <f t="shared" si="108"/>
        <v xml:space="preserve"> </v>
      </c>
      <c r="T565" s="7" t="str">
        <f t="shared" si="109"/>
        <v xml:space="preserve"> </v>
      </c>
      <c r="U565" s="8" t="str">
        <f t="shared" si="110"/>
        <v xml:space="preserve"> </v>
      </c>
      <c r="V565" s="9" t="str">
        <f t="shared" si="104"/>
        <v xml:space="preserve"> </v>
      </c>
      <c r="W565" s="9" t="str">
        <f t="shared" si="111"/>
        <v/>
      </c>
      <c r="X565" s="32"/>
      <c r="Y565" s="36"/>
    </row>
    <row r="566" spans="1:25" s="4" customFormat="1" ht="18" customHeight="1">
      <c r="A566" s="36"/>
      <c r="B566" s="69" t="s">
        <v>865</v>
      </c>
      <c r="C566" s="69"/>
      <c r="D566" s="31"/>
      <c r="E566" s="29"/>
      <c r="F566" s="28"/>
      <c r="G566" s="29"/>
      <c r="H566" s="29"/>
      <c r="I566" s="30"/>
      <c r="J566" s="12"/>
      <c r="K566" s="12"/>
      <c r="L566" s="6"/>
      <c r="M566" s="6"/>
      <c r="N566" s="6"/>
      <c r="O566" s="36"/>
      <c r="P566" s="24"/>
      <c r="Q566" s="25"/>
      <c r="R566" s="25"/>
      <c r="S566" s="26"/>
      <c r="T566" s="7"/>
      <c r="U566" s="8"/>
      <c r="V566" s="9"/>
      <c r="W566" s="9"/>
      <c r="X566" s="32"/>
      <c r="Y566" s="36"/>
    </row>
    <row r="567" spans="1:25" s="4" customFormat="1" ht="18" customHeight="1">
      <c r="A567" s="36"/>
      <c r="B567" s="69" t="s">
        <v>866</v>
      </c>
      <c r="C567" s="69"/>
      <c r="D567" s="31"/>
      <c r="E567" s="29"/>
      <c r="F567" s="28"/>
      <c r="G567" s="29"/>
      <c r="H567" s="29"/>
      <c r="I567" s="30"/>
      <c r="J567" s="12"/>
      <c r="K567" s="12"/>
      <c r="L567" s="6"/>
      <c r="M567" s="6"/>
      <c r="N567" s="6"/>
      <c r="O567" s="36"/>
      <c r="P567" s="24"/>
      <c r="Q567" s="25"/>
      <c r="R567" s="25"/>
      <c r="S567" s="26"/>
      <c r="T567" s="7"/>
      <c r="U567" s="8"/>
      <c r="V567" s="9"/>
      <c r="W567" s="9"/>
      <c r="X567" s="32"/>
      <c r="Y567" s="36"/>
    </row>
    <row r="568" spans="1:25" s="4" customFormat="1" ht="18" customHeight="1">
      <c r="A568" s="36"/>
      <c r="B568" s="69" t="s">
        <v>871</v>
      </c>
      <c r="C568" s="69"/>
      <c r="D568" s="31"/>
      <c r="E568" s="29"/>
      <c r="F568" s="28"/>
      <c r="G568" s="29"/>
      <c r="H568" s="29"/>
      <c r="I568" s="30"/>
      <c r="J568" s="12"/>
      <c r="K568" s="12"/>
      <c r="L568" s="6"/>
      <c r="M568" s="6"/>
      <c r="N568" s="6"/>
      <c r="O568" s="36"/>
      <c r="P568" s="24"/>
      <c r="Q568" s="25"/>
      <c r="R568" s="25"/>
      <c r="S568" s="26"/>
      <c r="T568" s="7"/>
      <c r="U568" s="8"/>
      <c r="V568" s="9"/>
      <c r="W568" s="9"/>
      <c r="X568" s="32"/>
      <c r="Y568" s="36"/>
    </row>
    <row r="569" spans="1:25" s="4" customFormat="1" ht="36" customHeight="1">
      <c r="A569" s="36"/>
      <c r="J569" s="12"/>
      <c r="K569" s="12"/>
      <c r="L569" s="6"/>
      <c r="M569" s="6"/>
      <c r="N569" s="6"/>
      <c r="O569" s="36"/>
      <c r="P569" s="24"/>
      <c r="Q569" s="25"/>
      <c r="R569" s="25"/>
      <c r="S569" s="26"/>
      <c r="T569" s="7"/>
      <c r="U569" s="8"/>
      <c r="V569" s="9"/>
      <c r="W569" s="9"/>
      <c r="X569" s="32"/>
      <c r="Y569" s="36"/>
    </row>
    <row r="570" spans="1:25" s="4" customFormat="1" ht="43.8" customHeight="1">
      <c r="A570" s="36"/>
      <c r="J570" s="12"/>
      <c r="K570" s="12"/>
      <c r="L570" s="6"/>
      <c r="M570" s="6"/>
      <c r="N570" s="6"/>
      <c r="O570" s="36"/>
      <c r="P570" s="24"/>
      <c r="Q570" s="25"/>
      <c r="R570" s="25"/>
      <c r="S570" s="26"/>
      <c r="T570" s="7"/>
      <c r="U570" s="8"/>
      <c r="V570" s="9"/>
      <c r="W570" s="9"/>
      <c r="X570" s="32"/>
      <c r="Y570" s="36"/>
    </row>
    <row r="571" spans="1:25" s="4" customFormat="1" ht="31.2" customHeight="1">
      <c r="A571" s="36"/>
      <c r="J571" s="12">
        <f>IF(AND(F13="",G13=""),"",IF(F13="",G13,F13+G13))</f>
        <v>8.8050000000000015</v>
      </c>
      <c r="K571" s="12">
        <f>IF(AND(F13="",H13=""),"",IF(F13="",H13,F13+H13))</f>
        <v>8.8050000000000015</v>
      </c>
      <c r="L571" s="6"/>
      <c r="M571" s="6"/>
      <c r="N571" s="6"/>
      <c r="O571" s="36"/>
      <c r="P571" s="24" t="str">
        <f>IF(ISERR(L571/L571)=TRUE," ",L571-$F13)</f>
        <v xml:space="preserve"> </v>
      </c>
      <c r="Q571" s="25" t="str">
        <f>IF(ISERR(M571/M571)=TRUE," ",M571-$F13)</f>
        <v xml:space="preserve"> </v>
      </c>
      <c r="R571" s="25" t="str">
        <f>IF(ISERR(N571/N571)=TRUE," ",N571-$F13)</f>
        <v xml:space="preserve"> </v>
      </c>
      <c r="S571" s="26" t="str">
        <f t="shared" si="108"/>
        <v xml:space="preserve"> </v>
      </c>
      <c r="T571" s="7" t="str">
        <f>IF(ISERR(G13/G13)=TRUE," ",IF(ISERR(L571/L571)=TRUE," ",IF(ISNUMBER($L571)=FALSE," ",IF(MAX($L571:$N571)&lt;$F13,0,(MAX($L571:$N571)-$F13)/$G13))))</f>
        <v xml:space="preserve"> </v>
      </c>
      <c r="U571" s="8" t="str">
        <f>IF(ISERR(H13/F13)=TRUE," ",IF(ISERR(H13/H13)=TRUE," ",IF(ISERR(L571/L571)=TRUE," ",IF(ISNUMBER(L571)=FALSE," ",IF(MIN(L571:N571)&gt;$F13,0,($F13-MIN(L571:N571))/-H13)))))</f>
        <v xml:space="preserve"> </v>
      </c>
      <c r="V571" s="9" t="str">
        <f t="shared" si="104"/>
        <v xml:space="preserve"> </v>
      </c>
      <c r="W571" s="9" t="str">
        <f>IF(L571="","",IF(ISERR(H13/H13)=TRUE," ",IF(ISERR(H13/F13)=TRUE,IF((H13-MIN(L571:N571))&gt;0.001,"Reject",""),IF(ISNUMBER($U571)=TRUE,IF($U571&gt;0.651,IF($U571&gt;1.001,"Reject","Alert")," ")," "))))</f>
        <v/>
      </c>
      <c r="X571" s="32"/>
      <c r="Y571" s="36"/>
    </row>
    <row r="572" spans="1:25" s="4" customFormat="1" ht="18" customHeight="1">
      <c r="A572" s="36"/>
      <c r="B572" s="76"/>
      <c r="C572" s="69"/>
      <c r="D572" s="31"/>
      <c r="E572" s="29"/>
      <c r="F572" s="28"/>
      <c r="G572" s="29"/>
      <c r="H572" s="29"/>
      <c r="I572" s="30"/>
      <c r="J572" s="12" t="str">
        <f t="shared" ref="J572:J692" si="114">IF(AND(F572="",G572=""),"",IF(F572="",G572,F572+G572))</f>
        <v/>
      </c>
      <c r="K572" s="12" t="str">
        <f t="shared" ref="K572:K692" si="115">IF(AND(F572="",H572=""),"",IF(F572="",H572,F572+H572))</f>
        <v/>
      </c>
      <c r="L572" s="6"/>
      <c r="M572" s="6"/>
      <c r="N572" s="6"/>
      <c r="O572" s="36"/>
      <c r="P572" s="24" t="str">
        <f t="shared" si="105"/>
        <v xml:space="preserve"> </v>
      </c>
      <c r="Q572" s="25" t="str">
        <f t="shared" si="106"/>
        <v xml:space="preserve"> </v>
      </c>
      <c r="R572" s="25" t="str">
        <f t="shared" si="107"/>
        <v xml:space="preserve"> </v>
      </c>
      <c r="S572" s="26" t="str">
        <f t="shared" si="108"/>
        <v xml:space="preserve"> </v>
      </c>
      <c r="T572" s="7" t="str">
        <f t="shared" si="109"/>
        <v xml:space="preserve"> </v>
      </c>
      <c r="U572" s="8" t="str">
        <f t="shared" si="110"/>
        <v xml:space="preserve"> </v>
      </c>
      <c r="V572" s="9" t="str">
        <f t="shared" si="104"/>
        <v xml:space="preserve"> </v>
      </c>
      <c r="W572" s="9" t="str">
        <f t="shared" si="111"/>
        <v/>
      </c>
      <c r="X572" s="32"/>
      <c r="Y572" s="36"/>
    </row>
    <row r="573" spans="1:25" s="4" customFormat="1" ht="18" customHeight="1">
      <c r="A573" s="36"/>
      <c r="B573" s="76"/>
      <c r="C573" s="69"/>
      <c r="D573" s="31"/>
      <c r="E573" s="29"/>
      <c r="F573" s="28"/>
      <c r="G573" s="29"/>
      <c r="H573" s="29"/>
      <c r="I573" s="30"/>
      <c r="J573" s="12" t="str">
        <f t="shared" si="114"/>
        <v/>
      </c>
      <c r="K573" s="12" t="str">
        <f t="shared" si="115"/>
        <v/>
      </c>
      <c r="L573" s="6"/>
      <c r="M573" s="6"/>
      <c r="N573" s="6"/>
      <c r="O573" s="36"/>
      <c r="P573" s="24" t="str">
        <f t="shared" si="105"/>
        <v xml:space="preserve"> </v>
      </c>
      <c r="Q573" s="25" t="str">
        <f t="shared" si="106"/>
        <v xml:space="preserve"> </v>
      </c>
      <c r="R573" s="25" t="str">
        <f t="shared" si="107"/>
        <v xml:space="preserve"> </v>
      </c>
      <c r="S573" s="26" t="str">
        <f t="shared" si="108"/>
        <v xml:space="preserve"> </v>
      </c>
      <c r="T573" s="7" t="str">
        <f t="shared" si="109"/>
        <v xml:space="preserve"> </v>
      </c>
      <c r="U573" s="8" t="str">
        <f t="shared" si="110"/>
        <v xml:space="preserve"> </v>
      </c>
      <c r="V573" s="9" t="str">
        <f t="shared" si="104"/>
        <v xml:space="preserve"> </v>
      </c>
      <c r="W573" s="9" t="str">
        <f t="shared" si="111"/>
        <v/>
      </c>
      <c r="X573" s="32"/>
      <c r="Y573" s="36"/>
    </row>
    <row r="574" spans="1:25" s="4" customFormat="1" ht="18" customHeight="1">
      <c r="A574" s="36"/>
      <c r="B574" s="76"/>
      <c r="C574" s="69"/>
      <c r="D574" s="31"/>
      <c r="E574" s="29"/>
      <c r="F574" s="28"/>
      <c r="G574" s="29"/>
      <c r="H574" s="29"/>
      <c r="I574" s="30"/>
      <c r="J574" s="12" t="str">
        <f t="shared" si="114"/>
        <v/>
      </c>
      <c r="K574" s="12" t="str">
        <f t="shared" si="115"/>
        <v/>
      </c>
      <c r="L574" s="6"/>
      <c r="M574" s="6"/>
      <c r="N574" s="6"/>
      <c r="O574" s="36"/>
      <c r="P574" s="24" t="str">
        <f t="shared" si="105"/>
        <v xml:space="preserve"> </v>
      </c>
      <c r="Q574" s="25" t="str">
        <f t="shared" si="106"/>
        <v xml:space="preserve"> </v>
      </c>
      <c r="R574" s="25" t="str">
        <f t="shared" si="107"/>
        <v xml:space="preserve"> </v>
      </c>
      <c r="S574" s="26" t="str">
        <f t="shared" si="108"/>
        <v xml:space="preserve"> </v>
      </c>
      <c r="T574" s="7" t="str">
        <f t="shared" si="109"/>
        <v xml:space="preserve"> </v>
      </c>
      <c r="U574" s="8" t="str">
        <f t="shared" si="110"/>
        <v xml:space="preserve"> </v>
      </c>
      <c r="V574" s="9" t="str">
        <f t="shared" si="104"/>
        <v xml:space="preserve"> </v>
      </c>
      <c r="W574" s="9" t="str">
        <f t="shared" si="111"/>
        <v/>
      </c>
      <c r="X574" s="32"/>
      <c r="Y574" s="36"/>
    </row>
    <row r="575" spans="1:25" s="4" customFormat="1" ht="18" customHeight="1">
      <c r="A575" s="36"/>
      <c r="B575" s="76"/>
      <c r="C575" s="69"/>
      <c r="D575" s="31"/>
      <c r="E575" s="29"/>
      <c r="F575" s="28"/>
      <c r="G575" s="29"/>
      <c r="H575" s="29"/>
      <c r="I575" s="30"/>
      <c r="J575" s="12" t="str">
        <f t="shared" si="114"/>
        <v/>
      </c>
      <c r="K575" s="12" t="str">
        <f t="shared" si="115"/>
        <v/>
      </c>
      <c r="L575" s="6"/>
      <c r="M575" s="6"/>
      <c r="N575" s="6"/>
      <c r="O575" s="36"/>
      <c r="P575" s="24" t="str">
        <f t="shared" si="105"/>
        <v xml:space="preserve"> </v>
      </c>
      <c r="Q575" s="25" t="str">
        <f t="shared" si="106"/>
        <v xml:space="preserve"> </v>
      </c>
      <c r="R575" s="25" t="str">
        <f t="shared" si="107"/>
        <v xml:space="preserve"> </v>
      </c>
      <c r="S575" s="26" t="str">
        <f t="shared" si="108"/>
        <v xml:space="preserve"> </v>
      </c>
      <c r="T575" s="7" t="str">
        <f t="shared" si="109"/>
        <v xml:space="preserve"> </v>
      </c>
      <c r="U575" s="8" t="str">
        <f t="shared" si="110"/>
        <v xml:space="preserve"> </v>
      </c>
      <c r="V575" s="9" t="str">
        <f t="shared" si="104"/>
        <v xml:space="preserve"> </v>
      </c>
      <c r="W575" s="9" t="str">
        <f t="shared" si="111"/>
        <v/>
      </c>
      <c r="X575" s="32"/>
      <c r="Y575" s="36"/>
    </row>
    <row r="576" spans="1:25" s="4" customFormat="1" ht="18" customHeight="1">
      <c r="A576" s="36"/>
      <c r="B576" s="76"/>
      <c r="C576" s="69"/>
      <c r="D576" s="31"/>
      <c r="E576" s="29"/>
      <c r="F576" s="28"/>
      <c r="G576" s="29"/>
      <c r="H576" s="29"/>
      <c r="I576" s="30"/>
      <c r="J576" s="12" t="str">
        <f t="shared" si="114"/>
        <v/>
      </c>
      <c r="K576" s="12" t="str">
        <f t="shared" si="115"/>
        <v/>
      </c>
      <c r="L576" s="6"/>
      <c r="M576" s="6"/>
      <c r="N576" s="6"/>
      <c r="O576" s="36"/>
      <c r="P576" s="24" t="str">
        <f t="shared" si="105"/>
        <v xml:space="preserve"> </v>
      </c>
      <c r="Q576" s="25" t="str">
        <f t="shared" si="106"/>
        <v xml:space="preserve"> </v>
      </c>
      <c r="R576" s="25" t="str">
        <f t="shared" si="107"/>
        <v xml:space="preserve"> </v>
      </c>
      <c r="S576" s="26" t="str">
        <f t="shared" si="108"/>
        <v xml:space="preserve"> </v>
      </c>
      <c r="T576" s="7" t="str">
        <f t="shared" si="109"/>
        <v xml:space="preserve"> </v>
      </c>
      <c r="U576" s="8" t="str">
        <f t="shared" si="110"/>
        <v xml:space="preserve"> </v>
      </c>
      <c r="V576" s="9" t="str">
        <f t="shared" si="104"/>
        <v xml:space="preserve"> </v>
      </c>
      <c r="W576" s="9" t="str">
        <f t="shared" si="111"/>
        <v/>
      </c>
      <c r="X576" s="32"/>
      <c r="Y576" s="36"/>
    </row>
    <row r="577" spans="1:25" s="4" customFormat="1" ht="18" customHeight="1">
      <c r="A577" s="36"/>
      <c r="B577" s="76"/>
      <c r="C577" s="69"/>
      <c r="D577" s="31"/>
      <c r="E577" s="29"/>
      <c r="F577" s="28"/>
      <c r="G577" s="29"/>
      <c r="H577" s="29"/>
      <c r="I577" s="30"/>
      <c r="J577" s="12" t="str">
        <f t="shared" si="114"/>
        <v/>
      </c>
      <c r="K577" s="12" t="str">
        <f t="shared" si="115"/>
        <v/>
      </c>
      <c r="L577" s="6"/>
      <c r="M577" s="6"/>
      <c r="N577" s="6"/>
      <c r="O577" s="36"/>
      <c r="P577" s="24" t="str">
        <f t="shared" si="105"/>
        <v xml:space="preserve"> </v>
      </c>
      <c r="Q577" s="25" t="str">
        <f t="shared" si="106"/>
        <v xml:space="preserve"> </v>
      </c>
      <c r="R577" s="25" t="str">
        <f t="shared" si="107"/>
        <v xml:space="preserve"> </v>
      </c>
      <c r="S577" s="26" t="str">
        <f t="shared" si="108"/>
        <v xml:space="preserve"> </v>
      </c>
      <c r="T577" s="7" t="str">
        <f t="shared" si="109"/>
        <v xml:space="preserve"> </v>
      </c>
      <c r="U577" s="8" t="str">
        <f t="shared" si="110"/>
        <v xml:space="preserve"> </v>
      </c>
      <c r="V577" s="9" t="str">
        <f t="shared" si="104"/>
        <v xml:space="preserve"> </v>
      </c>
      <c r="W577" s="9" t="str">
        <f t="shared" si="111"/>
        <v/>
      </c>
      <c r="X577" s="32"/>
      <c r="Y577" s="36"/>
    </row>
    <row r="578" spans="1:25" s="4" customFormat="1" ht="18" customHeight="1">
      <c r="A578" s="36"/>
      <c r="B578" s="76"/>
      <c r="C578" s="69"/>
      <c r="D578" s="31"/>
      <c r="E578" s="29"/>
      <c r="F578" s="28"/>
      <c r="G578" s="29"/>
      <c r="H578" s="29"/>
      <c r="I578" s="30"/>
      <c r="J578" s="12" t="str">
        <f t="shared" si="114"/>
        <v/>
      </c>
      <c r="K578" s="12" t="str">
        <f t="shared" si="115"/>
        <v/>
      </c>
      <c r="L578" s="6"/>
      <c r="M578" s="6"/>
      <c r="N578" s="6"/>
      <c r="O578" s="36"/>
      <c r="P578" s="24" t="str">
        <f t="shared" si="105"/>
        <v xml:space="preserve"> </v>
      </c>
      <c r="Q578" s="25" t="str">
        <f t="shared" si="106"/>
        <v xml:space="preserve"> </v>
      </c>
      <c r="R578" s="25" t="str">
        <f t="shared" si="107"/>
        <v xml:space="preserve"> </v>
      </c>
      <c r="S578" s="26" t="str">
        <f t="shared" si="108"/>
        <v xml:space="preserve"> </v>
      </c>
      <c r="T578" s="7" t="str">
        <f t="shared" si="109"/>
        <v xml:space="preserve"> </v>
      </c>
      <c r="U578" s="8" t="str">
        <f t="shared" si="110"/>
        <v xml:space="preserve"> </v>
      </c>
      <c r="V578" s="9" t="str">
        <f t="shared" si="104"/>
        <v xml:space="preserve"> </v>
      </c>
      <c r="W578" s="9" t="str">
        <f t="shared" si="111"/>
        <v/>
      </c>
      <c r="X578" s="32"/>
      <c r="Y578" s="36"/>
    </row>
    <row r="579" spans="1:25" s="4" customFormat="1" ht="18" customHeight="1">
      <c r="A579" s="36"/>
      <c r="B579" s="76"/>
      <c r="C579" s="69"/>
      <c r="D579" s="31"/>
      <c r="E579" s="29"/>
      <c r="F579" s="28"/>
      <c r="G579" s="29"/>
      <c r="H579" s="29"/>
      <c r="I579" s="30"/>
      <c r="J579" s="12" t="str">
        <f t="shared" si="114"/>
        <v/>
      </c>
      <c r="K579" s="12" t="str">
        <f t="shared" si="115"/>
        <v/>
      </c>
      <c r="L579" s="6"/>
      <c r="M579" s="6"/>
      <c r="N579" s="6"/>
      <c r="O579" s="36"/>
      <c r="P579" s="24" t="str">
        <f t="shared" si="105"/>
        <v xml:space="preserve"> </v>
      </c>
      <c r="Q579" s="25" t="str">
        <f t="shared" si="106"/>
        <v xml:space="preserve"> </v>
      </c>
      <c r="R579" s="25" t="str">
        <f t="shared" si="107"/>
        <v xml:space="preserve"> </v>
      </c>
      <c r="S579" s="26" t="str">
        <f t="shared" si="108"/>
        <v xml:space="preserve"> </v>
      </c>
      <c r="T579" s="7" t="str">
        <f t="shared" si="109"/>
        <v xml:space="preserve"> </v>
      </c>
      <c r="U579" s="8" t="str">
        <f t="shared" si="110"/>
        <v xml:space="preserve"> </v>
      </c>
      <c r="V579" s="9" t="str">
        <f t="shared" si="104"/>
        <v xml:space="preserve"> </v>
      </c>
      <c r="W579" s="9" t="str">
        <f t="shared" si="111"/>
        <v/>
      </c>
      <c r="X579" s="32"/>
      <c r="Y579" s="36"/>
    </row>
    <row r="580" spans="1:25" s="4" customFormat="1" ht="18" customHeight="1">
      <c r="A580" s="36"/>
      <c r="B580" s="76"/>
      <c r="C580" s="69"/>
      <c r="D580" s="31"/>
      <c r="E580" s="29"/>
      <c r="F580" s="28"/>
      <c r="G580" s="29"/>
      <c r="H580" s="29"/>
      <c r="I580" s="30"/>
      <c r="J580" s="12" t="str">
        <f t="shared" si="114"/>
        <v/>
      </c>
      <c r="K580" s="12" t="str">
        <f t="shared" si="115"/>
        <v/>
      </c>
      <c r="L580" s="6"/>
      <c r="M580" s="6"/>
      <c r="N580" s="6"/>
      <c r="O580" s="36"/>
      <c r="P580" s="24" t="str">
        <f t="shared" si="105"/>
        <v xml:space="preserve"> </v>
      </c>
      <c r="Q580" s="25" t="str">
        <f t="shared" si="106"/>
        <v xml:space="preserve"> </v>
      </c>
      <c r="R580" s="25" t="str">
        <f t="shared" si="107"/>
        <v xml:space="preserve"> </v>
      </c>
      <c r="S580" s="26" t="str">
        <f t="shared" si="108"/>
        <v xml:space="preserve"> </v>
      </c>
      <c r="T580" s="7" t="str">
        <f t="shared" si="109"/>
        <v xml:space="preserve"> </v>
      </c>
      <c r="U580" s="8" t="str">
        <f t="shared" si="110"/>
        <v xml:space="preserve"> </v>
      </c>
      <c r="V580" s="9" t="str">
        <f t="shared" si="104"/>
        <v xml:space="preserve"> </v>
      </c>
      <c r="W580" s="9" t="str">
        <f t="shared" si="111"/>
        <v/>
      </c>
      <c r="X580" s="32"/>
      <c r="Y580" s="36"/>
    </row>
    <row r="581" spans="1:25" s="4" customFormat="1" ht="18" customHeight="1">
      <c r="A581" s="36"/>
      <c r="B581" s="76"/>
      <c r="C581" s="69"/>
      <c r="D581" s="31"/>
      <c r="E581" s="29"/>
      <c r="F581" s="28"/>
      <c r="G581" s="29"/>
      <c r="H581" s="29"/>
      <c r="I581" s="30"/>
      <c r="J581" s="12" t="str">
        <f t="shared" si="114"/>
        <v/>
      </c>
      <c r="K581" s="12" t="str">
        <f t="shared" si="115"/>
        <v/>
      </c>
      <c r="L581" s="6"/>
      <c r="M581" s="6"/>
      <c r="N581" s="6"/>
      <c r="O581" s="36"/>
      <c r="P581" s="24" t="str">
        <f t="shared" si="105"/>
        <v xml:space="preserve"> </v>
      </c>
      <c r="Q581" s="25" t="str">
        <f t="shared" si="106"/>
        <v xml:space="preserve"> </v>
      </c>
      <c r="R581" s="25" t="str">
        <f t="shared" si="107"/>
        <v xml:space="preserve"> </v>
      </c>
      <c r="S581" s="26" t="str">
        <f t="shared" si="108"/>
        <v xml:space="preserve"> </v>
      </c>
      <c r="T581" s="7" t="str">
        <f t="shared" si="109"/>
        <v xml:space="preserve"> </v>
      </c>
      <c r="U581" s="8" t="str">
        <f t="shared" si="110"/>
        <v xml:space="preserve"> </v>
      </c>
      <c r="V581" s="9" t="str">
        <f t="shared" si="104"/>
        <v xml:space="preserve"> </v>
      </c>
      <c r="W581" s="9" t="str">
        <f t="shared" si="111"/>
        <v/>
      </c>
      <c r="X581" s="32"/>
      <c r="Y581" s="36"/>
    </row>
    <row r="582" spans="1:25" s="4" customFormat="1" ht="18" customHeight="1">
      <c r="A582" s="36"/>
      <c r="B582" s="76"/>
      <c r="C582" s="69"/>
      <c r="D582" s="31"/>
      <c r="E582" s="29"/>
      <c r="F582" s="28"/>
      <c r="G582" s="29"/>
      <c r="H582" s="29"/>
      <c r="I582" s="30"/>
      <c r="J582" s="12" t="str">
        <f t="shared" si="114"/>
        <v/>
      </c>
      <c r="K582" s="12" t="str">
        <f t="shared" si="115"/>
        <v/>
      </c>
      <c r="L582" s="6"/>
      <c r="M582" s="6"/>
      <c r="N582" s="6"/>
      <c r="O582" s="36"/>
      <c r="P582" s="24" t="str">
        <f t="shared" si="105"/>
        <v xml:space="preserve"> </v>
      </c>
      <c r="Q582" s="25" t="str">
        <f t="shared" si="106"/>
        <v xml:space="preserve"> </v>
      </c>
      <c r="R582" s="25" t="str">
        <f t="shared" si="107"/>
        <v xml:space="preserve"> </v>
      </c>
      <c r="S582" s="26" t="str">
        <f t="shared" si="108"/>
        <v xml:space="preserve"> </v>
      </c>
      <c r="T582" s="7" t="str">
        <f t="shared" si="109"/>
        <v xml:space="preserve"> </v>
      </c>
      <c r="U582" s="8" t="str">
        <f t="shared" si="110"/>
        <v xml:space="preserve"> </v>
      </c>
      <c r="V582" s="9" t="str">
        <f t="shared" si="104"/>
        <v xml:space="preserve"> </v>
      </c>
      <c r="W582" s="9" t="str">
        <f t="shared" si="111"/>
        <v/>
      </c>
      <c r="X582" s="32"/>
      <c r="Y582" s="36"/>
    </row>
    <row r="583" spans="1:25" s="4" customFormat="1" ht="18" customHeight="1">
      <c r="A583" s="36"/>
      <c r="B583" s="76"/>
      <c r="C583" s="69"/>
      <c r="D583" s="31"/>
      <c r="E583" s="29"/>
      <c r="F583" s="28"/>
      <c r="G583" s="29"/>
      <c r="H583" s="29"/>
      <c r="I583" s="30"/>
      <c r="J583" s="12" t="str">
        <f t="shared" si="114"/>
        <v/>
      </c>
      <c r="K583" s="12" t="str">
        <f t="shared" si="115"/>
        <v/>
      </c>
      <c r="L583" s="6"/>
      <c r="M583" s="6"/>
      <c r="N583" s="6"/>
      <c r="O583" s="36"/>
      <c r="P583" s="24" t="str">
        <f t="shared" si="105"/>
        <v xml:space="preserve"> </v>
      </c>
      <c r="Q583" s="25" t="str">
        <f t="shared" si="106"/>
        <v xml:space="preserve"> </v>
      </c>
      <c r="R583" s="25" t="str">
        <f t="shared" si="107"/>
        <v xml:space="preserve"> </v>
      </c>
      <c r="S583" s="26" t="str">
        <f t="shared" si="108"/>
        <v xml:space="preserve"> </v>
      </c>
      <c r="T583" s="7" t="str">
        <f t="shared" si="109"/>
        <v xml:space="preserve"> </v>
      </c>
      <c r="U583" s="8" t="str">
        <f t="shared" si="110"/>
        <v xml:space="preserve"> </v>
      </c>
      <c r="V583" s="9" t="str">
        <f t="shared" si="104"/>
        <v xml:space="preserve"> </v>
      </c>
      <c r="W583" s="9" t="str">
        <f t="shared" si="111"/>
        <v/>
      </c>
      <c r="X583" s="32"/>
      <c r="Y583" s="36"/>
    </row>
    <row r="584" spans="1:25" s="4" customFormat="1" ht="18" customHeight="1">
      <c r="A584" s="36"/>
      <c r="B584" s="76"/>
      <c r="C584" s="69"/>
      <c r="D584" s="31"/>
      <c r="E584" s="29"/>
      <c r="F584" s="28"/>
      <c r="G584" s="29"/>
      <c r="H584" s="29"/>
      <c r="I584" s="30"/>
      <c r="J584" s="12" t="str">
        <f t="shared" si="114"/>
        <v/>
      </c>
      <c r="K584" s="12" t="str">
        <f t="shared" si="115"/>
        <v/>
      </c>
      <c r="L584" s="6"/>
      <c r="M584" s="6"/>
      <c r="N584" s="6"/>
      <c r="O584" s="36"/>
      <c r="P584" s="24" t="str">
        <f t="shared" si="105"/>
        <v xml:space="preserve"> </v>
      </c>
      <c r="Q584" s="25" t="str">
        <f t="shared" si="106"/>
        <v xml:space="preserve"> </v>
      </c>
      <c r="R584" s="25" t="str">
        <f t="shared" si="107"/>
        <v xml:space="preserve"> </v>
      </c>
      <c r="S584" s="26" t="str">
        <f t="shared" si="108"/>
        <v xml:space="preserve"> </v>
      </c>
      <c r="T584" s="7" t="str">
        <f t="shared" si="109"/>
        <v xml:space="preserve"> </v>
      </c>
      <c r="U584" s="8" t="str">
        <f t="shared" si="110"/>
        <v xml:space="preserve"> </v>
      </c>
      <c r="V584" s="9" t="str">
        <f t="shared" si="104"/>
        <v xml:space="preserve"> </v>
      </c>
      <c r="W584" s="9" t="str">
        <f t="shared" si="111"/>
        <v/>
      </c>
      <c r="X584" s="32"/>
      <c r="Y584" s="36"/>
    </row>
    <row r="585" spans="1:25" s="4" customFormat="1" ht="18" customHeight="1">
      <c r="A585" s="36"/>
      <c r="B585" s="76"/>
      <c r="C585" s="69"/>
      <c r="D585" s="31"/>
      <c r="E585" s="29"/>
      <c r="F585" s="28"/>
      <c r="G585" s="29"/>
      <c r="H585" s="29"/>
      <c r="I585" s="30"/>
      <c r="J585" s="12" t="str">
        <f t="shared" si="114"/>
        <v/>
      </c>
      <c r="K585" s="12" t="str">
        <f t="shared" si="115"/>
        <v/>
      </c>
      <c r="L585" s="6"/>
      <c r="M585" s="6"/>
      <c r="N585" s="6"/>
      <c r="O585" s="36"/>
      <c r="P585" s="24" t="str">
        <f t="shared" si="105"/>
        <v xml:space="preserve"> </v>
      </c>
      <c r="Q585" s="25" t="str">
        <f t="shared" si="106"/>
        <v xml:space="preserve"> </v>
      </c>
      <c r="R585" s="25" t="str">
        <f t="shared" si="107"/>
        <v xml:space="preserve"> </v>
      </c>
      <c r="S585" s="26" t="str">
        <f t="shared" si="108"/>
        <v xml:space="preserve"> </v>
      </c>
      <c r="T585" s="7" t="str">
        <f t="shared" si="109"/>
        <v xml:space="preserve"> </v>
      </c>
      <c r="U585" s="8" t="str">
        <f t="shared" si="110"/>
        <v xml:space="preserve"> </v>
      </c>
      <c r="V585" s="9" t="str">
        <f t="shared" si="104"/>
        <v xml:space="preserve"> </v>
      </c>
      <c r="W585" s="9" t="str">
        <f t="shared" si="111"/>
        <v/>
      </c>
      <c r="X585" s="32"/>
      <c r="Y585" s="36"/>
    </row>
    <row r="586" spans="1:25" s="4" customFormat="1" ht="18" customHeight="1">
      <c r="A586" s="36"/>
      <c r="B586" s="76"/>
      <c r="C586" s="69"/>
      <c r="D586" s="31"/>
      <c r="E586" s="29"/>
      <c r="F586" s="28"/>
      <c r="G586" s="29"/>
      <c r="H586" s="29"/>
      <c r="I586" s="30"/>
      <c r="J586" s="12" t="str">
        <f t="shared" si="114"/>
        <v/>
      </c>
      <c r="K586" s="12" t="str">
        <f t="shared" si="115"/>
        <v/>
      </c>
      <c r="L586" s="6"/>
      <c r="M586" s="6"/>
      <c r="N586" s="6"/>
      <c r="O586" s="36"/>
      <c r="P586" s="24" t="str">
        <f t="shared" si="105"/>
        <v xml:space="preserve"> </v>
      </c>
      <c r="Q586" s="25" t="str">
        <f t="shared" si="106"/>
        <v xml:space="preserve"> </v>
      </c>
      <c r="R586" s="25" t="str">
        <f t="shared" si="107"/>
        <v xml:space="preserve"> </v>
      </c>
      <c r="S586" s="26" t="str">
        <f t="shared" si="108"/>
        <v xml:space="preserve"> </v>
      </c>
      <c r="T586" s="7" t="str">
        <f t="shared" si="109"/>
        <v xml:space="preserve"> </v>
      </c>
      <c r="U586" s="8" t="str">
        <f t="shared" si="110"/>
        <v xml:space="preserve"> </v>
      </c>
      <c r="V586" s="9" t="str">
        <f t="shared" si="104"/>
        <v xml:space="preserve"> </v>
      </c>
      <c r="W586" s="9" t="str">
        <f t="shared" si="111"/>
        <v/>
      </c>
      <c r="X586" s="32"/>
      <c r="Y586" s="36"/>
    </row>
    <row r="587" spans="1:25" s="4" customFormat="1" ht="18" customHeight="1">
      <c r="A587" s="36"/>
      <c r="B587" s="76"/>
      <c r="C587" s="69"/>
      <c r="D587" s="31"/>
      <c r="E587" s="29"/>
      <c r="F587" s="28"/>
      <c r="G587" s="29"/>
      <c r="H587" s="29"/>
      <c r="I587" s="30"/>
      <c r="J587" s="12" t="str">
        <f t="shared" si="114"/>
        <v/>
      </c>
      <c r="K587" s="12" t="str">
        <f t="shared" si="115"/>
        <v/>
      </c>
      <c r="L587" s="6"/>
      <c r="M587" s="6"/>
      <c r="N587" s="6"/>
      <c r="O587" s="36"/>
      <c r="P587" s="24" t="str">
        <f t="shared" si="105"/>
        <v xml:space="preserve"> </v>
      </c>
      <c r="Q587" s="25" t="str">
        <f t="shared" si="106"/>
        <v xml:space="preserve"> </v>
      </c>
      <c r="R587" s="25" t="str">
        <f t="shared" si="107"/>
        <v xml:space="preserve"> </v>
      </c>
      <c r="S587" s="26" t="str">
        <f t="shared" si="108"/>
        <v xml:space="preserve"> </v>
      </c>
      <c r="T587" s="7" t="str">
        <f t="shared" si="109"/>
        <v xml:space="preserve"> </v>
      </c>
      <c r="U587" s="8" t="str">
        <f t="shared" si="110"/>
        <v xml:space="preserve"> </v>
      </c>
      <c r="V587" s="9" t="str">
        <f t="shared" si="104"/>
        <v xml:space="preserve"> </v>
      </c>
      <c r="W587" s="9" t="str">
        <f t="shared" si="111"/>
        <v/>
      </c>
      <c r="X587" s="32"/>
      <c r="Y587" s="36"/>
    </row>
    <row r="588" spans="1:25" s="4" customFormat="1" ht="18" customHeight="1">
      <c r="A588" s="36"/>
      <c r="B588" s="76"/>
      <c r="C588" s="69"/>
      <c r="D588" s="31"/>
      <c r="E588" s="29"/>
      <c r="F588" s="28"/>
      <c r="G588" s="29"/>
      <c r="H588" s="29"/>
      <c r="I588" s="30"/>
      <c r="J588" s="12" t="str">
        <f t="shared" si="114"/>
        <v/>
      </c>
      <c r="K588" s="12" t="str">
        <f t="shared" si="115"/>
        <v/>
      </c>
      <c r="L588" s="6"/>
      <c r="M588" s="6"/>
      <c r="N588" s="6"/>
      <c r="O588" s="36"/>
      <c r="P588" s="24" t="str">
        <f t="shared" si="105"/>
        <v xml:space="preserve"> </v>
      </c>
      <c r="Q588" s="25" t="str">
        <f t="shared" si="106"/>
        <v xml:space="preserve"> </v>
      </c>
      <c r="R588" s="25" t="str">
        <f t="shared" si="107"/>
        <v xml:space="preserve"> </v>
      </c>
      <c r="S588" s="26" t="str">
        <f t="shared" si="108"/>
        <v xml:space="preserve"> </v>
      </c>
      <c r="T588" s="7" t="str">
        <f t="shared" si="109"/>
        <v xml:space="preserve"> </v>
      </c>
      <c r="U588" s="8" t="str">
        <f t="shared" si="110"/>
        <v xml:space="preserve"> </v>
      </c>
      <c r="V588" s="9" t="str">
        <f t="shared" si="104"/>
        <v xml:space="preserve"> </v>
      </c>
      <c r="W588" s="9" t="str">
        <f t="shared" si="111"/>
        <v/>
      </c>
      <c r="X588" s="32"/>
      <c r="Y588" s="36"/>
    </row>
    <row r="589" spans="1:25" s="4" customFormat="1" ht="18" customHeight="1">
      <c r="A589" s="36"/>
      <c r="B589" s="76"/>
      <c r="C589" s="69"/>
      <c r="D589" s="31"/>
      <c r="E589" s="29"/>
      <c r="F589" s="28"/>
      <c r="G589" s="29"/>
      <c r="H589" s="29"/>
      <c r="I589" s="30"/>
      <c r="J589" s="12" t="str">
        <f t="shared" si="114"/>
        <v/>
      </c>
      <c r="K589" s="12" t="str">
        <f t="shared" si="115"/>
        <v/>
      </c>
      <c r="L589" s="6"/>
      <c r="M589" s="6"/>
      <c r="N589" s="6"/>
      <c r="O589" s="36"/>
      <c r="P589" s="24" t="str">
        <f t="shared" si="105"/>
        <v xml:space="preserve"> </v>
      </c>
      <c r="Q589" s="25" t="str">
        <f t="shared" si="106"/>
        <v xml:space="preserve"> </v>
      </c>
      <c r="R589" s="25" t="str">
        <f t="shared" si="107"/>
        <v xml:space="preserve"> </v>
      </c>
      <c r="S589" s="26" t="str">
        <f t="shared" si="108"/>
        <v xml:space="preserve"> </v>
      </c>
      <c r="T589" s="7" t="str">
        <f t="shared" si="109"/>
        <v xml:space="preserve"> </v>
      </c>
      <c r="U589" s="8" t="str">
        <f t="shared" si="110"/>
        <v xml:space="preserve"> </v>
      </c>
      <c r="V589" s="9" t="str">
        <f t="shared" si="104"/>
        <v xml:space="preserve"> </v>
      </c>
      <c r="W589" s="9" t="str">
        <f t="shared" si="111"/>
        <v/>
      </c>
      <c r="X589" s="32"/>
      <c r="Y589" s="36"/>
    </row>
    <row r="590" spans="1:25" s="4" customFormat="1" ht="18" customHeight="1">
      <c r="A590" s="36"/>
      <c r="B590" s="76"/>
      <c r="C590" s="69"/>
      <c r="D590" s="31"/>
      <c r="E590" s="29"/>
      <c r="F590" s="28"/>
      <c r="G590" s="29"/>
      <c r="H590" s="29"/>
      <c r="I590" s="30"/>
      <c r="J590" s="12" t="str">
        <f t="shared" si="114"/>
        <v/>
      </c>
      <c r="K590" s="12" t="str">
        <f t="shared" si="115"/>
        <v/>
      </c>
      <c r="L590" s="6"/>
      <c r="M590" s="6"/>
      <c r="N590" s="6"/>
      <c r="O590" s="36"/>
      <c r="P590" s="24" t="str">
        <f t="shared" si="105"/>
        <v xml:space="preserve"> </v>
      </c>
      <c r="Q590" s="25" t="str">
        <f t="shared" si="106"/>
        <v xml:space="preserve"> </v>
      </c>
      <c r="R590" s="25" t="str">
        <f t="shared" si="107"/>
        <v xml:space="preserve"> </v>
      </c>
      <c r="S590" s="26" t="str">
        <f t="shared" si="108"/>
        <v xml:space="preserve"> </v>
      </c>
      <c r="T590" s="7" t="str">
        <f t="shared" si="109"/>
        <v xml:space="preserve"> </v>
      </c>
      <c r="U590" s="8" t="str">
        <f t="shared" si="110"/>
        <v xml:space="preserve"> </v>
      </c>
      <c r="V590" s="9" t="str">
        <f t="shared" si="104"/>
        <v xml:space="preserve"> </v>
      </c>
      <c r="W590" s="9" t="str">
        <f t="shared" si="111"/>
        <v/>
      </c>
      <c r="X590" s="32"/>
      <c r="Y590" s="36"/>
    </row>
    <row r="591" spans="1:25" s="4" customFormat="1" ht="18" customHeight="1">
      <c r="A591" s="36"/>
      <c r="B591" s="76"/>
      <c r="C591" s="69"/>
      <c r="D591" s="31"/>
      <c r="E591" s="29"/>
      <c r="F591" s="28"/>
      <c r="G591" s="29"/>
      <c r="H591" s="29"/>
      <c r="I591" s="30"/>
      <c r="J591" s="12" t="str">
        <f t="shared" si="114"/>
        <v/>
      </c>
      <c r="K591" s="12" t="str">
        <f t="shared" si="115"/>
        <v/>
      </c>
      <c r="L591" s="6"/>
      <c r="M591" s="6"/>
      <c r="N591" s="6"/>
      <c r="O591" s="36"/>
      <c r="P591" s="24" t="str">
        <f t="shared" si="105"/>
        <v xml:space="preserve"> </v>
      </c>
      <c r="Q591" s="25" t="str">
        <f t="shared" si="106"/>
        <v xml:space="preserve"> </v>
      </c>
      <c r="R591" s="25" t="str">
        <f t="shared" si="107"/>
        <v xml:space="preserve"> </v>
      </c>
      <c r="S591" s="26" t="str">
        <f t="shared" si="108"/>
        <v xml:space="preserve"> </v>
      </c>
      <c r="T591" s="7" t="str">
        <f t="shared" si="109"/>
        <v xml:space="preserve"> </v>
      </c>
      <c r="U591" s="8" t="str">
        <f t="shared" si="110"/>
        <v xml:space="preserve"> </v>
      </c>
      <c r="V591" s="9" t="str">
        <f t="shared" si="104"/>
        <v xml:space="preserve"> </v>
      </c>
      <c r="W591" s="9" t="str">
        <f t="shared" si="111"/>
        <v/>
      </c>
      <c r="X591" s="32"/>
      <c r="Y591" s="36"/>
    </row>
    <row r="592" spans="1:25" s="4" customFormat="1" ht="18" customHeight="1">
      <c r="A592" s="36"/>
      <c r="B592" s="76"/>
      <c r="C592" s="69"/>
      <c r="D592" s="31"/>
      <c r="E592" s="29"/>
      <c r="F592" s="28"/>
      <c r="G592" s="29"/>
      <c r="H592" s="29"/>
      <c r="I592" s="30"/>
      <c r="J592" s="12" t="str">
        <f t="shared" si="114"/>
        <v/>
      </c>
      <c r="K592" s="12" t="str">
        <f t="shared" si="115"/>
        <v/>
      </c>
      <c r="L592" s="6"/>
      <c r="M592" s="6"/>
      <c r="N592" s="6"/>
      <c r="O592" s="36"/>
      <c r="P592" s="24" t="str">
        <f t="shared" si="105"/>
        <v xml:space="preserve"> </v>
      </c>
      <c r="Q592" s="25" t="str">
        <f t="shared" si="106"/>
        <v xml:space="preserve"> </v>
      </c>
      <c r="R592" s="25" t="str">
        <f t="shared" si="107"/>
        <v xml:space="preserve"> </v>
      </c>
      <c r="S592" s="26" t="str">
        <f t="shared" si="108"/>
        <v xml:space="preserve"> </v>
      </c>
      <c r="T592" s="7" t="str">
        <f t="shared" si="109"/>
        <v xml:space="preserve"> </v>
      </c>
      <c r="U592" s="8" t="str">
        <f t="shared" si="110"/>
        <v xml:space="preserve"> </v>
      </c>
      <c r="V592" s="9" t="str">
        <f t="shared" si="104"/>
        <v xml:space="preserve"> </v>
      </c>
      <c r="W592" s="9" t="str">
        <f t="shared" si="111"/>
        <v/>
      </c>
      <c r="X592" s="32"/>
      <c r="Y592" s="36"/>
    </row>
    <row r="593" spans="1:25" s="4" customFormat="1" ht="18" customHeight="1">
      <c r="A593" s="36"/>
      <c r="B593" s="76"/>
      <c r="C593" s="69"/>
      <c r="D593" s="31"/>
      <c r="E593" s="29"/>
      <c r="F593" s="28"/>
      <c r="G593" s="29"/>
      <c r="H593" s="29"/>
      <c r="I593" s="30"/>
      <c r="J593" s="12" t="str">
        <f t="shared" si="114"/>
        <v/>
      </c>
      <c r="K593" s="12" t="str">
        <f t="shared" si="115"/>
        <v/>
      </c>
      <c r="L593" s="6"/>
      <c r="M593" s="6"/>
      <c r="N593" s="6"/>
      <c r="O593" s="36"/>
      <c r="P593" s="24" t="str">
        <f t="shared" si="105"/>
        <v xml:space="preserve"> </v>
      </c>
      <c r="Q593" s="25" t="str">
        <f t="shared" si="106"/>
        <v xml:space="preserve"> </v>
      </c>
      <c r="R593" s="25" t="str">
        <f t="shared" si="107"/>
        <v xml:space="preserve"> </v>
      </c>
      <c r="S593" s="26" t="str">
        <f t="shared" si="108"/>
        <v xml:space="preserve"> </v>
      </c>
      <c r="T593" s="7" t="str">
        <f t="shared" si="109"/>
        <v xml:space="preserve"> </v>
      </c>
      <c r="U593" s="8" t="str">
        <f t="shared" si="110"/>
        <v xml:space="preserve"> </v>
      </c>
      <c r="V593" s="9" t="str">
        <f t="shared" si="104"/>
        <v xml:space="preserve"> </v>
      </c>
      <c r="W593" s="9" t="str">
        <f t="shared" si="111"/>
        <v/>
      </c>
      <c r="X593" s="32"/>
      <c r="Y593" s="36"/>
    </row>
    <row r="594" spans="1:25" s="4" customFormat="1" ht="18" customHeight="1">
      <c r="A594" s="36"/>
      <c r="B594" s="76"/>
      <c r="C594" s="69"/>
      <c r="D594" s="31"/>
      <c r="E594" s="29"/>
      <c r="F594" s="28"/>
      <c r="G594" s="29"/>
      <c r="H594" s="29"/>
      <c r="I594" s="30"/>
      <c r="J594" s="12" t="str">
        <f t="shared" si="114"/>
        <v/>
      </c>
      <c r="K594" s="12" t="str">
        <f t="shared" si="115"/>
        <v/>
      </c>
      <c r="L594" s="6"/>
      <c r="M594" s="6"/>
      <c r="N594" s="6"/>
      <c r="O594" s="36"/>
      <c r="P594" s="24" t="str">
        <f t="shared" si="105"/>
        <v xml:space="preserve"> </v>
      </c>
      <c r="Q594" s="25" t="str">
        <f t="shared" si="106"/>
        <v xml:space="preserve"> </v>
      </c>
      <c r="R594" s="25" t="str">
        <f t="shared" si="107"/>
        <v xml:space="preserve"> </v>
      </c>
      <c r="S594" s="26" t="str">
        <f t="shared" si="108"/>
        <v xml:space="preserve"> </v>
      </c>
      <c r="T594" s="7" t="str">
        <f t="shared" si="109"/>
        <v xml:space="preserve"> </v>
      </c>
      <c r="U594" s="8" t="str">
        <f t="shared" si="110"/>
        <v xml:space="preserve"> </v>
      </c>
      <c r="V594" s="9" t="str">
        <f t="shared" si="104"/>
        <v xml:space="preserve"> </v>
      </c>
      <c r="W594" s="9" t="str">
        <f t="shared" si="111"/>
        <v/>
      </c>
      <c r="X594" s="32"/>
      <c r="Y594" s="36"/>
    </row>
    <row r="595" spans="1:25" s="4" customFormat="1" ht="18" customHeight="1">
      <c r="A595" s="36"/>
      <c r="B595" s="76"/>
      <c r="C595" s="69"/>
      <c r="D595" s="31"/>
      <c r="E595" s="29"/>
      <c r="F595" s="28"/>
      <c r="G595" s="29"/>
      <c r="H595" s="29"/>
      <c r="I595" s="30"/>
      <c r="J595" s="12" t="str">
        <f t="shared" si="114"/>
        <v/>
      </c>
      <c r="K595" s="12" t="str">
        <f t="shared" si="115"/>
        <v/>
      </c>
      <c r="L595" s="6"/>
      <c r="M595" s="6"/>
      <c r="N595" s="6"/>
      <c r="O595" s="36"/>
      <c r="P595" s="24" t="str">
        <f t="shared" si="105"/>
        <v xml:space="preserve"> </v>
      </c>
      <c r="Q595" s="25" t="str">
        <f t="shared" si="106"/>
        <v xml:space="preserve"> </v>
      </c>
      <c r="R595" s="25" t="str">
        <f t="shared" si="107"/>
        <v xml:space="preserve"> </v>
      </c>
      <c r="S595" s="26" t="str">
        <f t="shared" si="108"/>
        <v xml:space="preserve"> </v>
      </c>
      <c r="T595" s="7" t="str">
        <f t="shared" si="109"/>
        <v xml:space="preserve"> </v>
      </c>
      <c r="U595" s="8" t="str">
        <f t="shared" si="110"/>
        <v xml:space="preserve"> </v>
      </c>
      <c r="V595" s="9" t="str">
        <f t="shared" si="104"/>
        <v xml:space="preserve"> </v>
      </c>
      <c r="W595" s="9" t="str">
        <f t="shared" si="111"/>
        <v/>
      </c>
      <c r="X595" s="32"/>
      <c r="Y595" s="36"/>
    </row>
    <row r="596" spans="1:25" s="4" customFormat="1" ht="18" customHeight="1">
      <c r="A596" s="36"/>
      <c r="B596" s="76"/>
      <c r="C596" s="69"/>
      <c r="D596" s="31"/>
      <c r="E596" s="29"/>
      <c r="F596" s="28"/>
      <c r="G596" s="29"/>
      <c r="H596" s="29"/>
      <c r="I596" s="30"/>
      <c r="J596" s="12" t="str">
        <f t="shared" si="114"/>
        <v/>
      </c>
      <c r="K596" s="12" t="str">
        <f t="shared" si="115"/>
        <v/>
      </c>
      <c r="L596" s="6"/>
      <c r="M596" s="6"/>
      <c r="N596" s="6"/>
      <c r="O596" s="36"/>
      <c r="P596" s="24" t="str">
        <f t="shared" si="105"/>
        <v xml:space="preserve"> </v>
      </c>
      <c r="Q596" s="25" t="str">
        <f t="shared" si="106"/>
        <v xml:space="preserve"> </v>
      </c>
      <c r="R596" s="25" t="str">
        <f t="shared" si="107"/>
        <v xml:space="preserve"> </v>
      </c>
      <c r="S596" s="26" t="str">
        <f t="shared" si="108"/>
        <v xml:space="preserve"> </v>
      </c>
      <c r="T596" s="7" t="str">
        <f t="shared" si="109"/>
        <v xml:space="preserve"> </v>
      </c>
      <c r="U596" s="8" t="str">
        <f t="shared" si="110"/>
        <v xml:space="preserve"> </v>
      </c>
      <c r="V596" s="9" t="str">
        <f t="shared" si="104"/>
        <v xml:space="preserve"> </v>
      </c>
      <c r="W596" s="9" t="str">
        <f t="shared" si="111"/>
        <v/>
      </c>
      <c r="X596" s="32"/>
      <c r="Y596" s="36"/>
    </row>
    <row r="597" spans="1:25" s="4" customFormat="1" ht="18" customHeight="1">
      <c r="A597" s="36"/>
      <c r="B597" s="76"/>
      <c r="C597" s="69"/>
      <c r="D597" s="31"/>
      <c r="E597" s="29"/>
      <c r="F597" s="28"/>
      <c r="G597" s="29"/>
      <c r="H597" s="29"/>
      <c r="I597" s="30"/>
      <c r="J597" s="12" t="str">
        <f t="shared" si="114"/>
        <v/>
      </c>
      <c r="K597" s="12" t="str">
        <f t="shared" si="115"/>
        <v/>
      </c>
      <c r="L597" s="6"/>
      <c r="M597" s="6"/>
      <c r="N597" s="6"/>
      <c r="O597" s="36"/>
      <c r="P597" s="24" t="str">
        <f t="shared" si="105"/>
        <v xml:space="preserve"> </v>
      </c>
      <c r="Q597" s="25" t="str">
        <f t="shared" si="106"/>
        <v xml:space="preserve"> </v>
      </c>
      <c r="R597" s="25" t="str">
        <f t="shared" si="107"/>
        <v xml:space="preserve"> </v>
      </c>
      <c r="S597" s="26" t="str">
        <f t="shared" si="108"/>
        <v xml:space="preserve"> </v>
      </c>
      <c r="T597" s="7" t="str">
        <f t="shared" si="109"/>
        <v xml:space="preserve"> </v>
      </c>
      <c r="U597" s="8" t="str">
        <f t="shared" si="110"/>
        <v xml:space="preserve"> </v>
      </c>
      <c r="V597" s="9" t="str">
        <f t="shared" si="104"/>
        <v xml:space="preserve"> </v>
      </c>
      <c r="W597" s="9" t="str">
        <f t="shared" si="111"/>
        <v/>
      </c>
      <c r="X597" s="32"/>
      <c r="Y597" s="36"/>
    </row>
    <row r="598" spans="1:25" s="4" customFormat="1" ht="18" customHeight="1">
      <c r="A598" s="36"/>
      <c r="B598" s="76"/>
      <c r="C598" s="69"/>
      <c r="D598" s="31"/>
      <c r="E598" s="29"/>
      <c r="F598" s="28"/>
      <c r="G598" s="29"/>
      <c r="H598" s="29"/>
      <c r="I598" s="30"/>
      <c r="J598" s="12" t="str">
        <f t="shared" si="114"/>
        <v/>
      </c>
      <c r="K598" s="12" t="str">
        <f t="shared" si="115"/>
        <v/>
      </c>
      <c r="L598" s="6"/>
      <c r="M598" s="6"/>
      <c r="N598" s="6"/>
      <c r="O598" s="36"/>
      <c r="P598" s="24" t="str">
        <f t="shared" si="105"/>
        <v xml:space="preserve"> </v>
      </c>
      <c r="Q598" s="25" t="str">
        <f t="shared" si="106"/>
        <v xml:space="preserve"> </v>
      </c>
      <c r="R598" s="25" t="str">
        <f t="shared" si="107"/>
        <v xml:space="preserve"> </v>
      </c>
      <c r="S598" s="26" t="str">
        <f t="shared" si="108"/>
        <v xml:space="preserve"> </v>
      </c>
      <c r="T598" s="7" t="str">
        <f t="shared" si="109"/>
        <v xml:space="preserve"> </v>
      </c>
      <c r="U598" s="8" t="str">
        <f t="shared" si="110"/>
        <v xml:space="preserve"> </v>
      </c>
      <c r="V598" s="9" t="str">
        <f t="shared" si="104"/>
        <v xml:space="preserve"> </v>
      </c>
      <c r="W598" s="9" t="str">
        <f t="shared" si="111"/>
        <v/>
      </c>
      <c r="X598" s="32"/>
      <c r="Y598" s="36"/>
    </row>
    <row r="599" spans="1:25" s="4" customFormat="1" ht="18" customHeight="1">
      <c r="A599" s="36"/>
      <c r="B599" s="76"/>
      <c r="C599" s="69"/>
      <c r="D599" s="31"/>
      <c r="E599" s="29"/>
      <c r="F599" s="28"/>
      <c r="G599" s="29"/>
      <c r="H599" s="29"/>
      <c r="I599" s="30"/>
      <c r="J599" s="12" t="str">
        <f t="shared" si="114"/>
        <v/>
      </c>
      <c r="K599" s="12" t="str">
        <f t="shared" si="115"/>
        <v/>
      </c>
      <c r="L599" s="6"/>
      <c r="M599" s="6"/>
      <c r="N599" s="6"/>
      <c r="O599" s="36"/>
      <c r="P599" s="24" t="str">
        <f t="shared" si="105"/>
        <v xml:space="preserve"> </v>
      </c>
      <c r="Q599" s="25" t="str">
        <f t="shared" si="106"/>
        <v xml:space="preserve"> </v>
      </c>
      <c r="R599" s="25" t="str">
        <f t="shared" si="107"/>
        <v xml:space="preserve"> </v>
      </c>
      <c r="S599" s="26" t="str">
        <f t="shared" si="108"/>
        <v xml:space="preserve"> </v>
      </c>
      <c r="T599" s="7" t="str">
        <f t="shared" si="109"/>
        <v xml:space="preserve"> </v>
      </c>
      <c r="U599" s="8" t="str">
        <f t="shared" si="110"/>
        <v xml:space="preserve"> </v>
      </c>
      <c r="V599" s="9" t="str">
        <f t="shared" si="104"/>
        <v xml:space="preserve"> </v>
      </c>
      <c r="W599" s="9" t="str">
        <f t="shared" si="111"/>
        <v/>
      </c>
      <c r="X599" s="32"/>
      <c r="Y599" s="36"/>
    </row>
    <row r="600" spans="1:25" s="4" customFormat="1" ht="18" customHeight="1">
      <c r="A600" s="36"/>
      <c r="B600" s="76"/>
      <c r="C600" s="69"/>
      <c r="D600" s="31"/>
      <c r="E600" s="29"/>
      <c r="F600" s="28"/>
      <c r="G600" s="29"/>
      <c r="H600" s="29"/>
      <c r="I600" s="30"/>
      <c r="J600" s="12" t="str">
        <f t="shared" si="114"/>
        <v/>
      </c>
      <c r="K600" s="12" t="str">
        <f t="shared" si="115"/>
        <v/>
      </c>
      <c r="L600" s="6"/>
      <c r="M600" s="6"/>
      <c r="N600" s="6"/>
      <c r="O600" s="36"/>
      <c r="P600" s="24" t="str">
        <f t="shared" si="105"/>
        <v xml:space="preserve"> </v>
      </c>
      <c r="Q600" s="25" t="str">
        <f t="shared" si="106"/>
        <v xml:space="preserve"> </v>
      </c>
      <c r="R600" s="25" t="str">
        <f t="shared" si="107"/>
        <v xml:space="preserve"> </v>
      </c>
      <c r="S600" s="26" t="str">
        <f t="shared" si="108"/>
        <v xml:space="preserve"> </v>
      </c>
      <c r="T600" s="7" t="str">
        <f t="shared" si="109"/>
        <v xml:space="preserve"> </v>
      </c>
      <c r="U600" s="8" t="str">
        <f t="shared" si="110"/>
        <v xml:space="preserve"> </v>
      </c>
      <c r="V600" s="9" t="str">
        <f t="shared" si="104"/>
        <v xml:space="preserve"> </v>
      </c>
      <c r="W600" s="9" t="str">
        <f t="shared" si="111"/>
        <v/>
      </c>
      <c r="X600" s="32"/>
      <c r="Y600" s="36"/>
    </row>
    <row r="601" spans="1:25" s="4" customFormat="1" ht="18" customHeight="1">
      <c r="A601" s="36"/>
      <c r="B601" s="76"/>
      <c r="C601" s="69"/>
      <c r="D601" s="31"/>
      <c r="E601" s="29"/>
      <c r="F601" s="28"/>
      <c r="G601" s="29"/>
      <c r="H601" s="29"/>
      <c r="I601" s="30"/>
      <c r="J601" s="12" t="str">
        <f t="shared" si="114"/>
        <v/>
      </c>
      <c r="K601" s="12" t="str">
        <f t="shared" si="115"/>
        <v/>
      </c>
      <c r="L601" s="6"/>
      <c r="M601" s="6"/>
      <c r="N601" s="6"/>
      <c r="O601" s="36"/>
      <c r="P601" s="24" t="str">
        <f t="shared" si="105"/>
        <v xml:space="preserve"> </v>
      </c>
      <c r="Q601" s="25" t="str">
        <f t="shared" si="106"/>
        <v xml:space="preserve"> </v>
      </c>
      <c r="R601" s="25" t="str">
        <f t="shared" si="107"/>
        <v xml:space="preserve"> </v>
      </c>
      <c r="S601" s="26" t="str">
        <f t="shared" si="108"/>
        <v xml:space="preserve"> </v>
      </c>
      <c r="T601" s="7" t="str">
        <f t="shared" si="109"/>
        <v xml:space="preserve"> </v>
      </c>
      <c r="U601" s="8" t="str">
        <f t="shared" si="110"/>
        <v xml:space="preserve"> </v>
      </c>
      <c r="V601" s="9" t="str">
        <f t="shared" si="104"/>
        <v xml:space="preserve"> </v>
      </c>
      <c r="W601" s="9" t="str">
        <f t="shared" si="111"/>
        <v/>
      </c>
      <c r="X601" s="32"/>
      <c r="Y601" s="36"/>
    </row>
    <row r="602" spans="1:25" s="4" customFormat="1" ht="18" customHeight="1">
      <c r="A602" s="36"/>
      <c r="B602" s="76"/>
      <c r="C602" s="69"/>
      <c r="D602" s="31"/>
      <c r="E602" s="29"/>
      <c r="F602" s="28"/>
      <c r="G602" s="29"/>
      <c r="H602" s="29"/>
      <c r="I602" s="30"/>
      <c r="J602" s="12" t="str">
        <f t="shared" si="114"/>
        <v/>
      </c>
      <c r="K602" s="12" t="str">
        <f t="shared" si="115"/>
        <v/>
      </c>
      <c r="L602" s="6"/>
      <c r="M602" s="6"/>
      <c r="N602" s="6"/>
      <c r="O602" s="36"/>
      <c r="P602" s="24" t="str">
        <f t="shared" si="105"/>
        <v xml:space="preserve"> </v>
      </c>
      <c r="Q602" s="25" t="str">
        <f t="shared" si="106"/>
        <v xml:space="preserve"> </v>
      </c>
      <c r="R602" s="25" t="str">
        <f t="shared" si="107"/>
        <v xml:space="preserve"> </v>
      </c>
      <c r="S602" s="26" t="str">
        <f t="shared" si="108"/>
        <v xml:space="preserve"> </v>
      </c>
      <c r="T602" s="7" t="str">
        <f t="shared" si="109"/>
        <v xml:space="preserve"> </v>
      </c>
      <c r="U602" s="8" t="str">
        <f t="shared" si="110"/>
        <v xml:space="preserve"> </v>
      </c>
      <c r="V602" s="9" t="str">
        <f t="shared" si="104"/>
        <v xml:space="preserve"> </v>
      </c>
      <c r="W602" s="9" t="str">
        <f t="shared" si="111"/>
        <v/>
      </c>
      <c r="X602" s="32"/>
      <c r="Y602" s="36"/>
    </row>
    <row r="603" spans="1:25" s="4" customFormat="1" ht="18" customHeight="1">
      <c r="A603" s="36"/>
      <c r="B603" s="76"/>
      <c r="C603" s="69"/>
      <c r="D603" s="31"/>
      <c r="E603" s="29"/>
      <c r="F603" s="28"/>
      <c r="G603" s="29"/>
      <c r="H603" s="29"/>
      <c r="I603" s="30"/>
      <c r="J603" s="12" t="str">
        <f t="shared" si="114"/>
        <v/>
      </c>
      <c r="K603" s="12" t="str">
        <f t="shared" si="115"/>
        <v/>
      </c>
      <c r="L603" s="6"/>
      <c r="M603" s="6"/>
      <c r="N603" s="6"/>
      <c r="O603" s="36"/>
      <c r="P603" s="24" t="str">
        <f t="shared" si="105"/>
        <v xml:space="preserve"> </v>
      </c>
      <c r="Q603" s="25" t="str">
        <f t="shared" si="106"/>
        <v xml:space="preserve"> </v>
      </c>
      <c r="R603" s="25" t="str">
        <f t="shared" si="107"/>
        <v xml:space="preserve"> </v>
      </c>
      <c r="S603" s="26" t="str">
        <f t="shared" si="108"/>
        <v xml:space="preserve"> </v>
      </c>
      <c r="T603" s="7" t="str">
        <f t="shared" si="109"/>
        <v xml:space="preserve"> </v>
      </c>
      <c r="U603" s="8" t="str">
        <f t="shared" si="110"/>
        <v xml:space="preserve"> </v>
      </c>
      <c r="V603" s="9" t="str">
        <f t="shared" si="104"/>
        <v xml:space="preserve"> </v>
      </c>
      <c r="W603" s="9" t="str">
        <f t="shared" si="111"/>
        <v/>
      </c>
      <c r="X603" s="32"/>
      <c r="Y603" s="36"/>
    </row>
    <row r="604" spans="1:25" s="4" customFormat="1" ht="18" customHeight="1">
      <c r="A604" s="36"/>
      <c r="B604" s="76"/>
      <c r="C604" s="69"/>
      <c r="D604" s="31"/>
      <c r="E604" s="29"/>
      <c r="F604" s="28"/>
      <c r="G604" s="29"/>
      <c r="H604" s="29"/>
      <c r="I604" s="30"/>
      <c r="J604" s="12" t="str">
        <f t="shared" si="114"/>
        <v/>
      </c>
      <c r="K604" s="12" t="str">
        <f t="shared" si="115"/>
        <v/>
      </c>
      <c r="L604" s="6"/>
      <c r="M604" s="6"/>
      <c r="N604" s="6"/>
      <c r="O604" s="36"/>
      <c r="P604" s="24" t="str">
        <f t="shared" si="105"/>
        <v xml:space="preserve"> </v>
      </c>
      <c r="Q604" s="25" t="str">
        <f t="shared" si="106"/>
        <v xml:space="preserve"> </v>
      </c>
      <c r="R604" s="25" t="str">
        <f t="shared" si="107"/>
        <v xml:space="preserve"> </v>
      </c>
      <c r="S604" s="26" t="str">
        <f t="shared" si="108"/>
        <v xml:space="preserve"> </v>
      </c>
      <c r="T604" s="7" t="str">
        <f t="shared" si="109"/>
        <v xml:space="preserve"> </v>
      </c>
      <c r="U604" s="8" t="str">
        <f t="shared" si="110"/>
        <v xml:space="preserve"> </v>
      </c>
      <c r="V604" s="9" t="str">
        <f t="shared" si="104"/>
        <v xml:space="preserve"> </v>
      </c>
      <c r="W604" s="9" t="str">
        <f t="shared" si="111"/>
        <v/>
      </c>
      <c r="X604" s="32"/>
      <c r="Y604" s="36"/>
    </row>
    <row r="605" spans="1:25" s="4" customFormat="1" ht="18" customHeight="1">
      <c r="A605" s="36"/>
      <c r="B605" s="76"/>
      <c r="C605" s="69"/>
      <c r="D605" s="31"/>
      <c r="E605" s="29"/>
      <c r="F605" s="28"/>
      <c r="G605" s="29"/>
      <c r="H605" s="29"/>
      <c r="I605" s="30"/>
      <c r="J605" s="12" t="str">
        <f t="shared" si="114"/>
        <v/>
      </c>
      <c r="K605" s="12" t="str">
        <f t="shared" si="115"/>
        <v/>
      </c>
      <c r="L605" s="6"/>
      <c r="M605" s="6"/>
      <c r="N605" s="6"/>
      <c r="O605" s="36"/>
      <c r="P605" s="24" t="str">
        <f t="shared" si="105"/>
        <v xml:space="preserve"> </v>
      </c>
      <c r="Q605" s="25" t="str">
        <f t="shared" si="106"/>
        <v xml:space="preserve"> </v>
      </c>
      <c r="R605" s="25" t="str">
        <f t="shared" si="107"/>
        <v xml:space="preserve"> </v>
      </c>
      <c r="S605" s="26" t="str">
        <f t="shared" si="108"/>
        <v xml:space="preserve"> </v>
      </c>
      <c r="T605" s="7" t="str">
        <f t="shared" si="109"/>
        <v xml:space="preserve"> </v>
      </c>
      <c r="U605" s="8" t="str">
        <f t="shared" si="110"/>
        <v xml:space="preserve"> </v>
      </c>
      <c r="V605" s="9" t="str">
        <f t="shared" si="104"/>
        <v xml:space="preserve"> </v>
      </c>
      <c r="W605" s="9" t="str">
        <f t="shared" si="111"/>
        <v/>
      </c>
      <c r="X605" s="32"/>
      <c r="Y605" s="36"/>
    </row>
    <row r="606" spans="1:25" s="4" customFormat="1" ht="18" customHeight="1">
      <c r="A606" s="36"/>
      <c r="B606" s="76"/>
      <c r="C606" s="69"/>
      <c r="D606" s="31"/>
      <c r="E606" s="29"/>
      <c r="F606" s="28"/>
      <c r="G606" s="29"/>
      <c r="H606" s="29"/>
      <c r="I606" s="30"/>
      <c r="J606" s="12" t="str">
        <f t="shared" si="114"/>
        <v/>
      </c>
      <c r="K606" s="12" t="str">
        <f t="shared" si="115"/>
        <v/>
      </c>
      <c r="L606" s="6"/>
      <c r="M606" s="6"/>
      <c r="N606" s="6"/>
      <c r="O606" s="36"/>
      <c r="P606" s="24" t="str">
        <f t="shared" si="105"/>
        <v xml:space="preserve"> </v>
      </c>
      <c r="Q606" s="25" t="str">
        <f t="shared" si="106"/>
        <v xml:space="preserve"> </v>
      </c>
      <c r="R606" s="25" t="str">
        <f t="shared" si="107"/>
        <v xml:space="preserve"> </v>
      </c>
      <c r="S606" s="26" t="str">
        <f t="shared" si="108"/>
        <v xml:space="preserve"> </v>
      </c>
      <c r="T606" s="7" t="str">
        <f t="shared" si="109"/>
        <v xml:space="preserve"> </v>
      </c>
      <c r="U606" s="8" t="str">
        <f t="shared" si="110"/>
        <v xml:space="preserve"> </v>
      </c>
      <c r="V606" s="9" t="str">
        <f t="shared" si="104"/>
        <v xml:space="preserve"> </v>
      </c>
      <c r="W606" s="9" t="str">
        <f t="shared" si="111"/>
        <v/>
      </c>
      <c r="X606" s="32"/>
      <c r="Y606" s="36"/>
    </row>
    <row r="607" spans="1:25" s="4" customFormat="1" ht="18" customHeight="1">
      <c r="A607" s="36"/>
      <c r="B607" s="76"/>
      <c r="C607" s="69"/>
      <c r="D607" s="31"/>
      <c r="E607" s="29"/>
      <c r="F607" s="28"/>
      <c r="G607" s="29"/>
      <c r="H607" s="29"/>
      <c r="I607" s="30"/>
      <c r="J607" s="12" t="str">
        <f t="shared" si="114"/>
        <v/>
      </c>
      <c r="K607" s="12" t="str">
        <f t="shared" si="115"/>
        <v/>
      </c>
      <c r="L607" s="6"/>
      <c r="M607" s="6"/>
      <c r="N607" s="6"/>
      <c r="O607" s="36"/>
      <c r="P607" s="24" t="str">
        <f t="shared" si="105"/>
        <v xml:space="preserve"> </v>
      </c>
      <c r="Q607" s="25" t="str">
        <f t="shared" si="106"/>
        <v xml:space="preserve"> </v>
      </c>
      <c r="R607" s="25" t="str">
        <f t="shared" si="107"/>
        <v xml:space="preserve"> </v>
      </c>
      <c r="S607" s="26" t="str">
        <f t="shared" si="108"/>
        <v xml:space="preserve"> </v>
      </c>
      <c r="T607" s="7" t="str">
        <f t="shared" si="109"/>
        <v xml:space="preserve"> </v>
      </c>
      <c r="U607" s="8" t="str">
        <f t="shared" si="110"/>
        <v xml:space="preserve"> </v>
      </c>
      <c r="V607" s="9" t="str">
        <f t="shared" si="104"/>
        <v xml:space="preserve"> </v>
      </c>
      <c r="W607" s="9" t="str">
        <f t="shared" si="111"/>
        <v/>
      </c>
      <c r="X607" s="32"/>
      <c r="Y607" s="36"/>
    </row>
    <row r="608" spans="1:25" s="4" customFormat="1" ht="18" customHeight="1">
      <c r="A608" s="36"/>
      <c r="B608" s="76"/>
      <c r="C608" s="69"/>
      <c r="D608" s="31"/>
      <c r="E608" s="29"/>
      <c r="F608" s="28"/>
      <c r="G608" s="29"/>
      <c r="H608" s="29"/>
      <c r="I608" s="30"/>
      <c r="J608" s="12" t="str">
        <f t="shared" si="114"/>
        <v/>
      </c>
      <c r="K608" s="12" t="str">
        <f t="shared" si="115"/>
        <v/>
      </c>
      <c r="L608" s="6"/>
      <c r="M608" s="6"/>
      <c r="N608" s="6"/>
      <c r="O608" s="36"/>
      <c r="P608" s="24" t="str">
        <f t="shared" si="105"/>
        <v xml:space="preserve"> </v>
      </c>
      <c r="Q608" s="25" t="str">
        <f t="shared" si="106"/>
        <v xml:space="preserve"> </v>
      </c>
      <c r="R608" s="25" t="str">
        <f t="shared" si="107"/>
        <v xml:space="preserve"> </v>
      </c>
      <c r="S608" s="26" t="str">
        <f t="shared" si="108"/>
        <v xml:space="preserve"> </v>
      </c>
      <c r="T608" s="7" t="str">
        <f t="shared" si="109"/>
        <v xml:space="preserve"> </v>
      </c>
      <c r="U608" s="8" t="str">
        <f t="shared" si="110"/>
        <v xml:space="preserve"> </v>
      </c>
      <c r="V608" s="9" t="str">
        <f t="shared" si="104"/>
        <v xml:space="preserve"> </v>
      </c>
      <c r="W608" s="9" t="str">
        <f t="shared" si="111"/>
        <v/>
      </c>
      <c r="X608" s="32"/>
      <c r="Y608" s="36"/>
    </row>
    <row r="609" spans="1:25" s="4" customFormat="1" ht="18" customHeight="1">
      <c r="A609" s="36"/>
      <c r="B609" s="76"/>
      <c r="C609" s="69"/>
      <c r="D609" s="31"/>
      <c r="E609" s="29"/>
      <c r="F609" s="28"/>
      <c r="G609" s="29"/>
      <c r="H609" s="29"/>
      <c r="I609" s="30"/>
      <c r="J609" s="12" t="str">
        <f t="shared" si="114"/>
        <v/>
      </c>
      <c r="K609" s="12" t="str">
        <f t="shared" si="115"/>
        <v/>
      </c>
      <c r="L609" s="6"/>
      <c r="M609" s="6"/>
      <c r="N609" s="6"/>
      <c r="O609" s="36"/>
      <c r="P609" s="24" t="str">
        <f t="shared" si="105"/>
        <v xml:space="preserve"> </v>
      </c>
      <c r="Q609" s="25" t="str">
        <f t="shared" si="106"/>
        <v xml:space="preserve"> </v>
      </c>
      <c r="R609" s="25" t="str">
        <f t="shared" si="107"/>
        <v xml:space="preserve"> </v>
      </c>
      <c r="S609" s="26" t="str">
        <f t="shared" si="108"/>
        <v xml:space="preserve"> </v>
      </c>
      <c r="T609" s="7" t="str">
        <f t="shared" si="109"/>
        <v xml:space="preserve"> </v>
      </c>
      <c r="U609" s="8" t="str">
        <f t="shared" si="110"/>
        <v xml:space="preserve"> </v>
      </c>
      <c r="V609" s="9" t="str">
        <f t="shared" si="104"/>
        <v xml:space="preserve"> </v>
      </c>
      <c r="W609" s="9" t="str">
        <f t="shared" si="111"/>
        <v/>
      </c>
      <c r="X609" s="32"/>
      <c r="Y609" s="36"/>
    </row>
    <row r="610" spans="1:25" s="4" customFormat="1" ht="18" customHeight="1">
      <c r="A610" s="36"/>
      <c r="B610" s="76"/>
      <c r="C610" s="69"/>
      <c r="D610" s="31"/>
      <c r="E610" s="29"/>
      <c r="F610" s="28"/>
      <c r="G610" s="29"/>
      <c r="H610" s="29"/>
      <c r="I610" s="30"/>
      <c r="J610" s="12" t="str">
        <f t="shared" si="114"/>
        <v/>
      </c>
      <c r="K610" s="12" t="str">
        <f t="shared" si="115"/>
        <v/>
      </c>
      <c r="L610" s="6"/>
      <c r="M610" s="6"/>
      <c r="N610" s="6"/>
      <c r="O610" s="36"/>
      <c r="P610" s="24" t="str">
        <f t="shared" si="105"/>
        <v xml:space="preserve"> </v>
      </c>
      <c r="Q610" s="25" t="str">
        <f t="shared" si="106"/>
        <v xml:space="preserve"> </v>
      </c>
      <c r="R610" s="25" t="str">
        <f t="shared" si="107"/>
        <v xml:space="preserve"> </v>
      </c>
      <c r="S610" s="26" t="str">
        <f t="shared" si="108"/>
        <v xml:space="preserve"> </v>
      </c>
      <c r="T610" s="7" t="str">
        <f t="shared" si="109"/>
        <v xml:space="preserve"> </v>
      </c>
      <c r="U610" s="8" t="str">
        <f t="shared" si="110"/>
        <v xml:space="preserve"> </v>
      </c>
      <c r="V610" s="9" t="str">
        <f t="shared" si="104"/>
        <v xml:space="preserve"> </v>
      </c>
      <c r="W610" s="9" t="str">
        <f t="shared" si="111"/>
        <v/>
      </c>
      <c r="X610" s="32"/>
      <c r="Y610" s="36"/>
    </row>
    <row r="611" spans="1:25" s="4" customFormat="1" ht="18" customHeight="1">
      <c r="A611" s="36"/>
      <c r="B611" s="76"/>
      <c r="C611" s="69"/>
      <c r="D611" s="31"/>
      <c r="E611" s="29"/>
      <c r="F611" s="28"/>
      <c r="G611" s="29"/>
      <c r="H611" s="29"/>
      <c r="I611" s="30"/>
      <c r="J611" s="12" t="str">
        <f t="shared" si="114"/>
        <v/>
      </c>
      <c r="K611" s="12" t="str">
        <f t="shared" si="115"/>
        <v/>
      </c>
      <c r="L611" s="6"/>
      <c r="M611" s="6"/>
      <c r="N611" s="6"/>
      <c r="O611" s="36"/>
      <c r="P611" s="24" t="str">
        <f t="shared" si="105"/>
        <v xml:space="preserve"> </v>
      </c>
      <c r="Q611" s="25" t="str">
        <f t="shared" si="106"/>
        <v xml:space="preserve"> </v>
      </c>
      <c r="R611" s="25" t="str">
        <f t="shared" si="107"/>
        <v xml:space="preserve"> </v>
      </c>
      <c r="S611" s="26" t="str">
        <f t="shared" si="108"/>
        <v xml:space="preserve"> </v>
      </c>
      <c r="T611" s="7" t="str">
        <f t="shared" si="109"/>
        <v xml:space="preserve"> </v>
      </c>
      <c r="U611" s="8" t="str">
        <f t="shared" si="110"/>
        <v xml:space="preserve"> </v>
      </c>
      <c r="V611" s="9" t="str">
        <f t="shared" si="104"/>
        <v xml:space="preserve"> </v>
      </c>
      <c r="W611" s="9" t="str">
        <f t="shared" si="111"/>
        <v/>
      </c>
      <c r="X611" s="32"/>
      <c r="Y611" s="36"/>
    </row>
    <row r="612" spans="1:25" s="4" customFormat="1" ht="18" customHeight="1">
      <c r="A612" s="36"/>
      <c r="B612" s="76"/>
      <c r="C612" s="69"/>
      <c r="D612" s="31"/>
      <c r="E612" s="29"/>
      <c r="F612" s="28"/>
      <c r="G612" s="29"/>
      <c r="H612" s="29"/>
      <c r="I612" s="30"/>
      <c r="J612" s="12" t="str">
        <f t="shared" si="114"/>
        <v/>
      </c>
      <c r="K612" s="12" t="str">
        <f t="shared" si="115"/>
        <v/>
      </c>
      <c r="L612" s="6"/>
      <c r="M612" s="6"/>
      <c r="N612" s="6"/>
      <c r="O612" s="36"/>
      <c r="P612" s="24" t="str">
        <f t="shared" si="105"/>
        <v xml:space="preserve"> </v>
      </c>
      <c r="Q612" s="25" t="str">
        <f t="shared" si="106"/>
        <v xml:space="preserve"> </v>
      </c>
      <c r="R612" s="25" t="str">
        <f t="shared" si="107"/>
        <v xml:space="preserve"> </v>
      </c>
      <c r="S612" s="26" t="str">
        <f t="shared" si="108"/>
        <v xml:space="preserve"> </v>
      </c>
      <c r="T612" s="7" t="str">
        <f t="shared" si="109"/>
        <v xml:space="preserve"> </v>
      </c>
      <c r="U612" s="8" t="str">
        <f t="shared" si="110"/>
        <v xml:space="preserve"> </v>
      </c>
      <c r="V612" s="9" t="str">
        <f t="shared" si="104"/>
        <v xml:space="preserve"> </v>
      </c>
      <c r="W612" s="9" t="str">
        <f t="shared" si="111"/>
        <v/>
      </c>
      <c r="X612" s="32"/>
      <c r="Y612" s="36"/>
    </row>
    <row r="613" spans="1:25" s="4" customFormat="1" ht="18" customHeight="1">
      <c r="A613" s="36"/>
      <c r="B613" s="76"/>
      <c r="C613" s="69"/>
      <c r="D613" s="31"/>
      <c r="E613" s="29"/>
      <c r="F613" s="28"/>
      <c r="G613" s="29"/>
      <c r="H613" s="29"/>
      <c r="I613" s="30"/>
      <c r="J613" s="12" t="str">
        <f t="shared" si="114"/>
        <v/>
      </c>
      <c r="K613" s="12" t="str">
        <f t="shared" si="115"/>
        <v/>
      </c>
      <c r="L613" s="6"/>
      <c r="M613" s="6"/>
      <c r="N613" s="6"/>
      <c r="O613" s="36"/>
      <c r="P613" s="24" t="str">
        <f t="shared" si="105"/>
        <v xml:space="preserve"> </v>
      </c>
      <c r="Q613" s="25" t="str">
        <f t="shared" si="106"/>
        <v xml:space="preserve"> </v>
      </c>
      <c r="R613" s="25" t="str">
        <f t="shared" si="107"/>
        <v xml:space="preserve"> </v>
      </c>
      <c r="S613" s="26" t="str">
        <f t="shared" si="108"/>
        <v xml:space="preserve"> </v>
      </c>
      <c r="T613" s="7" t="str">
        <f t="shared" si="109"/>
        <v xml:space="preserve"> </v>
      </c>
      <c r="U613" s="8" t="str">
        <f t="shared" si="110"/>
        <v xml:space="preserve"> </v>
      </c>
      <c r="V613" s="9" t="str">
        <f t="shared" si="104"/>
        <v xml:space="preserve"> </v>
      </c>
      <c r="W613" s="9" t="str">
        <f t="shared" si="111"/>
        <v/>
      </c>
      <c r="X613" s="32"/>
      <c r="Y613" s="36"/>
    </row>
    <row r="614" spans="1:25" s="4" customFormat="1" ht="18" customHeight="1">
      <c r="A614" s="36"/>
      <c r="B614" s="76"/>
      <c r="C614" s="69"/>
      <c r="D614" s="31"/>
      <c r="E614" s="29"/>
      <c r="F614" s="28"/>
      <c r="G614" s="29"/>
      <c r="H614" s="29"/>
      <c r="I614" s="30"/>
      <c r="J614" s="12" t="str">
        <f t="shared" si="114"/>
        <v/>
      </c>
      <c r="K614" s="12" t="str">
        <f t="shared" si="115"/>
        <v/>
      </c>
      <c r="L614" s="6"/>
      <c r="M614" s="6"/>
      <c r="N614" s="6"/>
      <c r="O614" s="36"/>
      <c r="P614" s="24" t="str">
        <f t="shared" si="105"/>
        <v xml:space="preserve"> </v>
      </c>
      <c r="Q614" s="25" t="str">
        <f t="shared" si="106"/>
        <v xml:space="preserve"> </v>
      </c>
      <c r="R614" s="25" t="str">
        <f t="shared" si="107"/>
        <v xml:space="preserve"> </v>
      </c>
      <c r="S614" s="26" t="str">
        <f t="shared" si="108"/>
        <v xml:space="preserve"> </v>
      </c>
      <c r="T614" s="7" t="str">
        <f t="shared" si="109"/>
        <v xml:space="preserve"> </v>
      </c>
      <c r="U614" s="8" t="str">
        <f t="shared" si="110"/>
        <v xml:space="preserve"> </v>
      </c>
      <c r="V614" s="9" t="str">
        <f t="shared" si="104"/>
        <v xml:space="preserve"> </v>
      </c>
      <c r="W614" s="9" t="str">
        <f t="shared" si="111"/>
        <v/>
      </c>
      <c r="X614" s="32"/>
      <c r="Y614" s="36"/>
    </row>
    <row r="615" spans="1:25" s="4" customFormat="1" ht="18" customHeight="1">
      <c r="A615" s="36"/>
      <c r="B615" s="76"/>
      <c r="C615" s="69"/>
      <c r="D615" s="31"/>
      <c r="E615" s="29"/>
      <c r="F615" s="28"/>
      <c r="G615" s="29"/>
      <c r="H615" s="29"/>
      <c r="I615" s="30"/>
      <c r="J615" s="12" t="str">
        <f t="shared" si="114"/>
        <v/>
      </c>
      <c r="K615" s="12" t="str">
        <f t="shared" si="115"/>
        <v/>
      </c>
      <c r="L615" s="6"/>
      <c r="M615" s="6"/>
      <c r="N615" s="6"/>
      <c r="O615" s="36"/>
      <c r="P615" s="24" t="str">
        <f t="shared" si="105"/>
        <v xml:space="preserve"> </v>
      </c>
      <c r="Q615" s="25" t="str">
        <f t="shared" si="106"/>
        <v xml:space="preserve"> </v>
      </c>
      <c r="R615" s="25" t="str">
        <f t="shared" si="107"/>
        <v xml:space="preserve"> </v>
      </c>
      <c r="S615" s="26" t="str">
        <f t="shared" si="108"/>
        <v xml:space="preserve"> </v>
      </c>
      <c r="T615" s="7" t="str">
        <f t="shared" si="109"/>
        <v xml:space="preserve"> </v>
      </c>
      <c r="U615" s="8" t="str">
        <f t="shared" si="110"/>
        <v xml:space="preserve"> </v>
      </c>
      <c r="V615" s="9" t="str">
        <f t="shared" si="104"/>
        <v xml:space="preserve"> </v>
      </c>
      <c r="W615" s="9" t="str">
        <f t="shared" si="111"/>
        <v/>
      </c>
      <c r="X615" s="32"/>
      <c r="Y615" s="36"/>
    </row>
    <row r="616" spans="1:25" s="4" customFormat="1" ht="18" customHeight="1">
      <c r="A616" s="36"/>
      <c r="B616" s="76"/>
      <c r="C616" s="69"/>
      <c r="D616" s="31"/>
      <c r="E616" s="29"/>
      <c r="F616" s="28"/>
      <c r="G616" s="29"/>
      <c r="H616" s="29"/>
      <c r="I616" s="30"/>
      <c r="J616" s="12" t="str">
        <f t="shared" si="114"/>
        <v/>
      </c>
      <c r="K616" s="12" t="str">
        <f t="shared" si="115"/>
        <v/>
      </c>
      <c r="L616" s="6"/>
      <c r="M616" s="6"/>
      <c r="N616" s="6"/>
      <c r="O616" s="36"/>
      <c r="P616" s="24" t="str">
        <f t="shared" si="105"/>
        <v xml:space="preserve"> </v>
      </c>
      <c r="Q616" s="25" t="str">
        <f t="shared" si="106"/>
        <v xml:space="preserve"> </v>
      </c>
      <c r="R616" s="25" t="str">
        <f t="shared" si="107"/>
        <v xml:space="preserve"> </v>
      </c>
      <c r="S616" s="26" t="str">
        <f t="shared" si="108"/>
        <v xml:space="preserve"> </v>
      </c>
      <c r="T616" s="7" t="str">
        <f t="shared" si="109"/>
        <v xml:space="preserve"> </v>
      </c>
      <c r="U616" s="8" t="str">
        <f t="shared" si="110"/>
        <v xml:space="preserve"> </v>
      </c>
      <c r="V616" s="9" t="str">
        <f t="shared" si="104"/>
        <v xml:space="preserve"> </v>
      </c>
      <c r="W616" s="9" t="str">
        <f t="shared" si="111"/>
        <v/>
      </c>
      <c r="X616" s="32"/>
      <c r="Y616" s="36"/>
    </row>
    <row r="617" spans="1:25" s="4" customFormat="1" ht="18" customHeight="1">
      <c r="A617" s="36"/>
      <c r="B617" s="76"/>
      <c r="C617" s="69"/>
      <c r="D617" s="31"/>
      <c r="E617" s="29"/>
      <c r="F617" s="28"/>
      <c r="G617" s="29"/>
      <c r="H617" s="29"/>
      <c r="I617" s="30"/>
      <c r="J617" s="12" t="str">
        <f t="shared" si="114"/>
        <v/>
      </c>
      <c r="K617" s="12" t="str">
        <f t="shared" si="115"/>
        <v/>
      </c>
      <c r="L617" s="6"/>
      <c r="M617" s="6"/>
      <c r="N617" s="6"/>
      <c r="O617" s="36"/>
      <c r="P617" s="24" t="str">
        <f t="shared" si="105"/>
        <v xml:space="preserve"> </v>
      </c>
      <c r="Q617" s="25" t="str">
        <f t="shared" si="106"/>
        <v xml:space="preserve"> </v>
      </c>
      <c r="R617" s="25" t="str">
        <f t="shared" si="107"/>
        <v xml:space="preserve"> </v>
      </c>
      <c r="S617" s="26" t="str">
        <f t="shared" si="108"/>
        <v xml:space="preserve"> </v>
      </c>
      <c r="T617" s="7" t="str">
        <f t="shared" si="109"/>
        <v xml:space="preserve"> </v>
      </c>
      <c r="U617" s="8" t="str">
        <f t="shared" si="110"/>
        <v xml:space="preserve"> </v>
      </c>
      <c r="V617" s="9" t="str">
        <f t="shared" si="104"/>
        <v xml:space="preserve"> </v>
      </c>
      <c r="W617" s="9" t="str">
        <f t="shared" si="111"/>
        <v/>
      </c>
      <c r="X617" s="32"/>
      <c r="Y617" s="36"/>
    </row>
    <row r="618" spans="1:25" s="4" customFormat="1" ht="18" customHeight="1">
      <c r="A618" s="36"/>
      <c r="B618" s="76"/>
      <c r="C618" s="69"/>
      <c r="D618" s="31"/>
      <c r="E618" s="29"/>
      <c r="F618" s="28"/>
      <c r="G618" s="29"/>
      <c r="H618" s="29"/>
      <c r="I618" s="30"/>
      <c r="J618" s="12" t="str">
        <f t="shared" si="114"/>
        <v/>
      </c>
      <c r="K618" s="12" t="str">
        <f t="shared" si="115"/>
        <v/>
      </c>
      <c r="L618" s="6"/>
      <c r="M618" s="6"/>
      <c r="N618" s="6"/>
      <c r="O618" s="36"/>
      <c r="P618" s="24" t="str">
        <f t="shared" si="105"/>
        <v xml:space="preserve"> </v>
      </c>
      <c r="Q618" s="25" t="str">
        <f t="shared" si="106"/>
        <v xml:space="preserve"> </v>
      </c>
      <c r="R618" s="25" t="str">
        <f t="shared" si="107"/>
        <v xml:space="preserve"> </v>
      </c>
      <c r="S618" s="26" t="str">
        <f t="shared" si="108"/>
        <v xml:space="preserve"> </v>
      </c>
      <c r="T618" s="7" t="str">
        <f t="shared" si="109"/>
        <v xml:space="preserve"> </v>
      </c>
      <c r="U618" s="8" t="str">
        <f t="shared" si="110"/>
        <v xml:space="preserve"> </v>
      </c>
      <c r="V618" s="9" t="str">
        <f t="shared" si="104"/>
        <v xml:space="preserve"> </v>
      </c>
      <c r="W618" s="9" t="str">
        <f t="shared" si="111"/>
        <v/>
      </c>
      <c r="X618" s="32"/>
      <c r="Y618" s="36"/>
    </row>
    <row r="619" spans="1:25" s="4" customFormat="1" ht="18" customHeight="1">
      <c r="A619" s="36"/>
      <c r="B619" s="76"/>
      <c r="C619" s="69"/>
      <c r="D619" s="31"/>
      <c r="E619" s="29"/>
      <c r="F619" s="28"/>
      <c r="G619" s="29"/>
      <c r="H619" s="29"/>
      <c r="I619" s="30"/>
      <c r="J619" s="12" t="str">
        <f t="shared" si="114"/>
        <v/>
      </c>
      <c r="K619" s="12" t="str">
        <f t="shared" si="115"/>
        <v/>
      </c>
      <c r="L619" s="6"/>
      <c r="M619" s="6"/>
      <c r="N619" s="6"/>
      <c r="O619" s="36"/>
      <c r="P619" s="24" t="str">
        <f t="shared" si="105"/>
        <v xml:space="preserve"> </v>
      </c>
      <c r="Q619" s="25" t="str">
        <f t="shared" si="106"/>
        <v xml:space="preserve"> </v>
      </c>
      <c r="R619" s="25" t="str">
        <f t="shared" si="107"/>
        <v xml:space="preserve"> </v>
      </c>
      <c r="S619" s="26" t="str">
        <f t="shared" si="108"/>
        <v xml:space="preserve"> </v>
      </c>
      <c r="T619" s="7" t="str">
        <f t="shared" si="109"/>
        <v xml:space="preserve"> </v>
      </c>
      <c r="U619" s="8" t="str">
        <f t="shared" si="110"/>
        <v xml:space="preserve"> </v>
      </c>
      <c r="V619" s="9" t="str">
        <f t="shared" si="104"/>
        <v xml:space="preserve"> </v>
      </c>
      <c r="W619" s="9" t="str">
        <f t="shared" si="111"/>
        <v/>
      </c>
      <c r="X619" s="32"/>
      <c r="Y619" s="36"/>
    </row>
    <row r="620" spans="1:25" s="4" customFormat="1" ht="18" customHeight="1">
      <c r="A620" s="36"/>
      <c r="B620" s="76"/>
      <c r="C620" s="69"/>
      <c r="D620" s="31"/>
      <c r="E620" s="29"/>
      <c r="F620" s="28"/>
      <c r="G620" s="29"/>
      <c r="H620" s="29"/>
      <c r="I620" s="30"/>
      <c r="J620" s="12" t="str">
        <f t="shared" si="114"/>
        <v/>
      </c>
      <c r="K620" s="12" t="str">
        <f t="shared" si="115"/>
        <v/>
      </c>
      <c r="L620" s="6"/>
      <c r="M620" s="6"/>
      <c r="N620" s="6"/>
      <c r="O620" s="36"/>
      <c r="P620" s="24" t="str">
        <f t="shared" si="105"/>
        <v xml:space="preserve"> </v>
      </c>
      <c r="Q620" s="25" t="str">
        <f t="shared" si="106"/>
        <v xml:space="preserve"> </v>
      </c>
      <c r="R620" s="25" t="str">
        <f t="shared" si="107"/>
        <v xml:space="preserve"> </v>
      </c>
      <c r="S620" s="26" t="str">
        <f t="shared" si="108"/>
        <v xml:space="preserve"> </v>
      </c>
      <c r="T620" s="7" t="str">
        <f t="shared" si="109"/>
        <v xml:space="preserve"> </v>
      </c>
      <c r="U620" s="8" t="str">
        <f t="shared" si="110"/>
        <v xml:space="preserve"> </v>
      </c>
      <c r="V620" s="9" t="str">
        <f t="shared" si="104"/>
        <v xml:space="preserve"> </v>
      </c>
      <c r="W620" s="9" t="str">
        <f t="shared" si="111"/>
        <v/>
      </c>
      <c r="X620" s="32"/>
      <c r="Y620" s="36"/>
    </row>
    <row r="621" spans="1:25" s="4" customFormat="1" ht="18" customHeight="1">
      <c r="A621" s="36"/>
      <c r="B621" s="76"/>
      <c r="C621" s="69"/>
      <c r="D621" s="31"/>
      <c r="E621" s="29"/>
      <c r="F621" s="28"/>
      <c r="G621" s="29"/>
      <c r="H621" s="29"/>
      <c r="I621" s="30"/>
      <c r="J621" s="12" t="str">
        <f t="shared" si="114"/>
        <v/>
      </c>
      <c r="K621" s="12" t="str">
        <f t="shared" si="115"/>
        <v/>
      </c>
      <c r="L621" s="6"/>
      <c r="M621" s="6"/>
      <c r="N621" s="6"/>
      <c r="O621" s="36"/>
      <c r="P621" s="24" t="str">
        <f t="shared" si="105"/>
        <v xml:space="preserve"> </v>
      </c>
      <c r="Q621" s="25" t="str">
        <f t="shared" si="106"/>
        <v xml:space="preserve"> </v>
      </c>
      <c r="R621" s="25" t="str">
        <f t="shared" si="107"/>
        <v xml:space="preserve"> </v>
      </c>
      <c r="S621" s="26" t="str">
        <f t="shared" si="108"/>
        <v xml:space="preserve"> </v>
      </c>
      <c r="T621" s="7" t="str">
        <f t="shared" si="109"/>
        <v xml:space="preserve"> </v>
      </c>
      <c r="U621" s="8" t="str">
        <f t="shared" si="110"/>
        <v xml:space="preserve"> </v>
      </c>
      <c r="V621" s="9" t="str">
        <f t="shared" si="104"/>
        <v xml:space="preserve"> </v>
      </c>
      <c r="W621" s="9" t="str">
        <f t="shared" si="111"/>
        <v/>
      </c>
      <c r="X621" s="32"/>
      <c r="Y621" s="36"/>
    </row>
    <row r="622" spans="1:25" s="4" customFormat="1" ht="18" customHeight="1">
      <c r="A622" s="36"/>
      <c r="B622" s="76"/>
      <c r="C622" s="69"/>
      <c r="D622" s="31"/>
      <c r="E622" s="29"/>
      <c r="F622" s="28"/>
      <c r="G622" s="29"/>
      <c r="H622" s="29"/>
      <c r="I622" s="30"/>
      <c r="J622" s="12" t="str">
        <f t="shared" si="114"/>
        <v/>
      </c>
      <c r="K622" s="12" t="str">
        <f t="shared" si="115"/>
        <v/>
      </c>
      <c r="L622" s="6"/>
      <c r="M622" s="6"/>
      <c r="N622" s="6"/>
      <c r="O622" s="36"/>
      <c r="P622" s="24" t="str">
        <f t="shared" si="105"/>
        <v xml:space="preserve"> </v>
      </c>
      <c r="Q622" s="25" t="str">
        <f t="shared" si="106"/>
        <v xml:space="preserve"> </v>
      </c>
      <c r="R622" s="25" t="str">
        <f t="shared" si="107"/>
        <v xml:space="preserve"> </v>
      </c>
      <c r="S622" s="26" t="str">
        <f t="shared" si="108"/>
        <v xml:space="preserve"> </v>
      </c>
      <c r="T622" s="7" t="str">
        <f t="shared" si="109"/>
        <v xml:space="preserve"> </v>
      </c>
      <c r="U622" s="8" t="str">
        <f t="shared" si="110"/>
        <v xml:space="preserve"> </v>
      </c>
      <c r="V622" s="9" t="str">
        <f t="shared" si="104"/>
        <v xml:space="preserve"> </v>
      </c>
      <c r="W622" s="9" t="str">
        <f t="shared" si="111"/>
        <v/>
      </c>
      <c r="X622" s="32"/>
      <c r="Y622" s="36"/>
    </row>
    <row r="623" spans="1:25" s="4" customFormat="1" ht="18" customHeight="1">
      <c r="A623" s="36"/>
      <c r="B623" s="76"/>
      <c r="C623" s="69"/>
      <c r="D623" s="31"/>
      <c r="E623" s="29"/>
      <c r="F623" s="28"/>
      <c r="G623" s="29"/>
      <c r="H623" s="29"/>
      <c r="I623" s="30"/>
      <c r="J623" s="12" t="str">
        <f t="shared" si="114"/>
        <v/>
      </c>
      <c r="K623" s="12" t="str">
        <f t="shared" si="115"/>
        <v/>
      </c>
      <c r="L623" s="6"/>
      <c r="M623" s="6"/>
      <c r="N623" s="6"/>
      <c r="O623" s="36"/>
      <c r="P623" s="24" t="str">
        <f t="shared" si="105"/>
        <v xml:space="preserve"> </v>
      </c>
      <c r="Q623" s="25" t="str">
        <f t="shared" si="106"/>
        <v xml:space="preserve"> </v>
      </c>
      <c r="R623" s="25" t="str">
        <f t="shared" si="107"/>
        <v xml:space="preserve"> </v>
      </c>
      <c r="S623" s="26" t="str">
        <f t="shared" si="108"/>
        <v xml:space="preserve"> </v>
      </c>
      <c r="T623" s="7" t="str">
        <f t="shared" si="109"/>
        <v xml:space="preserve"> </v>
      </c>
      <c r="U623" s="8" t="str">
        <f t="shared" si="110"/>
        <v xml:space="preserve"> </v>
      </c>
      <c r="V623" s="9" t="str">
        <f t="shared" si="104"/>
        <v xml:space="preserve"> </v>
      </c>
      <c r="W623" s="9" t="str">
        <f t="shared" si="111"/>
        <v/>
      </c>
      <c r="X623" s="32"/>
      <c r="Y623" s="36"/>
    </row>
    <row r="624" spans="1:25" s="4" customFormat="1" ht="18" customHeight="1">
      <c r="A624" s="36"/>
      <c r="B624" s="76"/>
      <c r="C624" s="69"/>
      <c r="D624" s="31"/>
      <c r="E624" s="29"/>
      <c r="F624" s="28"/>
      <c r="G624" s="29"/>
      <c r="H624" s="29"/>
      <c r="I624" s="30"/>
      <c r="J624" s="12" t="str">
        <f t="shared" si="114"/>
        <v/>
      </c>
      <c r="K624" s="12" t="str">
        <f t="shared" si="115"/>
        <v/>
      </c>
      <c r="L624" s="6"/>
      <c r="M624" s="6"/>
      <c r="N624" s="6"/>
      <c r="O624" s="36"/>
      <c r="P624" s="24" t="str">
        <f t="shared" si="105"/>
        <v xml:space="preserve"> </v>
      </c>
      <c r="Q624" s="25" t="str">
        <f t="shared" si="106"/>
        <v xml:space="preserve"> </v>
      </c>
      <c r="R624" s="25" t="str">
        <f t="shared" si="107"/>
        <v xml:space="preserve"> </v>
      </c>
      <c r="S624" s="26" t="str">
        <f t="shared" si="108"/>
        <v xml:space="preserve"> </v>
      </c>
      <c r="T624" s="7" t="str">
        <f t="shared" si="109"/>
        <v xml:space="preserve"> </v>
      </c>
      <c r="U624" s="8" t="str">
        <f t="shared" si="110"/>
        <v xml:space="preserve"> </v>
      </c>
      <c r="V624" s="9" t="str">
        <f t="shared" si="104"/>
        <v xml:space="preserve"> </v>
      </c>
      <c r="W624" s="9" t="str">
        <f t="shared" si="111"/>
        <v/>
      </c>
      <c r="X624" s="32"/>
      <c r="Y624" s="36"/>
    </row>
    <row r="625" spans="1:25" s="4" customFormat="1" ht="18" customHeight="1">
      <c r="A625" s="36"/>
      <c r="B625" s="76"/>
      <c r="C625" s="69"/>
      <c r="D625" s="31"/>
      <c r="E625" s="29"/>
      <c r="F625" s="28"/>
      <c r="G625" s="29"/>
      <c r="H625" s="29"/>
      <c r="I625" s="30"/>
      <c r="J625" s="12" t="str">
        <f t="shared" si="114"/>
        <v/>
      </c>
      <c r="K625" s="12" t="str">
        <f t="shared" si="115"/>
        <v/>
      </c>
      <c r="L625" s="6"/>
      <c r="M625" s="6"/>
      <c r="N625" s="6"/>
      <c r="O625" s="36"/>
      <c r="P625" s="24" t="str">
        <f t="shared" si="105"/>
        <v xml:space="preserve"> </v>
      </c>
      <c r="Q625" s="25" t="str">
        <f t="shared" si="106"/>
        <v xml:space="preserve"> </v>
      </c>
      <c r="R625" s="25" t="str">
        <f t="shared" si="107"/>
        <v xml:space="preserve"> </v>
      </c>
      <c r="S625" s="26" t="str">
        <f t="shared" si="108"/>
        <v xml:space="preserve"> </v>
      </c>
      <c r="T625" s="7" t="str">
        <f t="shared" si="109"/>
        <v xml:space="preserve"> </v>
      </c>
      <c r="U625" s="8" t="str">
        <f t="shared" si="110"/>
        <v xml:space="preserve"> </v>
      </c>
      <c r="V625" s="9" t="str">
        <f t="shared" si="104"/>
        <v xml:space="preserve"> </v>
      </c>
      <c r="W625" s="9" t="str">
        <f t="shared" si="111"/>
        <v/>
      </c>
      <c r="X625" s="32"/>
      <c r="Y625" s="36"/>
    </row>
    <row r="626" spans="1:25" s="4" customFormat="1" ht="18" customHeight="1">
      <c r="A626" s="36"/>
      <c r="B626" s="76"/>
      <c r="C626" s="69"/>
      <c r="D626" s="31"/>
      <c r="E626" s="29"/>
      <c r="F626" s="28"/>
      <c r="G626" s="29"/>
      <c r="H626" s="29"/>
      <c r="I626" s="30"/>
      <c r="J626" s="12" t="str">
        <f t="shared" si="114"/>
        <v/>
      </c>
      <c r="K626" s="12" t="str">
        <f t="shared" si="115"/>
        <v/>
      </c>
      <c r="L626" s="6"/>
      <c r="M626" s="6"/>
      <c r="N626" s="6"/>
      <c r="O626" s="36"/>
      <c r="P626" s="24" t="str">
        <f t="shared" si="105"/>
        <v xml:space="preserve"> </v>
      </c>
      <c r="Q626" s="25" t="str">
        <f t="shared" si="106"/>
        <v xml:space="preserve"> </v>
      </c>
      <c r="R626" s="25" t="str">
        <f t="shared" si="107"/>
        <v xml:space="preserve"> </v>
      </c>
      <c r="S626" s="26" t="str">
        <f t="shared" si="108"/>
        <v xml:space="preserve"> </v>
      </c>
      <c r="T626" s="7" t="str">
        <f t="shared" si="109"/>
        <v xml:space="preserve"> </v>
      </c>
      <c r="U626" s="8" t="str">
        <f t="shared" si="110"/>
        <v xml:space="preserve"> </v>
      </c>
      <c r="V626" s="9" t="str">
        <f t="shared" si="104"/>
        <v xml:space="preserve"> </v>
      </c>
      <c r="W626" s="9" t="str">
        <f t="shared" si="111"/>
        <v/>
      </c>
      <c r="X626" s="32"/>
      <c r="Y626" s="36"/>
    </row>
    <row r="627" spans="1:25" s="4" customFormat="1" ht="18" customHeight="1">
      <c r="A627" s="36"/>
      <c r="B627" s="76"/>
      <c r="C627" s="69"/>
      <c r="D627" s="31"/>
      <c r="E627" s="29"/>
      <c r="F627" s="28"/>
      <c r="G627" s="29"/>
      <c r="H627" s="29"/>
      <c r="I627" s="30"/>
      <c r="J627" s="12" t="str">
        <f t="shared" si="114"/>
        <v/>
      </c>
      <c r="K627" s="12" t="str">
        <f t="shared" si="115"/>
        <v/>
      </c>
      <c r="L627" s="6"/>
      <c r="M627" s="6"/>
      <c r="N627" s="6"/>
      <c r="O627" s="36"/>
      <c r="P627" s="24" t="str">
        <f t="shared" si="105"/>
        <v xml:space="preserve"> </v>
      </c>
      <c r="Q627" s="25" t="str">
        <f t="shared" si="106"/>
        <v xml:space="preserve"> </v>
      </c>
      <c r="R627" s="25" t="str">
        <f t="shared" si="107"/>
        <v xml:space="preserve"> </v>
      </c>
      <c r="S627" s="26" t="str">
        <f t="shared" si="108"/>
        <v xml:space="preserve"> </v>
      </c>
      <c r="T627" s="7" t="str">
        <f t="shared" si="109"/>
        <v xml:space="preserve"> </v>
      </c>
      <c r="U627" s="8" t="str">
        <f t="shared" si="110"/>
        <v xml:space="preserve"> </v>
      </c>
      <c r="V627" s="9" t="str">
        <f t="shared" si="104"/>
        <v xml:space="preserve"> </v>
      </c>
      <c r="W627" s="9" t="str">
        <f t="shared" si="111"/>
        <v/>
      </c>
      <c r="X627" s="32"/>
      <c r="Y627" s="36"/>
    </row>
    <row r="628" spans="1:25" s="4" customFormat="1" ht="18" customHeight="1">
      <c r="A628" s="36"/>
      <c r="B628" s="76"/>
      <c r="C628" s="69"/>
      <c r="D628" s="31"/>
      <c r="E628" s="29"/>
      <c r="F628" s="28"/>
      <c r="G628" s="29"/>
      <c r="H628" s="29"/>
      <c r="I628" s="30"/>
      <c r="J628" s="12" t="str">
        <f t="shared" si="114"/>
        <v/>
      </c>
      <c r="K628" s="12" t="str">
        <f t="shared" si="115"/>
        <v/>
      </c>
      <c r="L628" s="6"/>
      <c r="M628" s="6"/>
      <c r="N628" s="6"/>
      <c r="O628" s="36"/>
      <c r="P628" s="24" t="str">
        <f t="shared" si="105"/>
        <v xml:space="preserve"> </v>
      </c>
      <c r="Q628" s="25" t="str">
        <f t="shared" si="106"/>
        <v xml:space="preserve"> </v>
      </c>
      <c r="R628" s="25" t="str">
        <f t="shared" si="107"/>
        <v xml:space="preserve"> </v>
      </c>
      <c r="S628" s="26" t="str">
        <f t="shared" si="108"/>
        <v xml:space="preserve"> </v>
      </c>
      <c r="T628" s="7" t="str">
        <f t="shared" si="109"/>
        <v xml:space="preserve"> </v>
      </c>
      <c r="U628" s="8" t="str">
        <f t="shared" si="110"/>
        <v xml:space="preserve"> </v>
      </c>
      <c r="V628" s="9" t="str">
        <f t="shared" si="104"/>
        <v xml:space="preserve"> </v>
      </c>
      <c r="W628" s="9" t="str">
        <f t="shared" si="111"/>
        <v/>
      </c>
      <c r="X628" s="32"/>
      <c r="Y628" s="36"/>
    </row>
    <row r="629" spans="1:25" s="4" customFormat="1" ht="18" customHeight="1">
      <c r="A629" s="36"/>
      <c r="B629" s="76"/>
      <c r="C629" s="69"/>
      <c r="D629" s="31"/>
      <c r="E629" s="29"/>
      <c r="F629" s="28"/>
      <c r="G629" s="29"/>
      <c r="H629" s="29"/>
      <c r="I629" s="30"/>
      <c r="J629" s="12" t="str">
        <f t="shared" si="114"/>
        <v/>
      </c>
      <c r="K629" s="12" t="str">
        <f t="shared" si="115"/>
        <v/>
      </c>
      <c r="L629" s="6"/>
      <c r="M629" s="6"/>
      <c r="N629" s="6"/>
      <c r="O629" s="36"/>
      <c r="P629" s="24" t="str">
        <f t="shared" si="105"/>
        <v xml:space="preserve"> </v>
      </c>
      <c r="Q629" s="25" t="str">
        <f t="shared" si="106"/>
        <v xml:space="preserve"> </v>
      </c>
      <c r="R629" s="25" t="str">
        <f t="shared" si="107"/>
        <v xml:space="preserve"> </v>
      </c>
      <c r="S629" s="26" t="str">
        <f t="shared" si="108"/>
        <v xml:space="preserve"> </v>
      </c>
      <c r="T629" s="7" t="str">
        <f t="shared" si="109"/>
        <v xml:space="preserve"> </v>
      </c>
      <c r="U629" s="8" t="str">
        <f t="shared" si="110"/>
        <v xml:space="preserve"> </v>
      </c>
      <c r="V629" s="9" t="str">
        <f t="shared" si="104"/>
        <v xml:space="preserve"> </v>
      </c>
      <c r="W629" s="9" t="str">
        <f t="shared" si="111"/>
        <v/>
      </c>
      <c r="X629" s="32"/>
      <c r="Y629" s="36"/>
    </row>
    <row r="630" spans="1:25" s="4" customFormat="1" ht="18" customHeight="1">
      <c r="A630" s="36"/>
      <c r="B630" s="76"/>
      <c r="C630" s="69"/>
      <c r="D630" s="31"/>
      <c r="E630" s="29"/>
      <c r="F630" s="28"/>
      <c r="G630" s="29"/>
      <c r="H630" s="29"/>
      <c r="I630" s="30"/>
      <c r="J630" s="12" t="str">
        <f t="shared" si="114"/>
        <v/>
      </c>
      <c r="K630" s="12" t="str">
        <f t="shared" si="115"/>
        <v/>
      </c>
      <c r="L630" s="6"/>
      <c r="M630" s="6"/>
      <c r="N630" s="6"/>
      <c r="O630" s="36"/>
      <c r="P630" s="24" t="str">
        <f t="shared" si="105"/>
        <v xml:space="preserve"> </v>
      </c>
      <c r="Q630" s="25" t="str">
        <f t="shared" si="106"/>
        <v xml:space="preserve"> </v>
      </c>
      <c r="R630" s="25" t="str">
        <f t="shared" si="107"/>
        <v xml:space="preserve"> </v>
      </c>
      <c r="S630" s="26" t="str">
        <f t="shared" si="108"/>
        <v xml:space="preserve"> </v>
      </c>
      <c r="T630" s="7" t="str">
        <f t="shared" si="109"/>
        <v xml:space="preserve"> </v>
      </c>
      <c r="U630" s="8" t="str">
        <f t="shared" si="110"/>
        <v xml:space="preserve"> </v>
      </c>
      <c r="V630" s="9" t="str">
        <f t="shared" si="104"/>
        <v xml:space="preserve"> </v>
      </c>
      <c r="W630" s="9" t="str">
        <f t="shared" si="111"/>
        <v/>
      </c>
      <c r="X630" s="32"/>
      <c r="Y630" s="36"/>
    </row>
    <row r="631" spans="1:25" s="4" customFormat="1" ht="18" customHeight="1">
      <c r="A631" s="36"/>
      <c r="B631" s="76"/>
      <c r="C631" s="69"/>
      <c r="D631" s="31"/>
      <c r="E631" s="29"/>
      <c r="F631" s="28"/>
      <c r="G631" s="29"/>
      <c r="H631" s="29"/>
      <c r="I631" s="30"/>
      <c r="J631" s="12" t="str">
        <f t="shared" si="114"/>
        <v/>
      </c>
      <c r="K631" s="12" t="str">
        <f t="shared" si="115"/>
        <v/>
      </c>
      <c r="L631" s="6"/>
      <c r="M631" s="6"/>
      <c r="N631" s="6"/>
      <c r="O631" s="36"/>
      <c r="P631" s="24" t="str">
        <f t="shared" si="105"/>
        <v xml:space="preserve"> </v>
      </c>
      <c r="Q631" s="25" t="str">
        <f t="shared" si="106"/>
        <v xml:space="preserve"> </v>
      </c>
      <c r="R631" s="25" t="str">
        <f t="shared" si="107"/>
        <v xml:space="preserve"> </v>
      </c>
      <c r="S631" s="26" t="str">
        <f t="shared" si="108"/>
        <v xml:space="preserve"> </v>
      </c>
      <c r="T631" s="7" t="str">
        <f t="shared" si="109"/>
        <v xml:space="preserve"> </v>
      </c>
      <c r="U631" s="8" t="str">
        <f t="shared" si="110"/>
        <v xml:space="preserve"> </v>
      </c>
      <c r="V631" s="9" t="str">
        <f t="shared" si="104"/>
        <v xml:space="preserve"> </v>
      </c>
      <c r="W631" s="9" t="str">
        <f t="shared" si="111"/>
        <v/>
      </c>
      <c r="X631" s="32"/>
      <c r="Y631" s="36"/>
    </row>
    <row r="632" spans="1:25" s="4" customFormat="1" ht="18" customHeight="1">
      <c r="A632" s="36"/>
      <c r="B632" s="76"/>
      <c r="C632" s="69"/>
      <c r="D632" s="31"/>
      <c r="E632" s="29"/>
      <c r="F632" s="28"/>
      <c r="G632" s="29"/>
      <c r="H632" s="29"/>
      <c r="I632" s="30"/>
      <c r="J632" s="12" t="str">
        <f t="shared" si="114"/>
        <v/>
      </c>
      <c r="K632" s="12" t="str">
        <f t="shared" si="115"/>
        <v/>
      </c>
      <c r="L632" s="6"/>
      <c r="M632" s="6"/>
      <c r="N632" s="6"/>
      <c r="O632" s="36"/>
      <c r="P632" s="24" t="str">
        <f t="shared" si="105"/>
        <v xml:space="preserve"> </v>
      </c>
      <c r="Q632" s="25" t="str">
        <f t="shared" si="106"/>
        <v xml:space="preserve"> </v>
      </c>
      <c r="R632" s="25" t="str">
        <f t="shared" si="107"/>
        <v xml:space="preserve"> </v>
      </c>
      <c r="S632" s="26" t="str">
        <f t="shared" si="108"/>
        <v xml:space="preserve"> </v>
      </c>
      <c r="T632" s="7" t="str">
        <f t="shared" si="109"/>
        <v xml:space="preserve"> </v>
      </c>
      <c r="U632" s="8" t="str">
        <f t="shared" si="110"/>
        <v xml:space="preserve"> </v>
      </c>
      <c r="V632" s="9" t="str">
        <f t="shared" si="104"/>
        <v xml:space="preserve"> </v>
      </c>
      <c r="W632" s="9" t="str">
        <f t="shared" si="111"/>
        <v/>
      </c>
      <c r="X632" s="32"/>
      <c r="Y632" s="36"/>
    </row>
    <row r="633" spans="1:25" s="4" customFormat="1" ht="18" customHeight="1">
      <c r="A633" s="36"/>
      <c r="B633" s="76"/>
      <c r="C633" s="69"/>
      <c r="D633" s="31"/>
      <c r="E633" s="29"/>
      <c r="F633" s="28"/>
      <c r="G633" s="29"/>
      <c r="H633" s="29"/>
      <c r="I633" s="30"/>
      <c r="J633" s="12" t="str">
        <f t="shared" si="114"/>
        <v/>
      </c>
      <c r="K633" s="12" t="str">
        <f t="shared" si="115"/>
        <v/>
      </c>
      <c r="L633" s="6"/>
      <c r="M633" s="6"/>
      <c r="N633" s="6"/>
      <c r="O633" s="36"/>
      <c r="P633" s="24" t="str">
        <f t="shared" si="105"/>
        <v xml:space="preserve"> </v>
      </c>
      <c r="Q633" s="25" t="str">
        <f t="shared" si="106"/>
        <v xml:space="preserve"> </v>
      </c>
      <c r="R633" s="25" t="str">
        <f t="shared" si="107"/>
        <v xml:space="preserve"> </v>
      </c>
      <c r="S633" s="26" t="str">
        <f t="shared" si="108"/>
        <v xml:space="preserve"> </v>
      </c>
      <c r="T633" s="7" t="str">
        <f t="shared" si="109"/>
        <v xml:space="preserve"> </v>
      </c>
      <c r="U633" s="8" t="str">
        <f t="shared" si="110"/>
        <v xml:space="preserve"> </v>
      </c>
      <c r="V633" s="9" t="str">
        <f t="shared" si="104"/>
        <v xml:space="preserve"> </v>
      </c>
      <c r="W633" s="9" t="str">
        <f t="shared" si="111"/>
        <v/>
      </c>
      <c r="X633" s="32"/>
      <c r="Y633" s="36"/>
    </row>
    <row r="634" spans="1:25" s="4" customFormat="1" ht="18" customHeight="1">
      <c r="A634" s="36"/>
      <c r="B634" s="76"/>
      <c r="C634" s="69"/>
      <c r="D634" s="31"/>
      <c r="E634" s="29"/>
      <c r="F634" s="28"/>
      <c r="G634" s="29"/>
      <c r="H634" s="29"/>
      <c r="I634" s="30"/>
      <c r="J634" s="12" t="str">
        <f t="shared" si="114"/>
        <v/>
      </c>
      <c r="K634" s="12" t="str">
        <f t="shared" si="115"/>
        <v/>
      </c>
      <c r="L634" s="6"/>
      <c r="M634" s="6"/>
      <c r="N634" s="6"/>
      <c r="O634" s="36"/>
      <c r="P634" s="24" t="str">
        <f t="shared" si="105"/>
        <v xml:space="preserve"> </v>
      </c>
      <c r="Q634" s="25" t="str">
        <f t="shared" si="106"/>
        <v xml:space="preserve"> </v>
      </c>
      <c r="R634" s="25" t="str">
        <f t="shared" si="107"/>
        <v xml:space="preserve"> </v>
      </c>
      <c r="S634" s="26" t="str">
        <f t="shared" si="108"/>
        <v xml:space="preserve"> </v>
      </c>
      <c r="T634" s="7" t="str">
        <f t="shared" si="109"/>
        <v xml:space="preserve"> </v>
      </c>
      <c r="U634" s="8" t="str">
        <f t="shared" si="110"/>
        <v xml:space="preserve"> </v>
      </c>
      <c r="V634" s="9" t="str">
        <f t="shared" si="104"/>
        <v xml:space="preserve"> </v>
      </c>
      <c r="W634" s="9" t="str">
        <f t="shared" si="111"/>
        <v/>
      </c>
      <c r="X634" s="32"/>
      <c r="Y634" s="36"/>
    </row>
    <row r="635" spans="1:25" s="4" customFormat="1" ht="18" customHeight="1">
      <c r="A635" s="36"/>
      <c r="B635" s="76"/>
      <c r="C635" s="69"/>
      <c r="D635" s="31"/>
      <c r="E635" s="29"/>
      <c r="F635" s="28"/>
      <c r="G635" s="29"/>
      <c r="H635" s="29"/>
      <c r="I635" s="30"/>
      <c r="J635" s="12" t="str">
        <f t="shared" si="114"/>
        <v/>
      </c>
      <c r="K635" s="12" t="str">
        <f t="shared" si="115"/>
        <v/>
      </c>
      <c r="L635" s="6"/>
      <c r="M635" s="6"/>
      <c r="N635" s="6"/>
      <c r="O635" s="36"/>
      <c r="P635" s="24" t="str">
        <f t="shared" si="105"/>
        <v xml:space="preserve"> </v>
      </c>
      <c r="Q635" s="25" t="str">
        <f t="shared" si="106"/>
        <v xml:space="preserve"> </v>
      </c>
      <c r="R635" s="25" t="str">
        <f t="shared" si="107"/>
        <v xml:space="preserve"> </v>
      </c>
      <c r="S635" s="26" t="str">
        <f t="shared" si="108"/>
        <v xml:space="preserve"> </v>
      </c>
      <c r="T635" s="7" t="str">
        <f t="shared" si="109"/>
        <v xml:space="preserve"> </v>
      </c>
      <c r="U635" s="8" t="str">
        <f t="shared" si="110"/>
        <v xml:space="preserve"> </v>
      </c>
      <c r="V635" s="9" t="str">
        <f t="shared" si="104"/>
        <v xml:space="preserve"> </v>
      </c>
      <c r="W635" s="9" t="str">
        <f t="shared" si="111"/>
        <v/>
      </c>
      <c r="X635" s="32"/>
      <c r="Y635" s="36"/>
    </row>
    <row r="636" spans="1:25" s="4" customFormat="1" ht="18" customHeight="1">
      <c r="A636" s="36"/>
      <c r="B636" s="76"/>
      <c r="C636" s="69"/>
      <c r="D636" s="31"/>
      <c r="E636" s="29"/>
      <c r="F636" s="28"/>
      <c r="G636" s="29"/>
      <c r="H636" s="29"/>
      <c r="I636" s="30"/>
      <c r="J636" s="12" t="str">
        <f t="shared" si="114"/>
        <v/>
      </c>
      <c r="K636" s="12" t="str">
        <f t="shared" si="115"/>
        <v/>
      </c>
      <c r="L636" s="6"/>
      <c r="M636" s="6"/>
      <c r="N636" s="6"/>
      <c r="O636" s="36"/>
      <c r="P636" s="24" t="str">
        <f t="shared" si="105"/>
        <v xml:space="preserve"> </v>
      </c>
      <c r="Q636" s="25" t="str">
        <f t="shared" si="106"/>
        <v xml:space="preserve"> </v>
      </c>
      <c r="R636" s="25" t="str">
        <f t="shared" si="107"/>
        <v xml:space="preserve"> </v>
      </c>
      <c r="S636" s="26" t="str">
        <f t="shared" si="108"/>
        <v xml:space="preserve"> </v>
      </c>
      <c r="T636" s="7" t="str">
        <f t="shared" si="109"/>
        <v xml:space="preserve"> </v>
      </c>
      <c r="U636" s="8" t="str">
        <f t="shared" si="110"/>
        <v xml:space="preserve"> </v>
      </c>
      <c r="V636" s="9" t="str">
        <f t="shared" si="104"/>
        <v xml:space="preserve"> </v>
      </c>
      <c r="W636" s="9" t="str">
        <f t="shared" si="111"/>
        <v/>
      </c>
      <c r="X636" s="32"/>
      <c r="Y636" s="36"/>
    </row>
    <row r="637" spans="1:25" s="4" customFormat="1" ht="18" customHeight="1">
      <c r="A637" s="36"/>
      <c r="B637" s="76"/>
      <c r="C637" s="69"/>
      <c r="D637" s="31"/>
      <c r="E637" s="29"/>
      <c r="F637" s="28"/>
      <c r="G637" s="29"/>
      <c r="H637" s="29"/>
      <c r="I637" s="30"/>
      <c r="J637" s="12" t="str">
        <f t="shared" si="114"/>
        <v/>
      </c>
      <c r="K637" s="12" t="str">
        <f t="shared" si="115"/>
        <v/>
      </c>
      <c r="L637" s="6"/>
      <c r="M637" s="6"/>
      <c r="N637" s="6"/>
      <c r="O637" s="36"/>
      <c r="P637" s="24" t="str">
        <f t="shared" si="105"/>
        <v xml:space="preserve"> </v>
      </c>
      <c r="Q637" s="25" t="str">
        <f t="shared" si="106"/>
        <v xml:space="preserve"> </v>
      </c>
      <c r="R637" s="25" t="str">
        <f t="shared" si="107"/>
        <v xml:space="preserve"> </v>
      </c>
      <c r="S637" s="26" t="str">
        <f t="shared" si="108"/>
        <v xml:space="preserve"> </v>
      </c>
      <c r="T637" s="7" t="str">
        <f t="shared" si="109"/>
        <v xml:space="preserve"> </v>
      </c>
      <c r="U637" s="8" t="str">
        <f t="shared" si="110"/>
        <v xml:space="preserve"> </v>
      </c>
      <c r="V637" s="9" t="str">
        <f t="shared" si="104"/>
        <v xml:space="preserve"> </v>
      </c>
      <c r="W637" s="9" t="str">
        <f t="shared" si="111"/>
        <v/>
      </c>
      <c r="X637" s="32"/>
      <c r="Y637" s="36"/>
    </row>
    <row r="638" spans="1:25" s="4" customFormat="1" ht="18" customHeight="1">
      <c r="A638" s="36"/>
      <c r="B638" s="76"/>
      <c r="C638" s="69"/>
      <c r="D638" s="31"/>
      <c r="E638" s="29"/>
      <c r="F638" s="28"/>
      <c r="G638" s="29"/>
      <c r="H638" s="29"/>
      <c r="I638" s="30"/>
      <c r="J638" s="12" t="str">
        <f t="shared" si="114"/>
        <v/>
      </c>
      <c r="K638" s="12" t="str">
        <f t="shared" si="115"/>
        <v/>
      </c>
      <c r="L638" s="6"/>
      <c r="M638" s="6"/>
      <c r="N638" s="6"/>
      <c r="O638" s="36"/>
      <c r="P638" s="24" t="str">
        <f t="shared" si="105"/>
        <v xml:space="preserve"> </v>
      </c>
      <c r="Q638" s="25" t="str">
        <f t="shared" si="106"/>
        <v xml:space="preserve"> </v>
      </c>
      <c r="R638" s="25" t="str">
        <f t="shared" si="107"/>
        <v xml:space="preserve"> </v>
      </c>
      <c r="S638" s="26" t="str">
        <f t="shared" si="108"/>
        <v xml:space="preserve"> </v>
      </c>
      <c r="T638" s="7" t="str">
        <f t="shared" si="109"/>
        <v xml:space="preserve"> </v>
      </c>
      <c r="U638" s="8" t="str">
        <f t="shared" si="110"/>
        <v xml:space="preserve"> </v>
      </c>
      <c r="V638" s="9" t="str">
        <f t="shared" si="104"/>
        <v xml:space="preserve"> </v>
      </c>
      <c r="W638" s="9" t="str">
        <f t="shared" si="111"/>
        <v/>
      </c>
      <c r="X638" s="32"/>
      <c r="Y638" s="36"/>
    </row>
    <row r="639" spans="1:25" s="4" customFormat="1" ht="18" customHeight="1">
      <c r="A639" s="36"/>
      <c r="B639" s="76"/>
      <c r="C639" s="69"/>
      <c r="D639" s="31"/>
      <c r="E639" s="29"/>
      <c r="F639" s="28"/>
      <c r="G639" s="29"/>
      <c r="H639" s="29"/>
      <c r="I639" s="30"/>
      <c r="J639" s="12" t="str">
        <f t="shared" si="114"/>
        <v/>
      </c>
      <c r="K639" s="12" t="str">
        <f t="shared" si="115"/>
        <v/>
      </c>
      <c r="L639" s="6"/>
      <c r="M639" s="6"/>
      <c r="N639" s="6"/>
      <c r="O639" s="36"/>
      <c r="P639" s="24" t="str">
        <f t="shared" si="105"/>
        <v xml:space="preserve"> </v>
      </c>
      <c r="Q639" s="25" t="str">
        <f t="shared" si="106"/>
        <v xml:space="preserve"> </v>
      </c>
      <c r="R639" s="25" t="str">
        <f t="shared" si="107"/>
        <v xml:space="preserve"> </v>
      </c>
      <c r="S639" s="26" t="str">
        <f t="shared" si="108"/>
        <v xml:space="preserve"> </v>
      </c>
      <c r="T639" s="7" t="str">
        <f t="shared" si="109"/>
        <v xml:space="preserve"> </v>
      </c>
      <c r="U639" s="8" t="str">
        <f t="shared" si="110"/>
        <v xml:space="preserve"> </v>
      </c>
      <c r="V639" s="9" t="str">
        <f t="shared" si="104"/>
        <v xml:space="preserve"> </v>
      </c>
      <c r="W639" s="9" t="str">
        <f t="shared" si="111"/>
        <v/>
      </c>
      <c r="X639" s="32"/>
      <c r="Y639" s="36"/>
    </row>
    <row r="640" spans="1:25" s="4" customFormat="1" ht="18" customHeight="1">
      <c r="A640" s="36"/>
      <c r="B640" s="76"/>
      <c r="C640" s="69"/>
      <c r="D640" s="31"/>
      <c r="E640" s="29"/>
      <c r="F640" s="28"/>
      <c r="G640" s="29"/>
      <c r="H640" s="29"/>
      <c r="I640" s="30"/>
      <c r="J640" s="12" t="str">
        <f t="shared" si="114"/>
        <v/>
      </c>
      <c r="K640" s="12" t="str">
        <f t="shared" si="115"/>
        <v/>
      </c>
      <c r="L640" s="6"/>
      <c r="M640" s="6"/>
      <c r="N640" s="6"/>
      <c r="O640" s="36"/>
      <c r="P640" s="24" t="str">
        <f t="shared" si="105"/>
        <v xml:space="preserve"> </v>
      </c>
      <c r="Q640" s="25" t="str">
        <f t="shared" si="106"/>
        <v xml:space="preserve"> </v>
      </c>
      <c r="R640" s="25" t="str">
        <f t="shared" si="107"/>
        <v xml:space="preserve"> </v>
      </c>
      <c r="S640" s="26" t="str">
        <f t="shared" si="108"/>
        <v xml:space="preserve"> </v>
      </c>
      <c r="T640" s="7" t="str">
        <f t="shared" si="109"/>
        <v xml:space="preserve"> </v>
      </c>
      <c r="U640" s="8" t="str">
        <f t="shared" si="110"/>
        <v xml:space="preserve"> </v>
      </c>
      <c r="V640" s="9" t="str">
        <f t="shared" si="104"/>
        <v xml:space="preserve"> </v>
      </c>
      <c r="W640" s="9" t="str">
        <f t="shared" si="111"/>
        <v/>
      </c>
      <c r="X640" s="32"/>
      <c r="Y640" s="36"/>
    </row>
    <row r="641" spans="1:25" s="4" customFormat="1" ht="18" customHeight="1">
      <c r="A641" s="36"/>
      <c r="B641" s="76"/>
      <c r="C641" s="69"/>
      <c r="D641" s="31"/>
      <c r="E641" s="29"/>
      <c r="F641" s="28"/>
      <c r="G641" s="29"/>
      <c r="H641" s="29"/>
      <c r="I641" s="30"/>
      <c r="J641" s="12" t="str">
        <f t="shared" ref="J641:J688" si="116">IF(AND(F641="",G641=""),"",IF(F641="",G641,F641+G641))</f>
        <v/>
      </c>
      <c r="K641" s="12" t="str">
        <f t="shared" ref="K641:K688" si="117">IF(AND(F641="",H641=""),"",IF(F641="",H641,F641+H641))</f>
        <v/>
      </c>
      <c r="L641" s="6"/>
      <c r="M641" s="6"/>
      <c r="N641" s="6"/>
      <c r="O641" s="36"/>
      <c r="P641" s="24" t="str">
        <f t="shared" si="105"/>
        <v xml:space="preserve"> </v>
      </c>
      <c r="Q641" s="25" t="str">
        <f t="shared" si="106"/>
        <v xml:space="preserve"> </v>
      </c>
      <c r="R641" s="25" t="str">
        <f t="shared" si="107"/>
        <v xml:space="preserve"> </v>
      </c>
      <c r="S641" s="26" t="str">
        <f t="shared" si="108"/>
        <v xml:space="preserve"> </v>
      </c>
      <c r="T641" s="7" t="str">
        <f t="shared" si="109"/>
        <v xml:space="preserve"> </v>
      </c>
      <c r="U641" s="8" t="str">
        <f t="shared" si="110"/>
        <v xml:space="preserve"> </v>
      </c>
      <c r="V641" s="9" t="str">
        <f t="shared" si="104"/>
        <v xml:space="preserve"> </v>
      </c>
      <c r="W641" s="9" t="str">
        <f t="shared" si="111"/>
        <v/>
      </c>
      <c r="X641" s="32"/>
      <c r="Y641" s="36"/>
    </row>
    <row r="642" spans="1:25" s="4" customFormat="1" ht="18" customHeight="1">
      <c r="A642" s="36"/>
      <c r="B642" s="76"/>
      <c r="C642" s="69"/>
      <c r="D642" s="31"/>
      <c r="E642" s="29"/>
      <c r="F642" s="28"/>
      <c r="G642" s="29"/>
      <c r="H642" s="29"/>
      <c r="I642" s="30"/>
      <c r="J642" s="12" t="str">
        <f t="shared" si="116"/>
        <v/>
      </c>
      <c r="K642" s="12" t="str">
        <f t="shared" si="117"/>
        <v/>
      </c>
      <c r="L642" s="6"/>
      <c r="M642" s="6"/>
      <c r="N642" s="6"/>
      <c r="O642" s="36"/>
      <c r="P642" s="24" t="str">
        <f t="shared" si="105"/>
        <v xml:space="preserve"> </v>
      </c>
      <c r="Q642" s="25" t="str">
        <f t="shared" si="106"/>
        <v xml:space="preserve"> </v>
      </c>
      <c r="R642" s="25" t="str">
        <f t="shared" si="107"/>
        <v xml:space="preserve"> </v>
      </c>
      <c r="S642" s="26" t="str">
        <f t="shared" si="108"/>
        <v xml:space="preserve"> </v>
      </c>
      <c r="T642" s="7" t="str">
        <f t="shared" si="109"/>
        <v xml:space="preserve"> </v>
      </c>
      <c r="U642" s="8" t="str">
        <f t="shared" si="110"/>
        <v xml:space="preserve"> </v>
      </c>
      <c r="V642" s="9" t="str">
        <f t="shared" si="104"/>
        <v xml:space="preserve"> </v>
      </c>
      <c r="W642" s="9" t="str">
        <f t="shared" si="111"/>
        <v/>
      </c>
      <c r="X642" s="32"/>
      <c r="Y642" s="36"/>
    </row>
    <row r="643" spans="1:25" s="4" customFormat="1" ht="18" customHeight="1">
      <c r="A643" s="36"/>
      <c r="B643" s="76"/>
      <c r="C643" s="69"/>
      <c r="D643" s="31"/>
      <c r="E643" s="29"/>
      <c r="F643" s="28"/>
      <c r="G643" s="29"/>
      <c r="H643" s="29"/>
      <c r="I643" s="30"/>
      <c r="J643" s="12" t="str">
        <f t="shared" si="116"/>
        <v/>
      </c>
      <c r="K643" s="12" t="str">
        <f t="shared" si="117"/>
        <v/>
      </c>
      <c r="L643" s="6"/>
      <c r="M643" s="6"/>
      <c r="N643" s="6"/>
      <c r="O643" s="36"/>
      <c r="P643" s="24" t="str">
        <f t="shared" si="105"/>
        <v xml:space="preserve"> </v>
      </c>
      <c r="Q643" s="25" t="str">
        <f t="shared" si="106"/>
        <v xml:space="preserve"> </v>
      </c>
      <c r="R643" s="25" t="str">
        <f t="shared" si="107"/>
        <v xml:space="preserve"> </v>
      </c>
      <c r="S643" s="26" t="str">
        <f t="shared" si="108"/>
        <v xml:space="preserve"> </v>
      </c>
      <c r="T643" s="7" t="str">
        <f t="shared" si="109"/>
        <v xml:space="preserve"> </v>
      </c>
      <c r="U643" s="8" t="str">
        <f t="shared" si="110"/>
        <v xml:space="preserve"> </v>
      </c>
      <c r="V643" s="9" t="str">
        <f t="shared" si="104"/>
        <v xml:space="preserve"> </v>
      </c>
      <c r="W643" s="9" t="str">
        <f t="shared" si="111"/>
        <v/>
      </c>
      <c r="X643" s="32"/>
      <c r="Y643" s="36"/>
    </row>
    <row r="644" spans="1:25" s="4" customFormat="1" ht="18" customHeight="1">
      <c r="A644" s="36"/>
      <c r="B644" s="76"/>
      <c r="C644" s="69"/>
      <c r="D644" s="31"/>
      <c r="E644" s="29"/>
      <c r="F644" s="28"/>
      <c r="G644" s="29"/>
      <c r="H644" s="29"/>
      <c r="I644" s="30"/>
      <c r="J644" s="12" t="str">
        <f t="shared" si="116"/>
        <v/>
      </c>
      <c r="K644" s="12" t="str">
        <f t="shared" si="117"/>
        <v/>
      </c>
      <c r="L644" s="6"/>
      <c r="M644" s="6"/>
      <c r="N644" s="6"/>
      <c r="O644" s="36"/>
      <c r="P644" s="24" t="str">
        <f t="shared" si="105"/>
        <v xml:space="preserve"> </v>
      </c>
      <c r="Q644" s="25" t="str">
        <f t="shared" si="106"/>
        <v xml:space="preserve"> </v>
      </c>
      <c r="R644" s="25" t="str">
        <f t="shared" si="107"/>
        <v xml:space="preserve"> </v>
      </c>
      <c r="S644" s="26" t="str">
        <f t="shared" si="108"/>
        <v xml:space="preserve"> </v>
      </c>
      <c r="T644" s="7" t="str">
        <f t="shared" si="109"/>
        <v xml:space="preserve"> </v>
      </c>
      <c r="U644" s="8" t="str">
        <f t="shared" si="110"/>
        <v xml:space="preserve"> </v>
      </c>
      <c r="V644" s="9" t="str">
        <f t="shared" si="104"/>
        <v xml:space="preserve"> </v>
      </c>
      <c r="W644" s="9" t="str">
        <f t="shared" si="111"/>
        <v/>
      </c>
      <c r="X644" s="32"/>
      <c r="Y644" s="36"/>
    </row>
    <row r="645" spans="1:25" s="4" customFormat="1" ht="18" customHeight="1">
      <c r="A645" s="36"/>
      <c r="B645" s="76"/>
      <c r="C645" s="69"/>
      <c r="D645" s="31"/>
      <c r="E645" s="29"/>
      <c r="F645" s="28"/>
      <c r="G645" s="29"/>
      <c r="H645" s="29"/>
      <c r="I645" s="30"/>
      <c r="J645" s="12" t="str">
        <f t="shared" si="116"/>
        <v/>
      </c>
      <c r="K645" s="12" t="str">
        <f t="shared" si="117"/>
        <v/>
      </c>
      <c r="L645" s="6"/>
      <c r="M645" s="6"/>
      <c r="N645" s="6"/>
      <c r="O645" s="36"/>
      <c r="P645" s="24" t="str">
        <f t="shared" si="105"/>
        <v xml:space="preserve"> </v>
      </c>
      <c r="Q645" s="25" t="str">
        <f t="shared" si="106"/>
        <v xml:space="preserve"> </v>
      </c>
      <c r="R645" s="25" t="str">
        <f t="shared" si="107"/>
        <v xml:space="preserve"> </v>
      </c>
      <c r="S645" s="26" t="str">
        <f t="shared" si="108"/>
        <v xml:space="preserve"> </v>
      </c>
      <c r="T645" s="7" t="str">
        <f t="shared" si="109"/>
        <v xml:space="preserve"> </v>
      </c>
      <c r="U645" s="8" t="str">
        <f t="shared" si="110"/>
        <v xml:space="preserve"> </v>
      </c>
      <c r="V645" s="9" t="str">
        <f t="shared" si="104"/>
        <v xml:space="preserve"> </v>
      </c>
      <c r="W645" s="9" t="str">
        <f t="shared" si="111"/>
        <v/>
      </c>
      <c r="X645" s="32"/>
      <c r="Y645" s="36"/>
    </row>
    <row r="646" spans="1:25" s="4" customFormat="1" ht="18" customHeight="1">
      <c r="A646" s="36"/>
      <c r="B646" s="76"/>
      <c r="C646" s="69"/>
      <c r="D646" s="31"/>
      <c r="E646" s="29"/>
      <c r="F646" s="28"/>
      <c r="G646" s="29"/>
      <c r="H646" s="29"/>
      <c r="I646" s="30"/>
      <c r="J646" s="12" t="str">
        <f t="shared" si="116"/>
        <v/>
      </c>
      <c r="K646" s="12" t="str">
        <f t="shared" si="117"/>
        <v/>
      </c>
      <c r="L646" s="6"/>
      <c r="M646" s="6"/>
      <c r="N646" s="6"/>
      <c r="O646" s="36"/>
      <c r="P646" s="24" t="str">
        <f t="shared" si="105"/>
        <v xml:space="preserve"> </v>
      </c>
      <c r="Q646" s="25" t="str">
        <f t="shared" si="106"/>
        <v xml:space="preserve"> </v>
      </c>
      <c r="R646" s="25" t="str">
        <f t="shared" si="107"/>
        <v xml:space="preserve"> </v>
      </c>
      <c r="S646" s="26" t="str">
        <f t="shared" si="108"/>
        <v xml:space="preserve"> </v>
      </c>
      <c r="T646" s="7" t="str">
        <f t="shared" si="109"/>
        <v xml:space="preserve"> </v>
      </c>
      <c r="U646" s="8" t="str">
        <f t="shared" si="110"/>
        <v xml:space="preserve"> </v>
      </c>
      <c r="V646" s="9" t="str">
        <f t="shared" si="104"/>
        <v xml:space="preserve"> </v>
      </c>
      <c r="W646" s="9" t="str">
        <f t="shared" si="111"/>
        <v/>
      </c>
      <c r="X646" s="32"/>
      <c r="Y646" s="36"/>
    </row>
    <row r="647" spans="1:25" s="4" customFormat="1" ht="18" customHeight="1">
      <c r="A647" s="36"/>
      <c r="B647" s="76"/>
      <c r="C647" s="69"/>
      <c r="D647" s="31"/>
      <c r="E647" s="29"/>
      <c r="F647" s="28"/>
      <c r="G647" s="29"/>
      <c r="H647" s="29"/>
      <c r="I647" s="30"/>
      <c r="J647" s="12" t="str">
        <f t="shared" si="116"/>
        <v/>
      </c>
      <c r="K647" s="12" t="str">
        <f t="shared" si="117"/>
        <v/>
      </c>
      <c r="L647" s="6"/>
      <c r="M647" s="6"/>
      <c r="N647" s="6"/>
      <c r="O647" s="36"/>
      <c r="P647" s="24" t="str">
        <f t="shared" si="105"/>
        <v xml:space="preserve"> </v>
      </c>
      <c r="Q647" s="25" t="str">
        <f t="shared" si="106"/>
        <v xml:space="preserve"> </v>
      </c>
      <c r="R647" s="25" t="str">
        <f t="shared" si="107"/>
        <v xml:space="preserve"> </v>
      </c>
      <c r="S647" s="26" t="str">
        <f t="shared" si="108"/>
        <v xml:space="preserve"> </v>
      </c>
      <c r="T647" s="7" t="str">
        <f t="shared" si="109"/>
        <v xml:space="preserve"> </v>
      </c>
      <c r="U647" s="8" t="str">
        <f t="shared" si="110"/>
        <v xml:space="preserve"> </v>
      </c>
      <c r="V647" s="9" t="str">
        <f t="shared" si="104"/>
        <v xml:space="preserve"> </v>
      </c>
      <c r="W647" s="9" t="str">
        <f t="shared" si="111"/>
        <v/>
      </c>
      <c r="X647" s="32"/>
      <c r="Y647" s="36"/>
    </row>
    <row r="648" spans="1:25" s="4" customFormat="1" ht="18" customHeight="1">
      <c r="A648" s="36"/>
      <c r="B648" s="76"/>
      <c r="C648" s="69"/>
      <c r="D648" s="31"/>
      <c r="E648" s="29"/>
      <c r="F648" s="28"/>
      <c r="G648" s="29"/>
      <c r="H648" s="29"/>
      <c r="I648" s="30"/>
      <c r="J648" s="12" t="str">
        <f t="shared" si="116"/>
        <v/>
      </c>
      <c r="K648" s="12" t="str">
        <f t="shared" si="117"/>
        <v/>
      </c>
      <c r="L648" s="6"/>
      <c r="M648" s="6"/>
      <c r="N648" s="6"/>
      <c r="O648" s="36"/>
      <c r="P648" s="24" t="str">
        <f t="shared" si="105"/>
        <v xml:space="preserve"> </v>
      </c>
      <c r="Q648" s="25" t="str">
        <f t="shared" si="106"/>
        <v xml:space="preserve"> </v>
      </c>
      <c r="R648" s="25" t="str">
        <f t="shared" si="107"/>
        <v xml:space="preserve"> </v>
      </c>
      <c r="S648" s="26" t="str">
        <f t="shared" si="108"/>
        <v xml:space="preserve"> </v>
      </c>
      <c r="T648" s="7" t="str">
        <f t="shared" si="109"/>
        <v xml:space="preserve"> </v>
      </c>
      <c r="U648" s="8" t="str">
        <f t="shared" si="110"/>
        <v xml:space="preserve"> </v>
      </c>
      <c r="V648" s="9" t="str">
        <f t="shared" si="104"/>
        <v xml:space="preserve"> </v>
      </c>
      <c r="W648" s="9" t="str">
        <f t="shared" si="111"/>
        <v/>
      </c>
      <c r="X648" s="32"/>
      <c r="Y648" s="36"/>
    </row>
    <row r="649" spans="1:25" s="4" customFormat="1" ht="18" customHeight="1">
      <c r="A649" s="36"/>
      <c r="B649" s="76"/>
      <c r="C649" s="69"/>
      <c r="D649" s="31"/>
      <c r="E649" s="29"/>
      <c r="F649" s="28"/>
      <c r="G649" s="29"/>
      <c r="H649" s="29"/>
      <c r="I649" s="30"/>
      <c r="J649" s="12" t="str">
        <f t="shared" si="116"/>
        <v/>
      </c>
      <c r="K649" s="12" t="str">
        <f t="shared" si="117"/>
        <v/>
      </c>
      <c r="L649" s="6"/>
      <c r="M649" s="6"/>
      <c r="N649" s="6"/>
      <c r="O649" s="36"/>
      <c r="P649" s="24" t="str">
        <f t="shared" si="105"/>
        <v xml:space="preserve"> </v>
      </c>
      <c r="Q649" s="25" t="str">
        <f t="shared" si="106"/>
        <v xml:space="preserve"> </v>
      </c>
      <c r="R649" s="25" t="str">
        <f t="shared" si="107"/>
        <v xml:space="preserve"> </v>
      </c>
      <c r="S649" s="26" t="str">
        <f t="shared" si="108"/>
        <v xml:space="preserve"> </v>
      </c>
      <c r="T649" s="7" t="str">
        <f t="shared" si="109"/>
        <v xml:space="preserve"> </v>
      </c>
      <c r="U649" s="8" t="str">
        <f t="shared" si="110"/>
        <v xml:space="preserve"> </v>
      </c>
      <c r="V649" s="9" t="str">
        <f t="shared" si="104"/>
        <v xml:space="preserve"> </v>
      </c>
      <c r="W649" s="9" t="str">
        <f t="shared" si="111"/>
        <v/>
      </c>
      <c r="X649" s="32"/>
      <c r="Y649" s="36"/>
    </row>
    <row r="650" spans="1:25" s="4" customFormat="1" ht="18" customHeight="1">
      <c r="A650" s="36"/>
      <c r="B650" s="76"/>
      <c r="C650" s="69"/>
      <c r="D650" s="31"/>
      <c r="E650" s="29"/>
      <c r="F650" s="28"/>
      <c r="G650" s="29"/>
      <c r="H650" s="29"/>
      <c r="I650" s="30"/>
      <c r="J650" s="12" t="str">
        <f t="shared" si="116"/>
        <v/>
      </c>
      <c r="K650" s="12" t="str">
        <f t="shared" si="117"/>
        <v/>
      </c>
      <c r="L650" s="6"/>
      <c r="M650" s="6"/>
      <c r="N650" s="6"/>
      <c r="O650" s="36"/>
      <c r="P650" s="24" t="str">
        <f t="shared" si="105"/>
        <v xml:space="preserve"> </v>
      </c>
      <c r="Q650" s="25" t="str">
        <f t="shared" si="106"/>
        <v xml:space="preserve"> </v>
      </c>
      <c r="R650" s="25" t="str">
        <f t="shared" si="107"/>
        <v xml:space="preserve"> </v>
      </c>
      <c r="S650" s="26" t="str">
        <f t="shared" si="108"/>
        <v xml:space="preserve"> </v>
      </c>
      <c r="T650" s="7" t="str">
        <f t="shared" si="109"/>
        <v xml:space="preserve"> </v>
      </c>
      <c r="U650" s="8" t="str">
        <f t="shared" si="110"/>
        <v xml:space="preserve"> </v>
      </c>
      <c r="V650" s="9" t="str">
        <f t="shared" si="104"/>
        <v xml:space="preserve"> </v>
      </c>
      <c r="W650" s="9" t="str">
        <f t="shared" si="111"/>
        <v/>
      </c>
      <c r="X650" s="32"/>
      <c r="Y650" s="36"/>
    </row>
    <row r="651" spans="1:25" s="4" customFormat="1" ht="18" customHeight="1">
      <c r="A651" s="36"/>
      <c r="B651" s="76"/>
      <c r="C651" s="69"/>
      <c r="D651" s="31"/>
      <c r="E651" s="29"/>
      <c r="F651" s="28"/>
      <c r="G651" s="29"/>
      <c r="H651" s="29"/>
      <c r="I651" s="30"/>
      <c r="J651" s="12" t="str">
        <f t="shared" si="116"/>
        <v/>
      </c>
      <c r="K651" s="12" t="str">
        <f t="shared" si="117"/>
        <v/>
      </c>
      <c r="L651" s="6"/>
      <c r="M651" s="6"/>
      <c r="N651" s="6"/>
      <c r="O651" s="36"/>
      <c r="P651" s="24" t="str">
        <f t="shared" si="105"/>
        <v xml:space="preserve"> </v>
      </c>
      <c r="Q651" s="25" t="str">
        <f t="shared" si="106"/>
        <v xml:space="preserve"> </v>
      </c>
      <c r="R651" s="25" t="str">
        <f t="shared" si="107"/>
        <v xml:space="preserve"> </v>
      </c>
      <c r="S651" s="26" t="str">
        <f t="shared" si="108"/>
        <v xml:space="preserve"> </v>
      </c>
      <c r="T651" s="7" t="str">
        <f t="shared" si="109"/>
        <v xml:space="preserve"> </v>
      </c>
      <c r="U651" s="8" t="str">
        <f t="shared" si="110"/>
        <v xml:space="preserve"> </v>
      </c>
      <c r="V651" s="9" t="str">
        <f t="shared" si="104"/>
        <v xml:space="preserve"> </v>
      </c>
      <c r="W651" s="9" t="str">
        <f t="shared" si="111"/>
        <v/>
      </c>
      <c r="X651" s="32"/>
      <c r="Y651" s="36"/>
    </row>
    <row r="652" spans="1:25" s="4" customFormat="1" ht="18" customHeight="1">
      <c r="A652" s="36"/>
      <c r="B652" s="76"/>
      <c r="C652" s="69"/>
      <c r="D652" s="31"/>
      <c r="E652" s="29"/>
      <c r="F652" s="28"/>
      <c r="G652" s="29"/>
      <c r="H652" s="29"/>
      <c r="I652" s="30"/>
      <c r="J652" s="12" t="str">
        <f t="shared" si="116"/>
        <v/>
      </c>
      <c r="K652" s="12" t="str">
        <f t="shared" si="117"/>
        <v/>
      </c>
      <c r="L652" s="6"/>
      <c r="M652" s="6"/>
      <c r="N652" s="6"/>
      <c r="O652" s="36"/>
      <c r="P652" s="24" t="str">
        <f t="shared" si="105"/>
        <v xml:space="preserve"> </v>
      </c>
      <c r="Q652" s="25" t="str">
        <f t="shared" si="106"/>
        <v xml:space="preserve"> </v>
      </c>
      <c r="R652" s="25" t="str">
        <f t="shared" si="107"/>
        <v xml:space="preserve"> </v>
      </c>
      <c r="S652" s="26" t="str">
        <f t="shared" si="108"/>
        <v xml:space="preserve"> </v>
      </c>
      <c r="T652" s="7" t="str">
        <f t="shared" si="109"/>
        <v xml:space="preserve"> </v>
      </c>
      <c r="U652" s="8" t="str">
        <f t="shared" si="110"/>
        <v xml:space="preserve"> </v>
      </c>
      <c r="V652" s="9" t="str">
        <f t="shared" si="104"/>
        <v xml:space="preserve"> </v>
      </c>
      <c r="W652" s="9" t="str">
        <f t="shared" si="111"/>
        <v/>
      </c>
      <c r="X652" s="32"/>
      <c r="Y652" s="36"/>
    </row>
    <row r="653" spans="1:25" s="4" customFormat="1" ht="18" customHeight="1">
      <c r="A653" s="36"/>
      <c r="B653" s="76"/>
      <c r="C653" s="69"/>
      <c r="D653" s="31"/>
      <c r="E653" s="29"/>
      <c r="F653" s="28"/>
      <c r="G653" s="29"/>
      <c r="H653" s="29"/>
      <c r="I653" s="30"/>
      <c r="J653" s="12" t="str">
        <f t="shared" si="116"/>
        <v/>
      </c>
      <c r="K653" s="12" t="str">
        <f t="shared" si="117"/>
        <v/>
      </c>
      <c r="L653" s="6"/>
      <c r="M653" s="6"/>
      <c r="N653" s="6"/>
      <c r="O653" s="36"/>
      <c r="P653" s="24" t="str">
        <f t="shared" si="105"/>
        <v xml:space="preserve"> </v>
      </c>
      <c r="Q653" s="25" t="str">
        <f t="shared" si="106"/>
        <v xml:space="preserve"> </v>
      </c>
      <c r="R653" s="25" t="str">
        <f t="shared" si="107"/>
        <v xml:space="preserve"> </v>
      </c>
      <c r="S653" s="26" t="str">
        <f t="shared" si="108"/>
        <v xml:space="preserve"> </v>
      </c>
      <c r="T653" s="7" t="str">
        <f t="shared" si="109"/>
        <v xml:space="preserve"> </v>
      </c>
      <c r="U653" s="8" t="str">
        <f t="shared" si="110"/>
        <v xml:space="preserve"> </v>
      </c>
      <c r="V653" s="9" t="str">
        <f t="shared" si="104"/>
        <v xml:space="preserve"> </v>
      </c>
      <c r="W653" s="9" t="str">
        <f t="shared" si="111"/>
        <v/>
      </c>
      <c r="X653" s="32"/>
      <c r="Y653" s="36"/>
    </row>
    <row r="654" spans="1:25" s="4" customFormat="1" ht="18" customHeight="1">
      <c r="A654" s="36"/>
      <c r="B654" s="76"/>
      <c r="C654" s="69"/>
      <c r="D654" s="31"/>
      <c r="E654" s="29"/>
      <c r="F654" s="28"/>
      <c r="G654" s="29"/>
      <c r="H654" s="29"/>
      <c r="I654" s="30"/>
      <c r="J654" s="12" t="str">
        <f t="shared" si="116"/>
        <v/>
      </c>
      <c r="K654" s="12" t="str">
        <f t="shared" si="117"/>
        <v/>
      </c>
      <c r="L654" s="6"/>
      <c r="M654" s="6"/>
      <c r="N654" s="6"/>
      <c r="O654" s="36"/>
      <c r="P654" s="24" t="str">
        <f t="shared" si="105"/>
        <v xml:space="preserve"> </v>
      </c>
      <c r="Q654" s="25" t="str">
        <f t="shared" si="106"/>
        <v xml:space="preserve"> </v>
      </c>
      <c r="R654" s="25" t="str">
        <f t="shared" si="107"/>
        <v xml:space="preserve"> </v>
      </c>
      <c r="S654" s="26" t="str">
        <f t="shared" si="108"/>
        <v xml:space="preserve"> </v>
      </c>
      <c r="T654" s="7" t="str">
        <f t="shared" si="109"/>
        <v xml:space="preserve"> </v>
      </c>
      <c r="U654" s="8" t="str">
        <f t="shared" si="110"/>
        <v xml:space="preserve"> </v>
      </c>
      <c r="V654" s="9" t="str">
        <f t="shared" si="104"/>
        <v xml:space="preserve"> </v>
      </c>
      <c r="W654" s="9" t="str">
        <f t="shared" si="111"/>
        <v/>
      </c>
      <c r="X654" s="32"/>
      <c r="Y654" s="36"/>
    </row>
    <row r="655" spans="1:25" s="4" customFormat="1" ht="18" customHeight="1">
      <c r="A655" s="36"/>
      <c r="B655" s="76"/>
      <c r="C655" s="69"/>
      <c r="D655" s="31"/>
      <c r="E655" s="29"/>
      <c r="F655" s="28"/>
      <c r="G655" s="29"/>
      <c r="H655" s="29"/>
      <c r="I655" s="30"/>
      <c r="J655" s="12" t="str">
        <f t="shared" si="116"/>
        <v/>
      </c>
      <c r="K655" s="12" t="str">
        <f t="shared" si="117"/>
        <v/>
      </c>
      <c r="L655" s="6"/>
      <c r="M655" s="6"/>
      <c r="N655" s="6"/>
      <c r="O655" s="36"/>
      <c r="P655" s="24" t="str">
        <f t="shared" si="105"/>
        <v xml:space="preserve"> </v>
      </c>
      <c r="Q655" s="25" t="str">
        <f t="shared" si="106"/>
        <v xml:space="preserve"> </v>
      </c>
      <c r="R655" s="25" t="str">
        <f t="shared" si="107"/>
        <v xml:space="preserve"> </v>
      </c>
      <c r="S655" s="26" t="str">
        <f t="shared" si="108"/>
        <v xml:space="preserve"> </v>
      </c>
      <c r="T655" s="7" t="str">
        <f t="shared" si="109"/>
        <v xml:space="preserve"> </v>
      </c>
      <c r="U655" s="8" t="str">
        <f t="shared" si="110"/>
        <v xml:space="preserve"> </v>
      </c>
      <c r="V655" s="9" t="str">
        <f t="shared" si="104"/>
        <v xml:space="preserve"> </v>
      </c>
      <c r="W655" s="9" t="str">
        <f t="shared" si="111"/>
        <v/>
      </c>
      <c r="X655" s="32"/>
      <c r="Y655" s="36"/>
    </row>
    <row r="656" spans="1:25" s="4" customFormat="1" ht="18" customHeight="1">
      <c r="A656" s="36"/>
      <c r="B656" s="76"/>
      <c r="C656" s="69"/>
      <c r="D656" s="31"/>
      <c r="E656" s="29"/>
      <c r="F656" s="28"/>
      <c r="G656" s="29"/>
      <c r="H656" s="29"/>
      <c r="I656" s="30"/>
      <c r="J656" s="12" t="str">
        <f t="shared" si="116"/>
        <v/>
      </c>
      <c r="K656" s="12" t="str">
        <f t="shared" si="117"/>
        <v/>
      </c>
      <c r="L656" s="6"/>
      <c r="M656" s="6"/>
      <c r="N656" s="6"/>
      <c r="O656" s="36"/>
      <c r="P656" s="24" t="str">
        <f t="shared" si="105"/>
        <v xml:space="preserve"> </v>
      </c>
      <c r="Q656" s="25" t="str">
        <f t="shared" si="106"/>
        <v xml:space="preserve"> </v>
      </c>
      <c r="R656" s="25" t="str">
        <f t="shared" si="107"/>
        <v xml:space="preserve"> </v>
      </c>
      <c r="S656" s="26" t="str">
        <f t="shared" si="108"/>
        <v xml:space="preserve"> </v>
      </c>
      <c r="T656" s="7" t="str">
        <f t="shared" si="109"/>
        <v xml:space="preserve"> </v>
      </c>
      <c r="U656" s="8" t="str">
        <f t="shared" si="110"/>
        <v xml:space="preserve"> </v>
      </c>
      <c r="V656" s="9" t="str">
        <f t="shared" si="104"/>
        <v xml:space="preserve"> </v>
      </c>
      <c r="W656" s="9" t="str">
        <f t="shared" si="111"/>
        <v/>
      </c>
      <c r="X656" s="32"/>
      <c r="Y656" s="36"/>
    </row>
    <row r="657" spans="1:25" s="4" customFormat="1" ht="18" customHeight="1">
      <c r="A657" s="36"/>
      <c r="B657" s="76"/>
      <c r="C657" s="69"/>
      <c r="D657" s="31"/>
      <c r="E657" s="29"/>
      <c r="F657" s="28"/>
      <c r="G657" s="29"/>
      <c r="H657" s="29"/>
      <c r="I657" s="30"/>
      <c r="J657" s="12" t="str">
        <f t="shared" si="116"/>
        <v/>
      </c>
      <c r="K657" s="12" t="str">
        <f t="shared" si="117"/>
        <v/>
      </c>
      <c r="L657" s="6"/>
      <c r="M657" s="6"/>
      <c r="N657" s="6"/>
      <c r="O657" s="36"/>
      <c r="P657" s="24" t="str">
        <f t="shared" si="105"/>
        <v xml:space="preserve"> </v>
      </c>
      <c r="Q657" s="25" t="str">
        <f t="shared" si="106"/>
        <v xml:space="preserve"> </v>
      </c>
      <c r="R657" s="25" t="str">
        <f t="shared" si="107"/>
        <v xml:space="preserve"> </v>
      </c>
      <c r="S657" s="26" t="str">
        <f t="shared" si="108"/>
        <v xml:space="preserve"> </v>
      </c>
      <c r="T657" s="7" t="str">
        <f t="shared" si="109"/>
        <v xml:space="preserve"> </v>
      </c>
      <c r="U657" s="8" t="str">
        <f t="shared" si="110"/>
        <v xml:space="preserve"> </v>
      </c>
      <c r="V657" s="9" t="str">
        <f t="shared" si="104"/>
        <v xml:space="preserve"> </v>
      </c>
      <c r="W657" s="9" t="str">
        <f t="shared" si="111"/>
        <v/>
      </c>
      <c r="X657" s="32"/>
      <c r="Y657" s="36"/>
    </row>
    <row r="658" spans="1:25" s="4" customFormat="1" ht="18" customHeight="1">
      <c r="A658" s="36"/>
      <c r="B658" s="76"/>
      <c r="C658" s="69"/>
      <c r="D658" s="31"/>
      <c r="E658" s="29"/>
      <c r="F658" s="28"/>
      <c r="G658" s="29"/>
      <c r="H658" s="29"/>
      <c r="I658" s="30"/>
      <c r="J658" s="12" t="str">
        <f t="shared" si="116"/>
        <v/>
      </c>
      <c r="K658" s="12" t="str">
        <f t="shared" si="117"/>
        <v/>
      </c>
      <c r="L658" s="6"/>
      <c r="M658" s="6"/>
      <c r="N658" s="6"/>
      <c r="O658" s="36"/>
      <c r="P658" s="24" t="str">
        <f t="shared" si="105"/>
        <v xml:space="preserve"> </v>
      </c>
      <c r="Q658" s="25" t="str">
        <f t="shared" si="106"/>
        <v xml:space="preserve"> </v>
      </c>
      <c r="R658" s="25" t="str">
        <f t="shared" si="107"/>
        <v xml:space="preserve"> </v>
      </c>
      <c r="S658" s="26" t="str">
        <f t="shared" si="108"/>
        <v xml:space="preserve"> </v>
      </c>
      <c r="T658" s="7" t="str">
        <f t="shared" si="109"/>
        <v xml:space="preserve"> </v>
      </c>
      <c r="U658" s="8" t="str">
        <f t="shared" si="110"/>
        <v xml:space="preserve"> </v>
      </c>
      <c r="V658" s="9" t="str">
        <f t="shared" si="104"/>
        <v xml:space="preserve"> </v>
      </c>
      <c r="W658" s="9" t="str">
        <f t="shared" si="111"/>
        <v/>
      </c>
      <c r="X658" s="32"/>
      <c r="Y658" s="36"/>
    </row>
    <row r="659" spans="1:25" s="4" customFormat="1" ht="18" customHeight="1">
      <c r="A659" s="36"/>
      <c r="B659" s="76"/>
      <c r="C659" s="69"/>
      <c r="D659" s="31"/>
      <c r="E659" s="29"/>
      <c r="F659" s="28"/>
      <c r="G659" s="29"/>
      <c r="H659" s="29"/>
      <c r="I659" s="30"/>
      <c r="J659" s="12" t="str">
        <f t="shared" si="116"/>
        <v/>
      </c>
      <c r="K659" s="12" t="str">
        <f t="shared" si="117"/>
        <v/>
      </c>
      <c r="L659" s="6"/>
      <c r="M659" s="6"/>
      <c r="N659" s="6"/>
      <c r="O659" s="36"/>
      <c r="P659" s="24" t="str">
        <f t="shared" si="105"/>
        <v xml:space="preserve"> </v>
      </c>
      <c r="Q659" s="25" t="str">
        <f t="shared" si="106"/>
        <v xml:space="preserve"> </v>
      </c>
      <c r="R659" s="25" t="str">
        <f t="shared" si="107"/>
        <v xml:space="preserve"> </v>
      </c>
      <c r="S659" s="26" t="str">
        <f t="shared" si="108"/>
        <v xml:space="preserve"> </v>
      </c>
      <c r="T659" s="7" t="str">
        <f t="shared" si="109"/>
        <v xml:space="preserve"> </v>
      </c>
      <c r="U659" s="8" t="str">
        <f t="shared" si="110"/>
        <v xml:space="preserve"> </v>
      </c>
      <c r="V659" s="9" t="str">
        <f t="shared" si="104"/>
        <v xml:space="preserve"> </v>
      </c>
      <c r="W659" s="9" t="str">
        <f t="shared" si="111"/>
        <v/>
      </c>
      <c r="X659" s="32"/>
      <c r="Y659" s="36"/>
    </row>
    <row r="660" spans="1:25" s="4" customFormat="1" ht="18" customHeight="1">
      <c r="A660" s="36"/>
      <c r="B660" s="76"/>
      <c r="C660" s="69"/>
      <c r="D660" s="31"/>
      <c r="E660" s="29"/>
      <c r="F660" s="28"/>
      <c r="G660" s="29"/>
      <c r="H660" s="29"/>
      <c r="I660" s="30"/>
      <c r="J660" s="12" t="str">
        <f t="shared" si="116"/>
        <v/>
      </c>
      <c r="K660" s="12" t="str">
        <f t="shared" si="117"/>
        <v/>
      </c>
      <c r="L660" s="6"/>
      <c r="M660" s="6"/>
      <c r="N660" s="6"/>
      <c r="O660" s="36"/>
      <c r="P660" s="24" t="str">
        <f t="shared" si="105"/>
        <v xml:space="preserve"> </v>
      </c>
      <c r="Q660" s="25" t="str">
        <f t="shared" si="106"/>
        <v xml:space="preserve"> </v>
      </c>
      <c r="R660" s="25" t="str">
        <f t="shared" si="107"/>
        <v xml:space="preserve"> </v>
      </c>
      <c r="S660" s="26" t="str">
        <f t="shared" si="108"/>
        <v xml:space="preserve"> </v>
      </c>
      <c r="T660" s="7" t="str">
        <f t="shared" si="109"/>
        <v xml:space="preserve"> </v>
      </c>
      <c r="U660" s="8" t="str">
        <f t="shared" si="110"/>
        <v xml:space="preserve"> </v>
      </c>
      <c r="V660" s="9" t="str">
        <f t="shared" si="104"/>
        <v xml:space="preserve"> </v>
      </c>
      <c r="W660" s="9" t="str">
        <f t="shared" si="111"/>
        <v/>
      </c>
      <c r="X660" s="32"/>
      <c r="Y660" s="36"/>
    </row>
    <row r="661" spans="1:25" s="4" customFormat="1" ht="18" customHeight="1">
      <c r="A661" s="36"/>
      <c r="B661" s="76"/>
      <c r="C661" s="69"/>
      <c r="D661" s="31"/>
      <c r="E661" s="29"/>
      <c r="F661" s="28"/>
      <c r="G661" s="29"/>
      <c r="H661" s="29"/>
      <c r="I661" s="30"/>
      <c r="J661" s="12" t="str">
        <f t="shared" si="116"/>
        <v/>
      </c>
      <c r="K661" s="12" t="str">
        <f t="shared" si="117"/>
        <v/>
      </c>
      <c r="L661" s="6"/>
      <c r="M661" s="6"/>
      <c r="N661" s="6"/>
      <c r="O661" s="36"/>
      <c r="P661" s="24" t="str">
        <f t="shared" si="105"/>
        <v xml:space="preserve"> </v>
      </c>
      <c r="Q661" s="25" t="str">
        <f t="shared" si="106"/>
        <v xml:space="preserve"> </v>
      </c>
      <c r="R661" s="25" t="str">
        <f t="shared" si="107"/>
        <v xml:space="preserve"> </v>
      </c>
      <c r="S661" s="26" t="str">
        <f t="shared" si="108"/>
        <v xml:space="preserve"> </v>
      </c>
      <c r="T661" s="7" t="str">
        <f t="shared" si="109"/>
        <v xml:space="preserve"> </v>
      </c>
      <c r="U661" s="8" t="str">
        <f t="shared" si="110"/>
        <v xml:space="preserve"> </v>
      </c>
      <c r="V661" s="9" t="str">
        <f t="shared" si="104"/>
        <v xml:space="preserve"> </v>
      </c>
      <c r="W661" s="9" t="str">
        <f t="shared" si="111"/>
        <v/>
      </c>
      <c r="X661" s="32"/>
      <c r="Y661" s="36"/>
    </row>
    <row r="662" spans="1:25" s="4" customFormat="1" ht="18" customHeight="1">
      <c r="A662" s="36"/>
      <c r="B662" s="76"/>
      <c r="C662" s="69"/>
      <c r="D662" s="31"/>
      <c r="E662" s="29"/>
      <c r="F662" s="28"/>
      <c r="G662" s="29"/>
      <c r="H662" s="29"/>
      <c r="I662" s="30"/>
      <c r="J662" s="12" t="str">
        <f t="shared" si="116"/>
        <v/>
      </c>
      <c r="K662" s="12" t="str">
        <f t="shared" si="117"/>
        <v/>
      </c>
      <c r="L662" s="6"/>
      <c r="M662" s="6"/>
      <c r="N662" s="6"/>
      <c r="O662" s="36"/>
      <c r="P662" s="24" t="str">
        <f t="shared" ref="P662:P688" si="118">IF(ISERR(L662/L662)=TRUE," ",L662-$F662)</f>
        <v xml:space="preserve"> </v>
      </c>
      <c r="Q662" s="25" t="str">
        <f t="shared" ref="Q662:Q688" si="119">IF(ISERR(M662/M662)=TRUE," ",M662-$F662)</f>
        <v xml:space="preserve"> </v>
      </c>
      <c r="R662" s="25" t="str">
        <f t="shared" ref="R662:R688" si="120">IF(ISERR(N662/N662)=TRUE," ",N662-$F662)</f>
        <v xml:space="preserve"> </v>
      </c>
      <c r="S662" s="26" t="str">
        <f t="shared" ref="S662:S688" si="121">IF(ISERR(L662/L662)=TRUE," ",AVERAGE(L662:N662))</f>
        <v xml:space="preserve"> </v>
      </c>
      <c r="T662" s="7" t="str">
        <f t="shared" ref="T662:T688" si="122">IF(ISERR(G662/G662)=TRUE," ",IF(ISERR(L662/L662)=TRUE," ",IF(ISNUMBER($L662)=FALSE," ",IF(MAX($L662:$N662)&lt;$F662,0,(MAX($L662:$N662)-$F662)/$G662))))</f>
        <v xml:space="preserve"> </v>
      </c>
      <c r="U662" s="8" t="str">
        <f t="shared" ref="U662:U688" si="123">IF(ISERR(H662/F662)=TRUE," ",IF(ISERR(H662/H662)=TRUE," ",IF(ISERR(L662/L662)=TRUE," ",IF(ISNUMBER(L662)=FALSE," ",IF(MIN(L662:N662)&gt;$F662,0,($F662-MIN(L662:N662))/-H662)))))</f>
        <v xml:space="preserve"> </v>
      </c>
      <c r="V662" s="9" t="str">
        <f t="shared" si="104"/>
        <v xml:space="preserve"> </v>
      </c>
      <c r="W662" s="9" t="str">
        <f t="shared" ref="W662:W688" si="124">IF(L662="","",IF(ISERR(H662/H662)=TRUE," ",IF(ISERR(H662/F662)=TRUE,IF((H662-MIN(L662:N662))&gt;0.001,"Reject",""),IF(ISNUMBER($U662)=TRUE,IF($U662&gt;0.651,IF($U662&gt;1.001,"Reject","Alert")," ")," "))))</f>
        <v/>
      </c>
      <c r="X662" s="32"/>
      <c r="Y662" s="36"/>
    </row>
    <row r="663" spans="1:25" s="4" customFormat="1" ht="18" customHeight="1">
      <c r="A663" s="36"/>
      <c r="B663" s="76"/>
      <c r="C663" s="69"/>
      <c r="D663" s="31"/>
      <c r="E663" s="29"/>
      <c r="F663" s="28"/>
      <c r="G663" s="29"/>
      <c r="H663" s="29"/>
      <c r="I663" s="30"/>
      <c r="J663" s="12" t="str">
        <f t="shared" si="116"/>
        <v/>
      </c>
      <c r="K663" s="12" t="str">
        <f t="shared" si="117"/>
        <v/>
      </c>
      <c r="L663" s="6"/>
      <c r="M663" s="6"/>
      <c r="N663" s="6"/>
      <c r="O663" s="36"/>
      <c r="P663" s="24" t="str">
        <f t="shared" si="118"/>
        <v xml:space="preserve"> </v>
      </c>
      <c r="Q663" s="25" t="str">
        <f t="shared" si="119"/>
        <v xml:space="preserve"> </v>
      </c>
      <c r="R663" s="25" t="str">
        <f t="shared" si="120"/>
        <v xml:space="preserve"> </v>
      </c>
      <c r="S663" s="26" t="str">
        <f t="shared" si="121"/>
        <v xml:space="preserve"> </v>
      </c>
      <c r="T663" s="7" t="str">
        <f t="shared" si="122"/>
        <v xml:space="preserve"> </v>
      </c>
      <c r="U663" s="8" t="str">
        <f t="shared" si="123"/>
        <v xml:space="preserve"> </v>
      </c>
      <c r="V663" s="9" t="str">
        <f t="shared" si="104"/>
        <v xml:space="preserve"> </v>
      </c>
      <c r="W663" s="9" t="str">
        <f t="shared" si="124"/>
        <v/>
      </c>
      <c r="X663" s="32"/>
      <c r="Y663" s="36"/>
    </row>
    <row r="664" spans="1:25" s="4" customFormat="1" ht="18" customHeight="1">
      <c r="A664" s="36"/>
      <c r="B664" s="76"/>
      <c r="C664" s="69"/>
      <c r="D664" s="31"/>
      <c r="E664" s="29"/>
      <c r="F664" s="28"/>
      <c r="G664" s="29"/>
      <c r="H664" s="29"/>
      <c r="I664" s="30"/>
      <c r="J664" s="12" t="str">
        <f t="shared" si="116"/>
        <v/>
      </c>
      <c r="K664" s="12" t="str">
        <f t="shared" si="117"/>
        <v/>
      </c>
      <c r="L664" s="6"/>
      <c r="M664" s="6"/>
      <c r="N664" s="6"/>
      <c r="O664" s="36"/>
      <c r="P664" s="24" t="str">
        <f t="shared" si="118"/>
        <v xml:space="preserve"> </v>
      </c>
      <c r="Q664" s="25" t="str">
        <f t="shared" si="119"/>
        <v xml:space="preserve"> </v>
      </c>
      <c r="R664" s="25" t="str">
        <f t="shared" si="120"/>
        <v xml:space="preserve"> </v>
      </c>
      <c r="S664" s="26" t="str">
        <f t="shared" si="121"/>
        <v xml:space="preserve"> </v>
      </c>
      <c r="T664" s="7" t="str">
        <f t="shared" si="122"/>
        <v xml:space="preserve"> </v>
      </c>
      <c r="U664" s="8" t="str">
        <f t="shared" si="123"/>
        <v xml:space="preserve"> </v>
      </c>
      <c r="V664" s="9" t="str">
        <f t="shared" si="104"/>
        <v xml:space="preserve"> </v>
      </c>
      <c r="W664" s="9" t="str">
        <f t="shared" si="124"/>
        <v/>
      </c>
      <c r="X664" s="32"/>
      <c r="Y664" s="36"/>
    </row>
    <row r="665" spans="1:25" s="4" customFormat="1" ht="18" customHeight="1">
      <c r="A665" s="36"/>
      <c r="B665" s="76"/>
      <c r="C665" s="69"/>
      <c r="D665" s="31"/>
      <c r="E665" s="29"/>
      <c r="F665" s="28"/>
      <c r="G665" s="29"/>
      <c r="H665" s="29"/>
      <c r="I665" s="30"/>
      <c r="J665" s="12" t="str">
        <f t="shared" si="116"/>
        <v/>
      </c>
      <c r="K665" s="12" t="str">
        <f t="shared" si="117"/>
        <v/>
      </c>
      <c r="L665" s="6"/>
      <c r="M665" s="6"/>
      <c r="N665" s="6"/>
      <c r="O665" s="36"/>
      <c r="P665" s="24" t="str">
        <f t="shared" si="118"/>
        <v xml:space="preserve"> </v>
      </c>
      <c r="Q665" s="25" t="str">
        <f t="shared" si="119"/>
        <v xml:space="preserve"> </v>
      </c>
      <c r="R665" s="25" t="str">
        <f t="shared" si="120"/>
        <v xml:space="preserve"> </v>
      </c>
      <c r="S665" s="26" t="str">
        <f t="shared" si="121"/>
        <v xml:space="preserve"> </v>
      </c>
      <c r="T665" s="7" t="str">
        <f t="shared" si="122"/>
        <v xml:space="preserve"> </v>
      </c>
      <c r="U665" s="8" t="str">
        <f t="shared" si="123"/>
        <v xml:space="preserve"> </v>
      </c>
      <c r="V665" s="9" t="str">
        <f t="shared" si="104"/>
        <v xml:space="preserve"> </v>
      </c>
      <c r="W665" s="9" t="str">
        <f t="shared" si="124"/>
        <v/>
      </c>
      <c r="X665" s="32"/>
      <c r="Y665" s="36"/>
    </row>
    <row r="666" spans="1:25" s="4" customFormat="1" ht="18" customHeight="1">
      <c r="A666" s="36"/>
      <c r="B666" s="76"/>
      <c r="C666" s="69"/>
      <c r="D666" s="31"/>
      <c r="E666" s="29"/>
      <c r="F666" s="28"/>
      <c r="G666" s="29"/>
      <c r="H666" s="29"/>
      <c r="I666" s="30"/>
      <c r="J666" s="12" t="str">
        <f t="shared" si="116"/>
        <v/>
      </c>
      <c r="K666" s="12" t="str">
        <f t="shared" si="117"/>
        <v/>
      </c>
      <c r="L666" s="6"/>
      <c r="M666" s="6"/>
      <c r="N666" s="6"/>
      <c r="O666" s="36"/>
      <c r="P666" s="24" t="str">
        <f t="shared" si="118"/>
        <v xml:space="preserve"> </v>
      </c>
      <c r="Q666" s="25" t="str">
        <f t="shared" si="119"/>
        <v xml:space="preserve"> </v>
      </c>
      <c r="R666" s="25" t="str">
        <f t="shared" si="120"/>
        <v xml:space="preserve"> </v>
      </c>
      <c r="S666" s="26" t="str">
        <f t="shared" si="121"/>
        <v xml:space="preserve"> </v>
      </c>
      <c r="T666" s="7" t="str">
        <f t="shared" si="122"/>
        <v xml:space="preserve"> </v>
      </c>
      <c r="U666" s="8" t="str">
        <f t="shared" si="123"/>
        <v xml:space="preserve"> </v>
      </c>
      <c r="V666" s="9" t="str">
        <f t="shared" si="104"/>
        <v xml:space="preserve"> </v>
      </c>
      <c r="W666" s="9" t="str">
        <f t="shared" si="124"/>
        <v/>
      </c>
      <c r="X666" s="32"/>
      <c r="Y666" s="36"/>
    </row>
    <row r="667" spans="1:25" s="4" customFormat="1" ht="18" customHeight="1">
      <c r="A667" s="36"/>
      <c r="B667" s="76"/>
      <c r="C667" s="69"/>
      <c r="D667" s="31"/>
      <c r="E667" s="29"/>
      <c r="F667" s="28"/>
      <c r="G667" s="29"/>
      <c r="H667" s="29"/>
      <c r="I667" s="30"/>
      <c r="J667" s="12" t="str">
        <f t="shared" si="116"/>
        <v/>
      </c>
      <c r="K667" s="12" t="str">
        <f t="shared" si="117"/>
        <v/>
      </c>
      <c r="L667" s="6"/>
      <c r="M667" s="6"/>
      <c r="N667" s="6"/>
      <c r="O667" s="36"/>
      <c r="P667" s="24" t="str">
        <f t="shared" si="118"/>
        <v xml:space="preserve"> </v>
      </c>
      <c r="Q667" s="25" t="str">
        <f t="shared" si="119"/>
        <v xml:space="preserve"> </v>
      </c>
      <c r="R667" s="25" t="str">
        <f t="shared" si="120"/>
        <v xml:space="preserve"> </v>
      </c>
      <c r="S667" s="26" t="str">
        <f t="shared" si="121"/>
        <v xml:space="preserve"> </v>
      </c>
      <c r="T667" s="7" t="str">
        <f t="shared" si="122"/>
        <v xml:space="preserve"> </v>
      </c>
      <c r="U667" s="8" t="str">
        <f t="shared" si="123"/>
        <v xml:space="preserve"> </v>
      </c>
      <c r="V667" s="9" t="str">
        <f t="shared" si="104"/>
        <v xml:space="preserve"> </v>
      </c>
      <c r="W667" s="9" t="str">
        <f t="shared" si="124"/>
        <v/>
      </c>
      <c r="X667" s="32"/>
      <c r="Y667" s="36"/>
    </row>
    <row r="668" spans="1:25" s="4" customFormat="1" ht="18" customHeight="1">
      <c r="A668" s="36"/>
      <c r="B668" s="76"/>
      <c r="C668" s="69"/>
      <c r="D668" s="31"/>
      <c r="E668" s="29"/>
      <c r="F668" s="28"/>
      <c r="G668" s="29"/>
      <c r="H668" s="29"/>
      <c r="I668" s="30"/>
      <c r="J668" s="12" t="str">
        <f t="shared" si="116"/>
        <v/>
      </c>
      <c r="K668" s="12" t="str">
        <f t="shared" si="117"/>
        <v/>
      </c>
      <c r="L668" s="6"/>
      <c r="M668" s="6"/>
      <c r="N668" s="6"/>
      <c r="O668" s="36"/>
      <c r="P668" s="24" t="str">
        <f t="shared" si="118"/>
        <v xml:space="preserve"> </v>
      </c>
      <c r="Q668" s="25" t="str">
        <f t="shared" si="119"/>
        <v xml:space="preserve"> </v>
      </c>
      <c r="R668" s="25" t="str">
        <f t="shared" si="120"/>
        <v xml:space="preserve"> </v>
      </c>
      <c r="S668" s="26" t="str">
        <f t="shared" si="121"/>
        <v xml:space="preserve"> </v>
      </c>
      <c r="T668" s="7" t="str">
        <f t="shared" si="122"/>
        <v xml:space="preserve"> </v>
      </c>
      <c r="U668" s="8" t="str">
        <f t="shared" si="123"/>
        <v xml:space="preserve"> </v>
      </c>
      <c r="V668" s="9" t="str">
        <f t="shared" si="104"/>
        <v xml:space="preserve"> </v>
      </c>
      <c r="W668" s="9" t="str">
        <f t="shared" si="124"/>
        <v/>
      </c>
      <c r="X668" s="32"/>
      <c r="Y668" s="36"/>
    </row>
    <row r="669" spans="1:25" s="4" customFormat="1" ht="18" customHeight="1">
      <c r="A669" s="36"/>
      <c r="B669" s="76"/>
      <c r="C669" s="69"/>
      <c r="D669" s="31"/>
      <c r="E669" s="29"/>
      <c r="F669" s="28"/>
      <c r="G669" s="29"/>
      <c r="H669" s="29"/>
      <c r="I669" s="30"/>
      <c r="J669" s="12" t="str">
        <f t="shared" si="116"/>
        <v/>
      </c>
      <c r="K669" s="12" t="str">
        <f t="shared" si="117"/>
        <v/>
      </c>
      <c r="L669" s="6"/>
      <c r="M669" s="6"/>
      <c r="N669" s="6"/>
      <c r="O669" s="36"/>
      <c r="P669" s="24" t="str">
        <f t="shared" si="118"/>
        <v xml:space="preserve"> </v>
      </c>
      <c r="Q669" s="25" t="str">
        <f t="shared" si="119"/>
        <v xml:space="preserve"> </v>
      </c>
      <c r="R669" s="25" t="str">
        <f t="shared" si="120"/>
        <v xml:space="preserve"> </v>
      </c>
      <c r="S669" s="26" t="str">
        <f t="shared" si="121"/>
        <v xml:space="preserve"> </v>
      </c>
      <c r="T669" s="7" t="str">
        <f t="shared" si="122"/>
        <v xml:space="preserve"> </v>
      </c>
      <c r="U669" s="8" t="str">
        <f t="shared" si="123"/>
        <v xml:space="preserve"> </v>
      </c>
      <c r="V669" s="9" t="str">
        <f t="shared" si="104"/>
        <v xml:space="preserve"> </v>
      </c>
      <c r="W669" s="9" t="str">
        <f t="shared" si="124"/>
        <v/>
      </c>
      <c r="X669" s="32"/>
      <c r="Y669" s="36"/>
    </row>
    <row r="670" spans="1:25" s="4" customFormat="1" ht="18" customHeight="1">
      <c r="A670" s="36"/>
      <c r="B670" s="76"/>
      <c r="C670" s="69"/>
      <c r="D670" s="31"/>
      <c r="E670" s="29"/>
      <c r="F670" s="28"/>
      <c r="G670" s="29"/>
      <c r="H670" s="29"/>
      <c r="I670" s="30"/>
      <c r="J670" s="12" t="str">
        <f t="shared" si="116"/>
        <v/>
      </c>
      <c r="K670" s="12" t="str">
        <f t="shared" si="117"/>
        <v/>
      </c>
      <c r="L670" s="6"/>
      <c r="M670" s="6"/>
      <c r="N670" s="6"/>
      <c r="O670" s="36"/>
      <c r="P670" s="24" t="str">
        <f t="shared" si="118"/>
        <v xml:space="preserve"> </v>
      </c>
      <c r="Q670" s="25" t="str">
        <f t="shared" si="119"/>
        <v xml:space="preserve"> </v>
      </c>
      <c r="R670" s="25" t="str">
        <f t="shared" si="120"/>
        <v xml:space="preserve"> </v>
      </c>
      <c r="S670" s="26" t="str">
        <f t="shared" si="121"/>
        <v xml:space="preserve"> </v>
      </c>
      <c r="T670" s="7" t="str">
        <f t="shared" si="122"/>
        <v xml:space="preserve"> </v>
      </c>
      <c r="U670" s="8" t="str">
        <f t="shared" si="123"/>
        <v xml:space="preserve"> </v>
      </c>
      <c r="V670" s="9" t="str">
        <f t="shared" si="104"/>
        <v xml:space="preserve"> </v>
      </c>
      <c r="W670" s="9" t="str">
        <f t="shared" si="124"/>
        <v/>
      </c>
      <c r="X670" s="32"/>
      <c r="Y670" s="36"/>
    </row>
    <row r="671" spans="1:25" s="4" customFormat="1" ht="18" customHeight="1">
      <c r="A671" s="36"/>
      <c r="B671" s="76"/>
      <c r="C671" s="69"/>
      <c r="D671" s="31"/>
      <c r="E671" s="29"/>
      <c r="F671" s="28"/>
      <c r="G671" s="29"/>
      <c r="H671" s="29"/>
      <c r="I671" s="30"/>
      <c r="J671" s="12" t="str">
        <f t="shared" si="116"/>
        <v/>
      </c>
      <c r="K671" s="12" t="str">
        <f t="shared" si="117"/>
        <v/>
      </c>
      <c r="L671" s="6"/>
      <c r="M671" s="6"/>
      <c r="N671" s="6"/>
      <c r="O671" s="36"/>
      <c r="P671" s="24" t="str">
        <f t="shared" si="118"/>
        <v xml:space="preserve"> </v>
      </c>
      <c r="Q671" s="25" t="str">
        <f t="shared" si="119"/>
        <v xml:space="preserve"> </v>
      </c>
      <c r="R671" s="25" t="str">
        <f t="shared" si="120"/>
        <v xml:space="preserve"> </v>
      </c>
      <c r="S671" s="26" t="str">
        <f t="shared" si="121"/>
        <v xml:space="preserve"> </v>
      </c>
      <c r="T671" s="7" t="str">
        <f t="shared" si="122"/>
        <v xml:space="preserve"> </v>
      </c>
      <c r="U671" s="8" t="str">
        <f t="shared" si="123"/>
        <v xml:space="preserve"> </v>
      </c>
      <c r="V671" s="9" t="str">
        <f t="shared" si="104"/>
        <v xml:space="preserve"> </v>
      </c>
      <c r="W671" s="9" t="str">
        <f t="shared" si="124"/>
        <v/>
      </c>
      <c r="X671" s="32"/>
      <c r="Y671" s="36"/>
    </row>
    <row r="672" spans="1:25" s="4" customFormat="1" ht="18" customHeight="1">
      <c r="A672" s="36"/>
      <c r="B672" s="76"/>
      <c r="C672" s="69"/>
      <c r="D672" s="31"/>
      <c r="E672" s="29"/>
      <c r="F672" s="28"/>
      <c r="G672" s="29"/>
      <c r="H672" s="29"/>
      <c r="I672" s="30"/>
      <c r="J672" s="12" t="str">
        <f t="shared" si="116"/>
        <v/>
      </c>
      <c r="K672" s="12" t="str">
        <f t="shared" si="117"/>
        <v/>
      </c>
      <c r="L672" s="6"/>
      <c r="M672" s="6"/>
      <c r="N672" s="6"/>
      <c r="O672" s="36"/>
      <c r="P672" s="24" t="str">
        <f t="shared" si="118"/>
        <v xml:space="preserve"> </v>
      </c>
      <c r="Q672" s="25" t="str">
        <f t="shared" si="119"/>
        <v xml:space="preserve"> </v>
      </c>
      <c r="R672" s="25" t="str">
        <f t="shared" si="120"/>
        <v xml:space="preserve"> </v>
      </c>
      <c r="S672" s="26" t="str">
        <f t="shared" si="121"/>
        <v xml:space="preserve"> </v>
      </c>
      <c r="T672" s="7" t="str">
        <f t="shared" si="122"/>
        <v xml:space="preserve"> </v>
      </c>
      <c r="U672" s="8" t="str">
        <f t="shared" si="123"/>
        <v xml:space="preserve"> </v>
      </c>
      <c r="V672" s="9" t="str">
        <f t="shared" si="104"/>
        <v xml:space="preserve"> </v>
      </c>
      <c r="W672" s="9" t="str">
        <f t="shared" si="124"/>
        <v/>
      </c>
      <c r="X672" s="32"/>
      <c r="Y672" s="36"/>
    </row>
    <row r="673" spans="1:25" s="4" customFormat="1" ht="18" customHeight="1">
      <c r="A673" s="36"/>
      <c r="B673" s="76"/>
      <c r="C673" s="69"/>
      <c r="D673" s="31"/>
      <c r="E673" s="29"/>
      <c r="F673" s="28"/>
      <c r="G673" s="29"/>
      <c r="H673" s="29"/>
      <c r="I673" s="30"/>
      <c r="J673" s="12" t="str">
        <f t="shared" si="116"/>
        <v/>
      </c>
      <c r="K673" s="12" t="str">
        <f t="shared" si="117"/>
        <v/>
      </c>
      <c r="L673" s="6"/>
      <c r="M673" s="6"/>
      <c r="N673" s="6"/>
      <c r="O673" s="36"/>
      <c r="P673" s="24" t="str">
        <f t="shared" si="118"/>
        <v xml:space="preserve"> </v>
      </c>
      <c r="Q673" s="25" t="str">
        <f t="shared" si="119"/>
        <v xml:space="preserve"> </v>
      </c>
      <c r="R673" s="25" t="str">
        <f t="shared" si="120"/>
        <v xml:space="preserve"> </v>
      </c>
      <c r="S673" s="26" t="str">
        <f t="shared" si="121"/>
        <v xml:space="preserve"> </v>
      </c>
      <c r="T673" s="7" t="str">
        <f t="shared" si="122"/>
        <v xml:space="preserve"> </v>
      </c>
      <c r="U673" s="8" t="str">
        <f t="shared" si="123"/>
        <v xml:space="preserve"> </v>
      </c>
      <c r="V673" s="9" t="str">
        <f t="shared" si="104"/>
        <v xml:space="preserve"> </v>
      </c>
      <c r="W673" s="9" t="str">
        <f t="shared" si="124"/>
        <v/>
      </c>
      <c r="X673" s="32"/>
      <c r="Y673" s="36"/>
    </row>
    <row r="674" spans="1:25" s="4" customFormat="1" ht="18" customHeight="1">
      <c r="A674" s="36"/>
      <c r="B674" s="76"/>
      <c r="C674" s="69"/>
      <c r="D674" s="31"/>
      <c r="E674" s="29"/>
      <c r="F674" s="28"/>
      <c r="G674" s="29"/>
      <c r="H674" s="29"/>
      <c r="I674" s="30"/>
      <c r="J674" s="12" t="str">
        <f t="shared" si="116"/>
        <v/>
      </c>
      <c r="K674" s="12" t="str">
        <f t="shared" si="117"/>
        <v/>
      </c>
      <c r="L674" s="6"/>
      <c r="M674" s="6"/>
      <c r="N674" s="6"/>
      <c r="O674" s="36"/>
      <c r="P674" s="24" t="str">
        <f t="shared" si="118"/>
        <v xml:space="preserve"> </v>
      </c>
      <c r="Q674" s="25" t="str">
        <f t="shared" si="119"/>
        <v xml:space="preserve"> </v>
      </c>
      <c r="R674" s="25" t="str">
        <f t="shared" si="120"/>
        <v xml:space="preserve"> </v>
      </c>
      <c r="S674" s="26" t="str">
        <f t="shared" si="121"/>
        <v xml:space="preserve"> </v>
      </c>
      <c r="T674" s="7" t="str">
        <f t="shared" si="122"/>
        <v xml:space="preserve"> </v>
      </c>
      <c r="U674" s="8" t="str">
        <f t="shared" si="123"/>
        <v xml:space="preserve"> </v>
      </c>
      <c r="V674" s="9" t="str">
        <f t="shared" si="104"/>
        <v xml:space="preserve"> </v>
      </c>
      <c r="W674" s="9" t="str">
        <f t="shared" si="124"/>
        <v/>
      </c>
      <c r="X674" s="32"/>
      <c r="Y674" s="36"/>
    </row>
    <row r="675" spans="1:25" s="4" customFormat="1" ht="18" customHeight="1">
      <c r="A675" s="36"/>
      <c r="B675" s="76"/>
      <c r="C675" s="69"/>
      <c r="D675" s="31"/>
      <c r="E675" s="29"/>
      <c r="F675" s="28"/>
      <c r="G675" s="29"/>
      <c r="H675" s="29"/>
      <c r="I675" s="30"/>
      <c r="J675" s="12" t="str">
        <f t="shared" si="116"/>
        <v/>
      </c>
      <c r="K675" s="12" t="str">
        <f t="shared" si="117"/>
        <v/>
      </c>
      <c r="L675" s="6"/>
      <c r="M675" s="6"/>
      <c r="N675" s="6"/>
      <c r="O675" s="36"/>
      <c r="P675" s="24" t="str">
        <f t="shared" si="118"/>
        <v xml:space="preserve"> </v>
      </c>
      <c r="Q675" s="25" t="str">
        <f t="shared" si="119"/>
        <v xml:space="preserve"> </v>
      </c>
      <c r="R675" s="25" t="str">
        <f t="shared" si="120"/>
        <v xml:space="preserve"> </v>
      </c>
      <c r="S675" s="26" t="str">
        <f t="shared" si="121"/>
        <v xml:space="preserve"> </v>
      </c>
      <c r="T675" s="7" t="str">
        <f t="shared" si="122"/>
        <v xml:space="preserve"> </v>
      </c>
      <c r="U675" s="8" t="str">
        <f t="shared" si="123"/>
        <v xml:space="preserve"> </v>
      </c>
      <c r="V675" s="9" t="str">
        <f t="shared" si="104"/>
        <v xml:space="preserve"> </v>
      </c>
      <c r="W675" s="9" t="str">
        <f t="shared" si="124"/>
        <v/>
      </c>
      <c r="X675" s="32"/>
      <c r="Y675" s="36"/>
    </row>
    <row r="676" spans="1:25" s="4" customFormat="1" ht="18" customHeight="1">
      <c r="A676" s="36"/>
      <c r="B676" s="76"/>
      <c r="C676" s="69"/>
      <c r="D676" s="31"/>
      <c r="E676" s="29"/>
      <c r="F676" s="28"/>
      <c r="G676" s="29"/>
      <c r="H676" s="29"/>
      <c r="I676" s="30"/>
      <c r="J676" s="12" t="str">
        <f t="shared" si="116"/>
        <v/>
      </c>
      <c r="K676" s="12" t="str">
        <f t="shared" si="117"/>
        <v/>
      </c>
      <c r="L676" s="6"/>
      <c r="M676" s="6"/>
      <c r="N676" s="6"/>
      <c r="O676" s="36"/>
      <c r="P676" s="24" t="str">
        <f t="shared" si="118"/>
        <v xml:space="preserve"> </v>
      </c>
      <c r="Q676" s="25" t="str">
        <f t="shared" si="119"/>
        <v xml:space="preserve"> </v>
      </c>
      <c r="R676" s="25" t="str">
        <f t="shared" si="120"/>
        <v xml:space="preserve"> </v>
      </c>
      <c r="S676" s="26" t="str">
        <f t="shared" si="121"/>
        <v xml:space="preserve"> </v>
      </c>
      <c r="T676" s="7" t="str">
        <f t="shared" si="122"/>
        <v xml:space="preserve"> </v>
      </c>
      <c r="U676" s="8" t="str">
        <f t="shared" si="123"/>
        <v xml:space="preserve"> </v>
      </c>
      <c r="V676" s="9" t="str">
        <f t="shared" si="104"/>
        <v xml:space="preserve"> </v>
      </c>
      <c r="W676" s="9" t="str">
        <f t="shared" si="124"/>
        <v/>
      </c>
      <c r="X676" s="32"/>
      <c r="Y676" s="36"/>
    </row>
    <row r="677" spans="1:25" s="4" customFormat="1" ht="18" customHeight="1">
      <c r="A677" s="36"/>
      <c r="B677" s="76"/>
      <c r="C677" s="69"/>
      <c r="D677" s="31"/>
      <c r="E677" s="29"/>
      <c r="F677" s="28"/>
      <c r="G677" s="29"/>
      <c r="H677" s="29"/>
      <c r="I677" s="30"/>
      <c r="J677" s="12" t="str">
        <f t="shared" si="116"/>
        <v/>
      </c>
      <c r="K677" s="12" t="str">
        <f t="shared" si="117"/>
        <v/>
      </c>
      <c r="L677" s="6"/>
      <c r="M677" s="6"/>
      <c r="N677" s="6"/>
      <c r="O677" s="36"/>
      <c r="P677" s="24" t="str">
        <f t="shared" si="118"/>
        <v xml:space="preserve"> </v>
      </c>
      <c r="Q677" s="25" t="str">
        <f t="shared" si="119"/>
        <v xml:space="preserve"> </v>
      </c>
      <c r="R677" s="25" t="str">
        <f t="shared" si="120"/>
        <v xml:space="preserve"> </v>
      </c>
      <c r="S677" s="26" t="str">
        <f t="shared" si="121"/>
        <v xml:space="preserve"> </v>
      </c>
      <c r="T677" s="7" t="str">
        <f t="shared" si="122"/>
        <v xml:space="preserve"> </v>
      </c>
      <c r="U677" s="8" t="str">
        <f t="shared" si="123"/>
        <v xml:space="preserve"> </v>
      </c>
      <c r="V677" s="9" t="str">
        <f t="shared" si="104"/>
        <v xml:space="preserve"> </v>
      </c>
      <c r="W677" s="9" t="str">
        <f t="shared" si="124"/>
        <v/>
      </c>
      <c r="X677" s="32"/>
      <c r="Y677" s="36"/>
    </row>
    <row r="678" spans="1:25" s="4" customFormat="1" ht="18" customHeight="1">
      <c r="A678" s="36"/>
      <c r="B678" s="76"/>
      <c r="C678" s="69"/>
      <c r="D678" s="31"/>
      <c r="E678" s="29"/>
      <c r="F678" s="28"/>
      <c r="G678" s="29"/>
      <c r="H678" s="29"/>
      <c r="I678" s="30"/>
      <c r="J678" s="12" t="str">
        <f t="shared" si="116"/>
        <v/>
      </c>
      <c r="K678" s="12" t="str">
        <f t="shared" si="117"/>
        <v/>
      </c>
      <c r="L678" s="6"/>
      <c r="M678" s="6"/>
      <c r="N678" s="6"/>
      <c r="O678" s="36"/>
      <c r="P678" s="24" t="str">
        <f t="shared" si="118"/>
        <v xml:space="preserve"> </v>
      </c>
      <c r="Q678" s="25" t="str">
        <f t="shared" si="119"/>
        <v xml:space="preserve"> </v>
      </c>
      <c r="R678" s="25" t="str">
        <f t="shared" si="120"/>
        <v xml:space="preserve"> </v>
      </c>
      <c r="S678" s="26" t="str">
        <f t="shared" si="121"/>
        <v xml:space="preserve"> </v>
      </c>
      <c r="T678" s="7" t="str">
        <f t="shared" si="122"/>
        <v xml:space="preserve"> </v>
      </c>
      <c r="U678" s="8" t="str">
        <f t="shared" si="123"/>
        <v xml:space="preserve"> </v>
      </c>
      <c r="V678" s="9" t="str">
        <f t="shared" si="104"/>
        <v xml:space="preserve"> </v>
      </c>
      <c r="W678" s="9" t="str">
        <f t="shared" si="124"/>
        <v/>
      </c>
      <c r="X678" s="32"/>
      <c r="Y678" s="36"/>
    </row>
    <row r="679" spans="1:25" s="4" customFormat="1" ht="18" customHeight="1">
      <c r="A679" s="36"/>
      <c r="B679" s="76"/>
      <c r="C679" s="69"/>
      <c r="D679" s="31"/>
      <c r="E679" s="29"/>
      <c r="F679" s="28"/>
      <c r="G679" s="29"/>
      <c r="H679" s="29"/>
      <c r="I679" s="30"/>
      <c r="J679" s="12" t="str">
        <f t="shared" si="116"/>
        <v/>
      </c>
      <c r="K679" s="12" t="str">
        <f t="shared" si="117"/>
        <v/>
      </c>
      <c r="L679" s="6"/>
      <c r="M679" s="6"/>
      <c r="N679" s="6"/>
      <c r="O679" s="36"/>
      <c r="P679" s="24" t="str">
        <f t="shared" si="118"/>
        <v xml:space="preserve"> </v>
      </c>
      <c r="Q679" s="25" t="str">
        <f t="shared" si="119"/>
        <v xml:space="preserve"> </v>
      </c>
      <c r="R679" s="25" t="str">
        <f t="shared" si="120"/>
        <v xml:space="preserve"> </v>
      </c>
      <c r="S679" s="26" t="str">
        <f t="shared" si="121"/>
        <v xml:space="preserve"> </v>
      </c>
      <c r="T679" s="7" t="str">
        <f t="shared" si="122"/>
        <v xml:space="preserve"> </v>
      </c>
      <c r="U679" s="8" t="str">
        <f t="shared" si="123"/>
        <v xml:space="preserve"> </v>
      </c>
      <c r="V679" s="9" t="str">
        <f t="shared" si="104"/>
        <v xml:space="preserve"> </v>
      </c>
      <c r="W679" s="9" t="str">
        <f t="shared" si="124"/>
        <v/>
      </c>
      <c r="X679" s="32"/>
      <c r="Y679" s="36"/>
    </row>
    <row r="680" spans="1:25" s="4" customFormat="1" ht="18" customHeight="1">
      <c r="A680" s="36"/>
      <c r="B680" s="76"/>
      <c r="C680" s="69"/>
      <c r="D680" s="31"/>
      <c r="E680" s="29"/>
      <c r="F680" s="28"/>
      <c r="G680" s="29"/>
      <c r="H680" s="29"/>
      <c r="I680" s="30"/>
      <c r="J680" s="12" t="str">
        <f t="shared" si="116"/>
        <v/>
      </c>
      <c r="K680" s="12" t="str">
        <f t="shared" si="117"/>
        <v/>
      </c>
      <c r="L680" s="6"/>
      <c r="M680" s="6"/>
      <c r="N680" s="6"/>
      <c r="O680" s="36"/>
      <c r="P680" s="24" t="str">
        <f t="shared" si="118"/>
        <v xml:space="preserve"> </v>
      </c>
      <c r="Q680" s="25" t="str">
        <f t="shared" si="119"/>
        <v xml:space="preserve"> </v>
      </c>
      <c r="R680" s="25" t="str">
        <f t="shared" si="120"/>
        <v xml:space="preserve"> </v>
      </c>
      <c r="S680" s="26" t="str">
        <f t="shared" si="121"/>
        <v xml:space="preserve"> </v>
      </c>
      <c r="T680" s="7" t="str">
        <f t="shared" si="122"/>
        <v xml:space="preserve"> </v>
      </c>
      <c r="U680" s="8" t="str">
        <f t="shared" si="123"/>
        <v xml:space="preserve"> </v>
      </c>
      <c r="V680" s="9" t="str">
        <f t="shared" si="104"/>
        <v xml:space="preserve"> </v>
      </c>
      <c r="W680" s="9" t="str">
        <f t="shared" si="124"/>
        <v/>
      </c>
      <c r="X680" s="32"/>
      <c r="Y680" s="36"/>
    </row>
    <row r="681" spans="1:25" s="4" customFormat="1" ht="18" customHeight="1">
      <c r="A681" s="36"/>
      <c r="B681" s="76"/>
      <c r="C681" s="69"/>
      <c r="D681" s="31"/>
      <c r="E681" s="29"/>
      <c r="F681" s="28"/>
      <c r="G681" s="29"/>
      <c r="H681" s="29"/>
      <c r="I681" s="30"/>
      <c r="J681" s="12" t="str">
        <f t="shared" si="116"/>
        <v/>
      </c>
      <c r="K681" s="12" t="str">
        <f t="shared" si="117"/>
        <v/>
      </c>
      <c r="L681" s="6"/>
      <c r="M681" s="6"/>
      <c r="N681" s="6"/>
      <c r="O681" s="36"/>
      <c r="P681" s="24" t="str">
        <f t="shared" si="118"/>
        <v xml:space="preserve"> </v>
      </c>
      <c r="Q681" s="25" t="str">
        <f t="shared" si="119"/>
        <v xml:space="preserve"> </v>
      </c>
      <c r="R681" s="25" t="str">
        <f t="shared" si="120"/>
        <v xml:space="preserve"> </v>
      </c>
      <c r="S681" s="26" t="str">
        <f t="shared" si="121"/>
        <v xml:space="preserve"> </v>
      </c>
      <c r="T681" s="7" t="str">
        <f t="shared" si="122"/>
        <v xml:space="preserve"> </v>
      </c>
      <c r="U681" s="8" t="str">
        <f t="shared" si="123"/>
        <v xml:space="preserve"> </v>
      </c>
      <c r="V681" s="9" t="str">
        <f t="shared" si="104"/>
        <v xml:space="preserve"> </v>
      </c>
      <c r="W681" s="9" t="str">
        <f t="shared" si="124"/>
        <v/>
      </c>
      <c r="X681" s="32"/>
      <c r="Y681" s="36"/>
    </row>
    <row r="682" spans="1:25" s="4" customFormat="1" ht="18" customHeight="1">
      <c r="A682" s="36"/>
      <c r="B682" s="76"/>
      <c r="C682" s="69"/>
      <c r="D682" s="31"/>
      <c r="E682" s="29"/>
      <c r="F682" s="28"/>
      <c r="G682" s="29"/>
      <c r="H682" s="29"/>
      <c r="I682" s="30"/>
      <c r="J682" s="12" t="str">
        <f t="shared" si="116"/>
        <v/>
      </c>
      <c r="K682" s="12" t="str">
        <f t="shared" si="117"/>
        <v/>
      </c>
      <c r="L682" s="6"/>
      <c r="M682" s="6"/>
      <c r="N682" s="6"/>
      <c r="O682" s="36"/>
      <c r="P682" s="24" t="str">
        <f t="shared" si="118"/>
        <v xml:space="preserve"> </v>
      </c>
      <c r="Q682" s="25" t="str">
        <f t="shared" si="119"/>
        <v xml:space="preserve"> </v>
      </c>
      <c r="R682" s="25" t="str">
        <f t="shared" si="120"/>
        <v xml:space="preserve"> </v>
      </c>
      <c r="S682" s="26" t="str">
        <f t="shared" si="121"/>
        <v xml:space="preserve"> </v>
      </c>
      <c r="T682" s="7" t="str">
        <f t="shared" si="122"/>
        <v xml:space="preserve"> </v>
      </c>
      <c r="U682" s="8" t="str">
        <f t="shared" si="123"/>
        <v xml:space="preserve"> </v>
      </c>
      <c r="V682" s="9" t="str">
        <f t="shared" si="104"/>
        <v xml:space="preserve"> </v>
      </c>
      <c r="W682" s="9" t="str">
        <f t="shared" si="124"/>
        <v/>
      </c>
      <c r="X682" s="32"/>
      <c r="Y682" s="36"/>
    </row>
    <row r="683" spans="1:25" s="4" customFormat="1" ht="18" customHeight="1">
      <c r="A683" s="36"/>
      <c r="B683" s="76"/>
      <c r="C683" s="69"/>
      <c r="D683" s="31"/>
      <c r="E683" s="29"/>
      <c r="F683" s="28"/>
      <c r="G683" s="29"/>
      <c r="H683" s="29"/>
      <c r="I683" s="30"/>
      <c r="J683" s="12" t="str">
        <f t="shared" si="116"/>
        <v/>
      </c>
      <c r="K683" s="12" t="str">
        <f t="shared" si="117"/>
        <v/>
      </c>
      <c r="L683" s="6"/>
      <c r="M683" s="6"/>
      <c r="N683" s="6"/>
      <c r="O683" s="36"/>
      <c r="P683" s="24" t="str">
        <f t="shared" si="118"/>
        <v xml:space="preserve"> </v>
      </c>
      <c r="Q683" s="25" t="str">
        <f t="shared" si="119"/>
        <v xml:space="preserve"> </v>
      </c>
      <c r="R683" s="25" t="str">
        <f t="shared" si="120"/>
        <v xml:space="preserve"> </v>
      </c>
      <c r="S683" s="26" t="str">
        <f t="shared" si="121"/>
        <v xml:space="preserve"> </v>
      </c>
      <c r="T683" s="7" t="str">
        <f t="shared" si="122"/>
        <v xml:space="preserve"> </v>
      </c>
      <c r="U683" s="8" t="str">
        <f t="shared" si="123"/>
        <v xml:space="preserve"> </v>
      </c>
      <c r="V683" s="9" t="str">
        <f t="shared" si="104"/>
        <v xml:space="preserve"> </v>
      </c>
      <c r="W683" s="9" t="str">
        <f t="shared" si="124"/>
        <v/>
      </c>
      <c r="X683" s="32"/>
      <c r="Y683" s="36"/>
    </row>
    <row r="684" spans="1:25" s="4" customFormat="1" ht="18" customHeight="1">
      <c r="A684" s="36"/>
      <c r="B684" s="76"/>
      <c r="C684" s="69"/>
      <c r="D684" s="31"/>
      <c r="E684" s="29"/>
      <c r="F684" s="28"/>
      <c r="G684" s="29"/>
      <c r="H684" s="29"/>
      <c r="I684" s="30"/>
      <c r="J684" s="12" t="str">
        <f t="shared" si="116"/>
        <v/>
      </c>
      <c r="K684" s="12" t="str">
        <f t="shared" si="117"/>
        <v/>
      </c>
      <c r="L684" s="6"/>
      <c r="M684" s="6"/>
      <c r="N684" s="6"/>
      <c r="O684" s="36"/>
      <c r="P684" s="24" t="str">
        <f t="shared" si="118"/>
        <v xml:space="preserve"> </v>
      </c>
      <c r="Q684" s="25" t="str">
        <f t="shared" si="119"/>
        <v xml:space="preserve"> </v>
      </c>
      <c r="R684" s="25" t="str">
        <f t="shared" si="120"/>
        <v xml:space="preserve"> </v>
      </c>
      <c r="S684" s="26" t="str">
        <f t="shared" si="121"/>
        <v xml:space="preserve"> </v>
      </c>
      <c r="T684" s="7" t="str">
        <f t="shared" si="122"/>
        <v xml:space="preserve"> </v>
      </c>
      <c r="U684" s="8" t="str">
        <f t="shared" si="123"/>
        <v xml:space="preserve"> </v>
      </c>
      <c r="V684" s="9" t="str">
        <f t="shared" si="104"/>
        <v xml:space="preserve"> </v>
      </c>
      <c r="W684" s="9" t="str">
        <f t="shared" si="124"/>
        <v/>
      </c>
      <c r="X684" s="32"/>
      <c r="Y684" s="36"/>
    </row>
    <row r="685" spans="1:25" s="4" customFormat="1" ht="18" customHeight="1">
      <c r="A685" s="36"/>
      <c r="B685" s="76"/>
      <c r="C685" s="69"/>
      <c r="D685" s="31"/>
      <c r="E685" s="29"/>
      <c r="F685" s="28"/>
      <c r="G685" s="29"/>
      <c r="H685" s="29"/>
      <c r="I685" s="30"/>
      <c r="J685" s="12" t="str">
        <f t="shared" si="116"/>
        <v/>
      </c>
      <c r="K685" s="12" t="str">
        <f t="shared" si="117"/>
        <v/>
      </c>
      <c r="L685" s="6"/>
      <c r="M685" s="6"/>
      <c r="N685" s="6"/>
      <c r="O685" s="36"/>
      <c r="P685" s="24" t="str">
        <f t="shared" si="118"/>
        <v xml:space="preserve"> </v>
      </c>
      <c r="Q685" s="25" t="str">
        <f t="shared" si="119"/>
        <v xml:space="preserve"> </v>
      </c>
      <c r="R685" s="25" t="str">
        <f t="shared" si="120"/>
        <v xml:space="preserve"> </v>
      </c>
      <c r="S685" s="26" t="str">
        <f t="shared" si="121"/>
        <v xml:space="preserve"> </v>
      </c>
      <c r="T685" s="7" t="str">
        <f t="shared" si="122"/>
        <v xml:space="preserve"> </v>
      </c>
      <c r="U685" s="8" t="str">
        <f t="shared" si="123"/>
        <v xml:space="preserve"> </v>
      </c>
      <c r="V685" s="9" t="str">
        <f t="shared" si="104"/>
        <v xml:space="preserve"> </v>
      </c>
      <c r="W685" s="9" t="str">
        <f t="shared" si="124"/>
        <v/>
      </c>
      <c r="X685" s="32"/>
      <c r="Y685" s="36"/>
    </row>
    <row r="686" spans="1:25" s="4" customFormat="1" ht="18" customHeight="1">
      <c r="A686" s="36"/>
      <c r="B686" s="76"/>
      <c r="C686" s="69"/>
      <c r="D686" s="31"/>
      <c r="E686" s="29"/>
      <c r="F686" s="28"/>
      <c r="G686" s="29"/>
      <c r="H686" s="29"/>
      <c r="I686" s="30"/>
      <c r="J686" s="12" t="str">
        <f t="shared" si="116"/>
        <v/>
      </c>
      <c r="K686" s="12" t="str">
        <f t="shared" si="117"/>
        <v/>
      </c>
      <c r="L686" s="6"/>
      <c r="M686" s="6"/>
      <c r="N686" s="6"/>
      <c r="O686" s="36"/>
      <c r="P686" s="24" t="str">
        <f t="shared" si="118"/>
        <v xml:space="preserve"> </v>
      </c>
      <c r="Q686" s="25" t="str">
        <f t="shared" si="119"/>
        <v xml:space="preserve"> </v>
      </c>
      <c r="R686" s="25" t="str">
        <f t="shared" si="120"/>
        <v xml:space="preserve"> </v>
      </c>
      <c r="S686" s="26" t="str">
        <f t="shared" si="121"/>
        <v xml:space="preserve"> </v>
      </c>
      <c r="T686" s="7" t="str">
        <f t="shared" si="122"/>
        <v xml:space="preserve"> </v>
      </c>
      <c r="U686" s="8" t="str">
        <f t="shared" si="123"/>
        <v xml:space="preserve"> </v>
      </c>
      <c r="V686" s="9" t="str">
        <f t="shared" si="104"/>
        <v xml:space="preserve"> </v>
      </c>
      <c r="W686" s="9" t="str">
        <f t="shared" si="124"/>
        <v/>
      </c>
      <c r="X686" s="32"/>
      <c r="Y686" s="36"/>
    </row>
    <row r="687" spans="1:25" s="4" customFormat="1" ht="18" customHeight="1">
      <c r="A687" s="36"/>
      <c r="B687" s="76"/>
      <c r="C687" s="69"/>
      <c r="D687" s="31"/>
      <c r="E687" s="29"/>
      <c r="F687" s="28"/>
      <c r="G687" s="29"/>
      <c r="H687" s="29"/>
      <c r="I687" s="30"/>
      <c r="J687" s="12" t="str">
        <f t="shared" si="116"/>
        <v/>
      </c>
      <c r="K687" s="12" t="str">
        <f t="shared" si="117"/>
        <v/>
      </c>
      <c r="L687" s="6"/>
      <c r="M687" s="6"/>
      <c r="N687" s="6"/>
      <c r="O687" s="36"/>
      <c r="P687" s="24" t="str">
        <f t="shared" si="118"/>
        <v xml:space="preserve"> </v>
      </c>
      <c r="Q687" s="25" t="str">
        <f t="shared" si="119"/>
        <v xml:space="preserve"> </v>
      </c>
      <c r="R687" s="25" t="str">
        <f t="shared" si="120"/>
        <v xml:space="preserve"> </v>
      </c>
      <c r="S687" s="26" t="str">
        <f t="shared" si="121"/>
        <v xml:space="preserve"> </v>
      </c>
      <c r="T687" s="7" t="str">
        <f t="shared" si="122"/>
        <v xml:space="preserve"> </v>
      </c>
      <c r="U687" s="8" t="str">
        <f t="shared" si="123"/>
        <v xml:space="preserve"> </v>
      </c>
      <c r="V687" s="9" t="str">
        <f t="shared" si="104"/>
        <v xml:space="preserve"> </v>
      </c>
      <c r="W687" s="9" t="str">
        <f t="shared" si="124"/>
        <v/>
      </c>
      <c r="X687" s="32"/>
      <c r="Y687" s="36"/>
    </row>
    <row r="688" spans="1:25" s="4" customFormat="1" ht="18" customHeight="1">
      <c r="A688" s="36"/>
      <c r="B688" s="76"/>
      <c r="C688" s="69"/>
      <c r="D688" s="31"/>
      <c r="E688" s="29"/>
      <c r="F688" s="28"/>
      <c r="G688" s="29"/>
      <c r="H688" s="29"/>
      <c r="I688" s="30"/>
      <c r="J688" s="12" t="str">
        <f t="shared" si="116"/>
        <v/>
      </c>
      <c r="K688" s="12" t="str">
        <f t="shared" si="117"/>
        <v/>
      </c>
      <c r="L688" s="6"/>
      <c r="M688" s="6"/>
      <c r="N688" s="6"/>
      <c r="O688" s="36"/>
      <c r="P688" s="24" t="str">
        <f t="shared" si="118"/>
        <v xml:space="preserve"> </v>
      </c>
      <c r="Q688" s="25" t="str">
        <f t="shared" si="119"/>
        <v xml:space="preserve"> </v>
      </c>
      <c r="R688" s="25" t="str">
        <f t="shared" si="120"/>
        <v xml:space="preserve"> </v>
      </c>
      <c r="S688" s="26" t="str">
        <f t="shared" si="121"/>
        <v xml:space="preserve"> </v>
      </c>
      <c r="T688" s="7" t="str">
        <f t="shared" si="122"/>
        <v xml:space="preserve"> </v>
      </c>
      <c r="U688" s="8" t="str">
        <f t="shared" si="123"/>
        <v xml:space="preserve"> </v>
      </c>
      <c r="V688" s="9" t="str">
        <f t="shared" si="104"/>
        <v xml:space="preserve"> </v>
      </c>
      <c r="W688" s="9" t="str">
        <f t="shared" si="124"/>
        <v/>
      </c>
      <c r="X688" s="32"/>
      <c r="Y688" s="36"/>
    </row>
    <row r="689" spans="1:25" s="4" customFormat="1" ht="18" customHeight="1">
      <c r="A689" s="36"/>
      <c r="B689" s="76"/>
      <c r="C689" s="69"/>
      <c r="D689" s="31"/>
      <c r="E689" s="29"/>
      <c r="F689" s="28"/>
      <c r="G689" s="29"/>
      <c r="H689" s="29"/>
      <c r="I689" s="30"/>
      <c r="J689" s="12" t="str">
        <f t="shared" si="114"/>
        <v/>
      </c>
      <c r="K689" s="12" t="str">
        <f t="shared" si="115"/>
        <v/>
      </c>
      <c r="L689" s="6"/>
      <c r="M689" s="6"/>
      <c r="N689" s="6"/>
      <c r="O689" s="36"/>
      <c r="P689" s="24" t="str">
        <f t="shared" si="105"/>
        <v xml:space="preserve"> </v>
      </c>
      <c r="Q689" s="25" t="str">
        <f t="shared" si="106"/>
        <v xml:space="preserve"> </v>
      </c>
      <c r="R689" s="25" t="str">
        <f t="shared" si="107"/>
        <v xml:space="preserve"> </v>
      </c>
      <c r="S689" s="26" t="str">
        <f t="shared" si="108"/>
        <v xml:space="preserve"> </v>
      </c>
      <c r="T689" s="7" t="str">
        <f t="shared" si="109"/>
        <v xml:space="preserve"> </v>
      </c>
      <c r="U689" s="8" t="str">
        <f t="shared" si="110"/>
        <v xml:space="preserve"> </v>
      </c>
      <c r="V689" s="9" t="str">
        <f t="shared" si="104"/>
        <v xml:space="preserve"> </v>
      </c>
      <c r="W689" s="9" t="str">
        <f t="shared" si="111"/>
        <v/>
      </c>
      <c r="X689" s="32"/>
      <c r="Y689" s="36"/>
    </row>
    <row r="690" spans="1:25" s="4" customFormat="1" ht="18" customHeight="1">
      <c r="A690" s="36"/>
      <c r="B690" s="76"/>
      <c r="C690" s="69"/>
      <c r="D690" s="31"/>
      <c r="E690" s="29"/>
      <c r="F690" s="28"/>
      <c r="G690" s="29"/>
      <c r="H690" s="29"/>
      <c r="I690" s="30"/>
      <c r="J690" s="12" t="str">
        <f t="shared" si="114"/>
        <v/>
      </c>
      <c r="K690" s="12" t="str">
        <f t="shared" si="115"/>
        <v/>
      </c>
      <c r="L690" s="6"/>
      <c r="M690" s="6"/>
      <c r="N690" s="6"/>
      <c r="O690" s="36"/>
      <c r="P690" s="24" t="str">
        <f t="shared" si="105"/>
        <v xml:space="preserve"> </v>
      </c>
      <c r="Q690" s="25" t="str">
        <f t="shared" si="106"/>
        <v xml:space="preserve"> </v>
      </c>
      <c r="R690" s="25" t="str">
        <f t="shared" si="107"/>
        <v xml:space="preserve"> </v>
      </c>
      <c r="S690" s="26" t="str">
        <f t="shared" si="108"/>
        <v xml:space="preserve"> </v>
      </c>
      <c r="T690" s="7" t="str">
        <f t="shared" si="109"/>
        <v xml:space="preserve"> </v>
      </c>
      <c r="U690" s="8" t="str">
        <f t="shared" si="110"/>
        <v xml:space="preserve"> </v>
      </c>
      <c r="V690" s="9" t="str">
        <f t="shared" si="104"/>
        <v xml:space="preserve"> </v>
      </c>
      <c r="W690" s="9" t="str">
        <f t="shared" si="111"/>
        <v/>
      </c>
      <c r="X690" s="32"/>
      <c r="Y690" s="36"/>
    </row>
    <row r="691" spans="1:25" s="4" customFormat="1" ht="18" customHeight="1">
      <c r="A691" s="36"/>
      <c r="B691" s="76"/>
      <c r="C691" s="69"/>
      <c r="D691" s="31"/>
      <c r="E691" s="29"/>
      <c r="F691" s="28"/>
      <c r="G691" s="29"/>
      <c r="H691" s="29"/>
      <c r="I691" s="30"/>
      <c r="J691" s="12" t="str">
        <f t="shared" si="114"/>
        <v/>
      </c>
      <c r="K691" s="12" t="str">
        <f t="shared" si="115"/>
        <v/>
      </c>
      <c r="L691" s="6"/>
      <c r="M691" s="6"/>
      <c r="N691" s="6"/>
      <c r="O691" s="36"/>
      <c r="P691" s="24" t="str">
        <f t="shared" si="105"/>
        <v xml:space="preserve"> </v>
      </c>
      <c r="Q691" s="25" t="str">
        <f t="shared" si="106"/>
        <v xml:space="preserve"> </v>
      </c>
      <c r="R691" s="25" t="str">
        <f t="shared" si="107"/>
        <v xml:space="preserve"> </v>
      </c>
      <c r="S691" s="26" t="str">
        <f t="shared" si="108"/>
        <v xml:space="preserve"> </v>
      </c>
      <c r="T691" s="7" t="str">
        <f t="shared" si="109"/>
        <v xml:space="preserve"> </v>
      </c>
      <c r="U691" s="8" t="str">
        <f t="shared" si="110"/>
        <v xml:space="preserve"> </v>
      </c>
      <c r="V691" s="9" t="str">
        <f t="shared" si="104"/>
        <v xml:space="preserve"> </v>
      </c>
      <c r="W691" s="9" t="str">
        <f t="shared" si="111"/>
        <v/>
      </c>
      <c r="X691" s="32"/>
      <c r="Y691" s="36"/>
    </row>
    <row r="692" spans="1:25" s="4" customFormat="1" ht="18" customHeight="1">
      <c r="A692" s="37"/>
      <c r="B692" s="76"/>
      <c r="C692" s="69"/>
      <c r="D692" s="31"/>
      <c r="E692" s="29"/>
      <c r="F692" s="28"/>
      <c r="G692" s="29"/>
      <c r="H692" s="29"/>
      <c r="I692" s="30"/>
      <c r="J692" s="12" t="str">
        <f t="shared" si="114"/>
        <v/>
      </c>
      <c r="K692" s="12" t="str">
        <f t="shared" si="115"/>
        <v/>
      </c>
      <c r="L692" s="6"/>
      <c r="M692" s="6"/>
      <c r="N692" s="6"/>
      <c r="O692" s="37"/>
      <c r="P692" s="24" t="str">
        <f t="shared" si="105"/>
        <v xml:space="preserve"> </v>
      </c>
      <c r="Q692" s="25" t="str">
        <f t="shared" si="106"/>
        <v xml:space="preserve"> </v>
      </c>
      <c r="R692" s="25" t="str">
        <f t="shared" si="107"/>
        <v xml:space="preserve"> </v>
      </c>
      <c r="S692" s="26" t="str">
        <f t="shared" si="108"/>
        <v xml:space="preserve"> </v>
      </c>
      <c r="T692" s="7" t="str">
        <f t="shared" si="109"/>
        <v xml:space="preserve"> </v>
      </c>
      <c r="U692" s="8" t="str">
        <f t="shared" si="110"/>
        <v xml:space="preserve"> </v>
      </c>
      <c r="V692" s="9" t="str">
        <f t="shared" si="104"/>
        <v xml:space="preserve"> </v>
      </c>
      <c r="W692" s="9" t="str">
        <f t="shared" si="111"/>
        <v/>
      </c>
      <c r="X692" s="32"/>
      <c r="Y692" s="37"/>
    </row>
  </sheetData>
  <autoFilter ref="A8:Y692" xr:uid="{00000000-0009-0000-0000-000000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3" showButton="0"/>
  </autoFilter>
  <mergeCells count="30">
    <mergeCell ref="V2:W2"/>
    <mergeCell ref="A8:K8"/>
    <mergeCell ref="A1:X1"/>
    <mergeCell ref="S4:U4"/>
    <mergeCell ref="L8:R8"/>
    <mergeCell ref="S8:W8"/>
    <mergeCell ref="E4:I4"/>
    <mergeCell ref="E5:I5"/>
    <mergeCell ref="E6:I6"/>
    <mergeCell ref="N4:R4"/>
    <mergeCell ref="N5:R5"/>
    <mergeCell ref="N6:R6"/>
    <mergeCell ref="L4:M4"/>
    <mergeCell ref="L5:M5"/>
    <mergeCell ref="L6:M6"/>
    <mergeCell ref="B6:D6"/>
    <mergeCell ref="S9:S10"/>
    <mergeCell ref="V4:Y4"/>
    <mergeCell ref="X8:Y8"/>
    <mergeCell ref="J9:J10"/>
    <mergeCell ref="K9:K10"/>
    <mergeCell ref="S5:U5"/>
    <mergeCell ref="V5:Y5"/>
    <mergeCell ref="S6:U6"/>
    <mergeCell ref="V6:Y6"/>
    <mergeCell ref="B5:D5"/>
    <mergeCell ref="B4:D4"/>
    <mergeCell ref="I9:I10"/>
    <mergeCell ref="L9:N9"/>
    <mergeCell ref="P9:R9"/>
  </mergeCells>
  <phoneticPr fontId="11" type="noConversion"/>
  <conditionalFormatting sqref="L19:N692">
    <cfRule type="containsBlanks" dxfId="918" priority="970">
      <formula>LEN(TRIM(L19))=0</formula>
    </cfRule>
  </conditionalFormatting>
  <conditionalFormatting sqref="T19:U692">
    <cfRule type="cellIs" dxfId="917" priority="969" operator="greaterThanOrEqual">
      <formula>1</formula>
    </cfRule>
  </conditionalFormatting>
  <conditionalFormatting sqref="S19:S692 L19:N692">
    <cfRule type="expression" dxfId="916" priority="971">
      <formula>AND($K19&lt;&gt;"",L19&lt;$K19)</formula>
    </cfRule>
    <cfRule type="expression" dxfId="915" priority="972">
      <formula>AND($J19&lt;&gt;"",L19&gt;$J19)</formula>
    </cfRule>
    <cfRule type="notContainsBlanks" dxfId="914" priority="973">
      <formula>LEN(TRIM(L19))&gt;0</formula>
    </cfRule>
  </conditionalFormatting>
  <conditionalFormatting sqref="S19:U692">
    <cfRule type="containsBlanks" dxfId="913" priority="968">
      <formula>LEN(TRIM(S19))=0</formula>
    </cfRule>
  </conditionalFormatting>
  <conditionalFormatting sqref="V19:W692">
    <cfRule type="containsText" dxfId="912" priority="966" operator="containsText" text="Alert">
      <formula>NOT(ISERROR(SEARCH("Alert",V19)))</formula>
    </cfRule>
    <cfRule type="containsText" dxfId="911" priority="967" operator="containsText" text="Reject">
      <formula>NOT(ISERROR(SEARCH("Reject",V19)))</formula>
    </cfRule>
  </conditionalFormatting>
  <conditionalFormatting sqref="F29 F33:F38 F44 F46 F50 F54:F60 F63 F67:F70 F21 F23 F83:F85 F87:F88 F73:F81 F91:F98 F25:F27 F100:F568 F572:F692 F11:F19">
    <cfRule type="expression" dxfId="910" priority="963">
      <formula>AND($E11&lt;&gt;"Tolerance",$F11&lt;&gt;"")</formula>
    </cfRule>
    <cfRule type="expression" dxfId="909" priority="964">
      <formula>AND(OR($E11="GD&amp;T",$E11="MAX",$E11="MIN"),$F11="")</formula>
    </cfRule>
    <cfRule type="containsBlanks" dxfId="908" priority="965">
      <formula>LEN(TRIM(F11))=0</formula>
    </cfRule>
  </conditionalFormatting>
  <conditionalFormatting sqref="G38 G81 G77:G78 G87:G88 G92:G98 H550:H552 G101:G568 G572:G692 G11:G18">
    <cfRule type="expression" dxfId="907" priority="960">
      <formula>AND($E11="MIN",$G11&lt;&gt;"")</formula>
    </cfRule>
    <cfRule type="expression" dxfId="906" priority="961">
      <formula>AND($E11="MIN",$G11="")</formula>
    </cfRule>
    <cfRule type="containsBlanks" dxfId="905" priority="962">
      <formula>LEN(TRIM(G11))=0</formula>
    </cfRule>
  </conditionalFormatting>
  <conditionalFormatting sqref="H38 H81 H77:H78 H87:H88 H92:H98 H101:H549 H553:H568 H572:H692 H11:H18">
    <cfRule type="expression" dxfId="904" priority="957">
      <formula>AND(OR($E11="GD&amp;T",$E11="MAX"),$H11&lt;&gt;"")</formula>
    </cfRule>
    <cfRule type="expression" dxfId="903" priority="958">
      <formula>AND(OR($E11="GD&amp;T",$E11="MAX"),$H11="")</formula>
    </cfRule>
    <cfRule type="containsBlanks" dxfId="902" priority="959">
      <formula>LEN(TRIM(H11))=0</formula>
    </cfRule>
  </conditionalFormatting>
  <conditionalFormatting sqref="G19">
    <cfRule type="expression" dxfId="901" priority="739">
      <formula>AND($E19="MIN",$G19&lt;&gt;"")</formula>
    </cfRule>
    <cfRule type="expression" dxfId="900" priority="740">
      <formula>AND($E19="MIN",$G19="")</formula>
    </cfRule>
    <cfRule type="containsBlanks" dxfId="899" priority="741">
      <formula>LEN(TRIM(G19))=0</formula>
    </cfRule>
  </conditionalFormatting>
  <conditionalFormatting sqref="H19">
    <cfRule type="expression" dxfId="898" priority="736">
      <formula>AND(OR($E19="GD&amp;T",$E19="MAX"),$H19&lt;&gt;"")</formula>
    </cfRule>
    <cfRule type="expression" dxfId="897" priority="737">
      <formula>AND(OR($E19="GD&amp;T",$E19="MAX"),$H19="")</formula>
    </cfRule>
    <cfRule type="containsBlanks" dxfId="896" priority="738">
      <formula>LEN(TRIM(H19))=0</formula>
    </cfRule>
  </conditionalFormatting>
  <conditionalFormatting sqref="G21">
    <cfRule type="expression" dxfId="895" priority="733">
      <formula>AND($E21="MIN",$G21&lt;&gt;"")</formula>
    </cfRule>
    <cfRule type="expression" dxfId="894" priority="734">
      <formula>AND($E21="MIN",$G21="")</formula>
    </cfRule>
    <cfRule type="containsBlanks" dxfId="893" priority="735">
      <formula>LEN(TRIM(G21))=0</formula>
    </cfRule>
  </conditionalFormatting>
  <conditionalFormatting sqref="H21">
    <cfRule type="expression" dxfId="892" priority="730">
      <formula>AND(OR($E21="GD&amp;T",$E21="MAX"),$H21&lt;&gt;"")</formula>
    </cfRule>
    <cfRule type="expression" dxfId="891" priority="731">
      <formula>AND(OR($E21="GD&amp;T",$E21="MAX"),$H21="")</formula>
    </cfRule>
    <cfRule type="containsBlanks" dxfId="890" priority="732">
      <formula>LEN(TRIM(H21))=0</formula>
    </cfRule>
  </conditionalFormatting>
  <conditionalFormatting sqref="G23">
    <cfRule type="expression" dxfId="889" priority="727">
      <formula>AND($E23="MIN",$G23&lt;&gt;"")</formula>
    </cfRule>
    <cfRule type="expression" dxfId="888" priority="728">
      <formula>AND($E23="MIN",$G23="")</formula>
    </cfRule>
    <cfRule type="containsBlanks" dxfId="887" priority="729">
      <formula>LEN(TRIM(G23))=0</formula>
    </cfRule>
  </conditionalFormatting>
  <conditionalFormatting sqref="H23">
    <cfRule type="expression" dxfId="886" priority="724">
      <formula>AND(OR($E23="GD&amp;T",$E23="MAX"),$H23&lt;&gt;"")</formula>
    </cfRule>
    <cfRule type="expression" dxfId="885" priority="725">
      <formula>AND(OR($E23="GD&amp;T",$E23="MAX"),$H23="")</formula>
    </cfRule>
    <cfRule type="containsBlanks" dxfId="884" priority="726">
      <formula>LEN(TRIM(H23))=0</formula>
    </cfRule>
  </conditionalFormatting>
  <conditionalFormatting sqref="G25:G26">
    <cfRule type="expression" dxfId="883" priority="700">
      <formula>AND($E25="MIN",$G25&lt;&gt;"")</formula>
    </cfRule>
    <cfRule type="expression" dxfId="882" priority="701">
      <formula>AND($E25="MIN",$G25="")</formula>
    </cfRule>
    <cfRule type="containsBlanks" dxfId="881" priority="702">
      <formula>LEN(TRIM(G25))=0</formula>
    </cfRule>
  </conditionalFormatting>
  <conditionalFormatting sqref="H25:H26">
    <cfRule type="expression" dxfId="880" priority="697">
      <formula>AND(OR($E25="GD&amp;T",$E25="MAX"),$H25&lt;&gt;"")</formula>
    </cfRule>
    <cfRule type="expression" dxfId="879" priority="698">
      <formula>AND(OR($E25="GD&amp;T",$E25="MAX"),$H25="")</formula>
    </cfRule>
    <cfRule type="containsBlanks" dxfId="878" priority="699">
      <formula>LEN(TRIM(H25))=0</formula>
    </cfRule>
  </conditionalFormatting>
  <conditionalFormatting sqref="G27">
    <cfRule type="expression" dxfId="877" priority="694">
      <formula>AND($E27="MIN",$G27&lt;&gt;"")</formula>
    </cfRule>
    <cfRule type="expression" dxfId="876" priority="695">
      <formula>AND($E27="MIN",$G27="")</formula>
    </cfRule>
    <cfRule type="containsBlanks" dxfId="875" priority="696">
      <formula>LEN(TRIM(G27))=0</formula>
    </cfRule>
  </conditionalFormatting>
  <conditionalFormatting sqref="H27">
    <cfRule type="expression" dxfId="874" priority="691">
      <formula>AND(OR($E27="GD&amp;T",$E27="MAX"),$H27&lt;&gt;"")</formula>
    </cfRule>
    <cfRule type="expression" dxfId="873" priority="692">
      <formula>AND(OR($E27="GD&amp;T",$E27="MAX"),$H27="")</formula>
    </cfRule>
    <cfRule type="containsBlanks" dxfId="872" priority="693">
      <formula>LEN(TRIM(H27))=0</formula>
    </cfRule>
  </conditionalFormatting>
  <conditionalFormatting sqref="F28">
    <cfRule type="expression" dxfId="871" priority="688">
      <formula>AND($E28&lt;&gt;"Tolerance",$F28&lt;&gt;"")</formula>
    </cfRule>
    <cfRule type="expression" dxfId="870" priority="689">
      <formula>AND(OR($E28="GD&amp;T",$E28="MAX",$E28="MIN"),$F28="")</formula>
    </cfRule>
    <cfRule type="containsBlanks" dxfId="869" priority="690">
      <formula>LEN(TRIM(F28))=0</formula>
    </cfRule>
  </conditionalFormatting>
  <conditionalFormatting sqref="G28">
    <cfRule type="expression" dxfId="868" priority="685">
      <formula>AND($E28="MIN",$G28&lt;&gt;"")</formula>
    </cfRule>
    <cfRule type="expression" dxfId="867" priority="686">
      <formula>AND($E28="MIN",$G28="")</formula>
    </cfRule>
    <cfRule type="containsBlanks" dxfId="866" priority="687">
      <formula>LEN(TRIM(G28))=0</formula>
    </cfRule>
  </conditionalFormatting>
  <conditionalFormatting sqref="H28">
    <cfRule type="expression" dxfId="865" priority="682">
      <formula>AND(OR($E28="GD&amp;T",$E28="MAX"),$H28&lt;&gt;"")</formula>
    </cfRule>
    <cfRule type="expression" dxfId="864" priority="683">
      <formula>AND(OR($E28="GD&amp;T",$E28="MAX"),$H28="")</formula>
    </cfRule>
    <cfRule type="containsBlanks" dxfId="863" priority="684">
      <formula>LEN(TRIM(H28))=0</formula>
    </cfRule>
  </conditionalFormatting>
  <conditionalFormatting sqref="G29">
    <cfRule type="expression" dxfId="862" priority="679">
      <formula>AND($E29="MIN",$G29&lt;&gt;"")</formula>
    </cfRule>
    <cfRule type="expression" dxfId="861" priority="680">
      <formula>AND($E29="MIN",$G29="")</formula>
    </cfRule>
    <cfRule type="containsBlanks" dxfId="860" priority="681">
      <formula>LEN(TRIM(G29))=0</formula>
    </cfRule>
  </conditionalFormatting>
  <conditionalFormatting sqref="H29">
    <cfRule type="expression" dxfId="859" priority="676">
      <formula>AND(OR($E29="GD&amp;T",$E29="MAX"),$H29&lt;&gt;"")</formula>
    </cfRule>
    <cfRule type="expression" dxfId="858" priority="677">
      <formula>AND(OR($E29="GD&amp;T",$E29="MAX"),$H29="")</formula>
    </cfRule>
    <cfRule type="containsBlanks" dxfId="857" priority="678">
      <formula>LEN(TRIM(H29))=0</formula>
    </cfRule>
  </conditionalFormatting>
  <conditionalFormatting sqref="F30:F32">
    <cfRule type="expression" dxfId="856" priority="673">
      <formula>AND($E30&lt;&gt;"Tolerance",$F30&lt;&gt;"")</formula>
    </cfRule>
    <cfRule type="expression" dxfId="855" priority="674">
      <formula>AND(OR($E30="GD&amp;T",$E30="MAX",$E30="MIN"),$F30="")</formula>
    </cfRule>
    <cfRule type="containsBlanks" dxfId="854" priority="675">
      <formula>LEN(TRIM(F30))=0</formula>
    </cfRule>
  </conditionalFormatting>
  <conditionalFormatting sqref="G30:G32">
    <cfRule type="expression" dxfId="853" priority="670">
      <formula>AND($E30="MIN",$G30&lt;&gt;"")</formula>
    </cfRule>
    <cfRule type="expression" dxfId="852" priority="671">
      <formula>AND($E30="MIN",$G30="")</formula>
    </cfRule>
    <cfRule type="containsBlanks" dxfId="851" priority="672">
      <formula>LEN(TRIM(G30))=0</formula>
    </cfRule>
  </conditionalFormatting>
  <conditionalFormatting sqref="H30:H32">
    <cfRule type="expression" dxfId="850" priority="667">
      <formula>AND(OR($E30="GD&amp;T",$E30="MAX"),$H30&lt;&gt;"")</formula>
    </cfRule>
    <cfRule type="expression" dxfId="849" priority="668">
      <formula>AND(OR($E30="GD&amp;T",$E30="MAX"),$H30="")</formula>
    </cfRule>
    <cfRule type="containsBlanks" dxfId="848" priority="669">
      <formula>LEN(TRIM(H30))=0</formula>
    </cfRule>
  </conditionalFormatting>
  <conditionalFormatting sqref="G33">
    <cfRule type="expression" dxfId="847" priority="664">
      <formula>AND($E33="MIN",$G33&lt;&gt;"")</formula>
    </cfRule>
    <cfRule type="expression" dxfId="846" priority="665">
      <formula>AND($E33="MIN",$G33="")</formula>
    </cfRule>
    <cfRule type="containsBlanks" dxfId="845" priority="666">
      <formula>LEN(TRIM(G33))=0</formula>
    </cfRule>
  </conditionalFormatting>
  <conditionalFormatting sqref="H33">
    <cfRule type="expression" dxfId="844" priority="661">
      <formula>AND(OR($E33="GD&amp;T",$E33="MAX"),$H33&lt;&gt;"")</formula>
    </cfRule>
    <cfRule type="expression" dxfId="843" priority="662">
      <formula>AND(OR($E33="GD&amp;T",$E33="MAX"),$H33="")</formula>
    </cfRule>
    <cfRule type="containsBlanks" dxfId="842" priority="663">
      <formula>LEN(TRIM(H33))=0</formula>
    </cfRule>
  </conditionalFormatting>
  <conditionalFormatting sqref="G34">
    <cfRule type="expression" dxfId="841" priority="658">
      <formula>AND($E34="MIN",$G34&lt;&gt;"")</formula>
    </cfRule>
    <cfRule type="expression" dxfId="840" priority="659">
      <formula>AND($E34="MIN",$G34="")</formula>
    </cfRule>
    <cfRule type="containsBlanks" dxfId="839" priority="660">
      <formula>LEN(TRIM(G34))=0</formula>
    </cfRule>
  </conditionalFormatting>
  <conditionalFormatting sqref="H34">
    <cfRule type="expression" dxfId="838" priority="655">
      <formula>AND(OR($E34="GD&amp;T",$E34="MAX"),$H34&lt;&gt;"")</formula>
    </cfRule>
    <cfRule type="expression" dxfId="837" priority="656">
      <formula>AND(OR($E34="GD&amp;T",$E34="MAX"),$H34="")</formula>
    </cfRule>
    <cfRule type="containsBlanks" dxfId="836" priority="657">
      <formula>LEN(TRIM(H34))=0</formula>
    </cfRule>
  </conditionalFormatting>
  <conditionalFormatting sqref="G35">
    <cfRule type="expression" dxfId="835" priority="652">
      <formula>AND($E35="MIN",$G35&lt;&gt;"")</formula>
    </cfRule>
    <cfRule type="expression" dxfId="834" priority="653">
      <formula>AND($E35="MIN",$G35="")</formula>
    </cfRule>
    <cfRule type="containsBlanks" dxfId="833" priority="654">
      <formula>LEN(TRIM(G35))=0</formula>
    </cfRule>
  </conditionalFormatting>
  <conditionalFormatting sqref="H35">
    <cfRule type="expression" dxfId="832" priority="649">
      <formula>AND(OR($E35="GD&amp;T",$E35="MAX"),$H35&lt;&gt;"")</formula>
    </cfRule>
    <cfRule type="expression" dxfId="831" priority="650">
      <formula>AND(OR($E35="GD&amp;T",$E35="MAX"),$H35="")</formula>
    </cfRule>
    <cfRule type="containsBlanks" dxfId="830" priority="651">
      <formula>LEN(TRIM(H35))=0</formula>
    </cfRule>
  </conditionalFormatting>
  <conditionalFormatting sqref="G36">
    <cfRule type="expression" dxfId="829" priority="646">
      <formula>AND($E36="MIN",$G36&lt;&gt;"")</formula>
    </cfRule>
    <cfRule type="expression" dxfId="828" priority="647">
      <formula>AND($E36="MIN",$G36="")</formula>
    </cfRule>
    <cfRule type="containsBlanks" dxfId="827" priority="648">
      <formula>LEN(TRIM(G36))=0</formula>
    </cfRule>
  </conditionalFormatting>
  <conditionalFormatting sqref="H36">
    <cfRule type="expression" dxfId="826" priority="643">
      <formula>AND(OR($E36="GD&amp;T",$E36="MAX"),$H36&lt;&gt;"")</formula>
    </cfRule>
    <cfRule type="expression" dxfId="825" priority="644">
      <formula>AND(OR($E36="GD&amp;T",$E36="MAX"),$H36="")</formula>
    </cfRule>
    <cfRule type="containsBlanks" dxfId="824" priority="645">
      <formula>LEN(TRIM(H36))=0</formula>
    </cfRule>
  </conditionalFormatting>
  <conditionalFormatting sqref="G37">
    <cfRule type="expression" dxfId="823" priority="640">
      <formula>AND($E37="MIN",$G37&lt;&gt;"")</formula>
    </cfRule>
    <cfRule type="expression" dxfId="822" priority="641">
      <formula>AND($E37="MIN",$G37="")</formula>
    </cfRule>
    <cfRule type="containsBlanks" dxfId="821" priority="642">
      <formula>LEN(TRIM(G37))=0</formula>
    </cfRule>
  </conditionalFormatting>
  <conditionalFormatting sqref="H37">
    <cfRule type="expression" dxfId="820" priority="637">
      <formula>AND(OR($E37="GD&amp;T",$E37="MAX"),$H37&lt;&gt;"")</formula>
    </cfRule>
    <cfRule type="expression" dxfId="819" priority="638">
      <formula>AND(OR($E37="GD&amp;T",$E37="MAX"),$H37="")</formula>
    </cfRule>
    <cfRule type="containsBlanks" dxfId="818" priority="639">
      <formula>LEN(TRIM(H37))=0</formula>
    </cfRule>
  </conditionalFormatting>
  <conditionalFormatting sqref="F39:F43">
    <cfRule type="expression" dxfId="817" priority="634">
      <formula>AND($E39&lt;&gt;"Tolerance",$F39&lt;&gt;"")</formula>
    </cfRule>
    <cfRule type="expression" dxfId="816" priority="635">
      <formula>AND(OR($E39="GD&amp;T",$E39="MAX",$E39="MIN"),$F39="")</formula>
    </cfRule>
    <cfRule type="containsBlanks" dxfId="815" priority="636">
      <formula>LEN(TRIM(F39))=0</formula>
    </cfRule>
  </conditionalFormatting>
  <conditionalFormatting sqref="G39:G43">
    <cfRule type="expression" dxfId="814" priority="631">
      <formula>AND($E39="MIN",$G39&lt;&gt;"")</formula>
    </cfRule>
    <cfRule type="expression" dxfId="813" priority="632">
      <formula>AND($E39="MIN",$G39="")</formula>
    </cfRule>
    <cfRule type="containsBlanks" dxfId="812" priority="633">
      <formula>LEN(TRIM(G39))=0</formula>
    </cfRule>
  </conditionalFormatting>
  <conditionalFormatting sqref="H39:H43">
    <cfRule type="expression" dxfId="811" priority="628">
      <formula>AND(OR($E39="GD&amp;T",$E39="MAX"),$H39&lt;&gt;"")</formula>
    </cfRule>
    <cfRule type="expression" dxfId="810" priority="629">
      <formula>AND(OR($E39="GD&amp;T",$E39="MAX"),$H39="")</formula>
    </cfRule>
    <cfRule type="containsBlanks" dxfId="809" priority="630">
      <formula>LEN(TRIM(H39))=0</formula>
    </cfRule>
  </conditionalFormatting>
  <conditionalFormatting sqref="G44">
    <cfRule type="expression" dxfId="808" priority="625">
      <formula>AND($E44="MIN",$G44&lt;&gt;"")</formula>
    </cfRule>
    <cfRule type="expression" dxfId="807" priority="626">
      <formula>AND($E44="MIN",$G44="")</formula>
    </cfRule>
    <cfRule type="containsBlanks" dxfId="806" priority="627">
      <formula>LEN(TRIM(G44))=0</formula>
    </cfRule>
  </conditionalFormatting>
  <conditionalFormatting sqref="H44">
    <cfRule type="expression" dxfId="805" priority="622">
      <formula>AND(OR($E44="GD&amp;T",$E44="MAX"),$H44&lt;&gt;"")</formula>
    </cfRule>
    <cfRule type="expression" dxfId="804" priority="623">
      <formula>AND(OR($E44="GD&amp;T",$E44="MAX"),$H44="")</formula>
    </cfRule>
    <cfRule type="containsBlanks" dxfId="803" priority="624">
      <formula>LEN(TRIM(H44))=0</formula>
    </cfRule>
  </conditionalFormatting>
  <conditionalFormatting sqref="F45">
    <cfRule type="expression" dxfId="802" priority="619">
      <formula>AND($E45&lt;&gt;"Tolerance",$F45&lt;&gt;"")</formula>
    </cfRule>
    <cfRule type="expression" dxfId="801" priority="620">
      <formula>AND(OR($E45="GD&amp;T",$E45="MAX",$E45="MIN"),$F45="")</formula>
    </cfRule>
    <cfRule type="containsBlanks" dxfId="800" priority="621">
      <formula>LEN(TRIM(F45))=0</formula>
    </cfRule>
  </conditionalFormatting>
  <conditionalFormatting sqref="G45">
    <cfRule type="expression" dxfId="799" priority="616">
      <formula>AND($E45="MIN",$G45&lt;&gt;"")</formula>
    </cfRule>
    <cfRule type="expression" dxfId="798" priority="617">
      <formula>AND($E45="MIN",$G45="")</formula>
    </cfRule>
    <cfRule type="containsBlanks" dxfId="797" priority="618">
      <formula>LEN(TRIM(G45))=0</formula>
    </cfRule>
  </conditionalFormatting>
  <conditionalFormatting sqref="H45">
    <cfRule type="expression" dxfId="796" priority="613">
      <formula>AND(OR($E45="GD&amp;T",$E45="MAX"),$H45&lt;&gt;"")</formula>
    </cfRule>
    <cfRule type="expression" dxfId="795" priority="614">
      <formula>AND(OR($E45="GD&amp;T",$E45="MAX"),$H45="")</formula>
    </cfRule>
    <cfRule type="containsBlanks" dxfId="794" priority="615">
      <formula>LEN(TRIM(H45))=0</formula>
    </cfRule>
  </conditionalFormatting>
  <conditionalFormatting sqref="G46">
    <cfRule type="expression" dxfId="793" priority="610">
      <formula>AND($E46="MIN",$G46&lt;&gt;"")</formula>
    </cfRule>
    <cfRule type="expression" dxfId="792" priority="611">
      <formula>AND($E46="MIN",$G46="")</formula>
    </cfRule>
    <cfRule type="containsBlanks" dxfId="791" priority="612">
      <formula>LEN(TRIM(G46))=0</formula>
    </cfRule>
  </conditionalFormatting>
  <conditionalFormatting sqref="H46">
    <cfRule type="expression" dxfId="790" priority="607">
      <formula>AND(OR($E46="GD&amp;T",$E46="MAX"),$H46&lt;&gt;"")</formula>
    </cfRule>
    <cfRule type="expression" dxfId="789" priority="608">
      <formula>AND(OR($E46="GD&amp;T",$E46="MAX"),$H46="")</formula>
    </cfRule>
    <cfRule type="containsBlanks" dxfId="788" priority="609">
      <formula>LEN(TRIM(H46))=0</formula>
    </cfRule>
  </conditionalFormatting>
  <conditionalFormatting sqref="F47:F49">
    <cfRule type="expression" dxfId="787" priority="604">
      <formula>AND($E47&lt;&gt;"Tolerance",$F47&lt;&gt;"")</formula>
    </cfRule>
    <cfRule type="expression" dxfId="786" priority="605">
      <formula>AND(OR($E47="GD&amp;T",$E47="MAX",$E47="MIN"),$F47="")</formula>
    </cfRule>
    <cfRule type="containsBlanks" dxfId="785" priority="606">
      <formula>LEN(TRIM(F47))=0</formula>
    </cfRule>
  </conditionalFormatting>
  <conditionalFormatting sqref="G47:G49">
    <cfRule type="expression" dxfId="784" priority="601">
      <formula>AND($E47="MIN",$G47&lt;&gt;"")</formula>
    </cfRule>
    <cfRule type="expression" dxfId="783" priority="602">
      <formula>AND($E47="MIN",$G47="")</formula>
    </cfRule>
    <cfRule type="containsBlanks" dxfId="782" priority="603">
      <formula>LEN(TRIM(G47))=0</formula>
    </cfRule>
  </conditionalFormatting>
  <conditionalFormatting sqref="H47:H49">
    <cfRule type="expression" dxfId="781" priority="598">
      <formula>AND(OR($E47="GD&amp;T",$E47="MAX"),$H47&lt;&gt;"")</formula>
    </cfRule>
    <cfRule type="expression" dxfId="780" priority="599">
      <formula>AND(OR($E47="GD&amp;T",$E47="MAX"),$H47="")</formula>
    </cfRule>
    <cfRule type="containsBlanks" dxfId="779" priority="600">
      <formula>LEN(TRIM(H47))=0</formula>
    </cfRule>
  </conditionalFormatting>
  <conditionalFormatting sqref="G50">
    <cfRule type="expression" dxfId="778" priority="595">
      <formula>AND($E50="MIN",$G50&lt;&gt;"")</formula>
    </cfRule>
    <cfRule type="expression" dxfId="777" priority="596">
      <formula>AND($E50="MIN",$G50="")</formula>
    </cfRule>
    <cfRule type="containsBlanks" dxfId="776" priority="597">
      <formula>LEN(TRIM(G50))=0</formula>
    </cfRule>
  </conditionalFormatting>
  <conditionalFormatting sqref="H50">
    <cfRule type="expression" dxfId="775" priority="592">
      <formula>AND(OR($E50="GD&amp;T",$E50="MAX"),$H50&lt;&gt;"")</formula>
    </cfRule>
    <cfRule type="expression" dxfId="774" priority="593">
      <formula>AND(OR($E50="GD&amp;T",$E50="MAX"),$H50="")</formula>
    </cfRule>
    <cfRule type="containsBlanks" dxfId="773" priority="594">
      <formula>LEN(TRIM(H50))=0</formula>
    </cfRule>
  </conditionalFormatting>
  <conditionalFormatting sqref="F51:F53">
    <cfRule type="expression" dxfId="772" priority="589">
      <formula>AND($E51&lt;&gt;"Tolerance",$F51&lt;&gt;"")</formula>
    </cfRule>
    <cfRule type="expression" dxfId="771" priority="590">
      <formula>AND(OR($E51="GD&amp;T",$E51="MAX",$E51="MIN"),$F51="")</formula>
    </cfRule>
    <cfRule type="containsBlanks" dxfId="770" priority="591">
      <formula>LEN(TRIM(F51))=0</formula>
    </cfRule>
  </conditionalFormatting>
  <conditionalFormatting sqref="G51:G53">
    <cfRule type="expression" dxfId="769" priority="586">
      <formula>AND($E51="MIN",$G51&lt;&gt;"")</formula>
    </cfRule>
    <cfRule type="expression" dxfId="768" priority="587">
      <formula>AND($E51="MIN",$G51="")</formula>
    </cfRule>
    <cfRule type="containsBlanks" dxfId="767" priority="588">
      <formula>LEN(TRIM(G51))=0</formula>
    </cfRule>
  </conditionalFormatting>
  <conditionalFormatting sqref="H51:H53">
    <cfRule type="expression" dxfId="766" priority="583">
      <formula>AND(OR($E51="GD&amp;T",$E51="MAX"),$H51&lt;&gt;"")</formula>
    </cfRule>
    <cfRule type="expression" dxfId="765" priority="584">
      <formula>AND(OR($E51="GD&amp;T",$E51="MAX"),$H51="")</formula>
    </cfRule>
    <cfRule type="containsBlanks" dxfId="764" priority="585">
      <formula>LEN(TRIM(H51))=0</formula>
    </cfRule>
  </conditionalFormatting>
  <conditionalFormatting sqref="G54">
    <cfRule type="expression" dxfId="763" priority="580">
      <formula>AND($E54="MIN",$G54&lt;&gt;"")</formula>
    </cfRule>
    <cfRule type="expression" dxfId="762" priority="581">
      <formula>AND($E54="MIN",$G54="")</formula>
    </cfRule>
    <cfRule type="containsBlanks" dxfId="761" priority="582">
      <formula>LEN(TRIM(G54))=0</formula>
    </cfRule>
  </conditionalFormatting>
  <conditionalFormatting sqref="H54">
    <cfRule type="expression" dxfId="760" priority="577">
      <formula>AND(OR($E54="GD&amp;T",$E54="MAX"),$H54&lt;&gt;"")</formula>
    </cfRule>
    <cfRule type="expression" dxfId="759" priority="578">
      <formula>AND(OR($E54="GD&amp;T",$E54="MAX"),$H54="")</formula>
    </cfRule>
    <cfRule type="containsBlanks" dxfId="758" priority="579">
      <formula>LEN(TRIM(H54))=0</formula>
    </cfRule>
  </conditionalFormatting>
  <conditionalFormatting sqref="G55:G56">
    <cfRule type="expression" dxfId="757" priority="574">
      <formula>AND($E55="MIN",$G55&lt;&gt;"")</formula>
    </cfRule>
    <cfRule type="expression" dxfId="756" priority="575">
      <formula>AND($E55="MIN",$G55="")</formula>
    </cfRule>
    <cfRule type="containsBlanks" dxfId="755" priority="576">
      <formula>LEN(TRIM(G55))=0</formula>
    </cfRule>
  </conditionalFormatting>
  <conditionalFormatting sqref="H55:H56">
    <cfRule type="expression" dxfId="754" priority="571">
      <formula>AND(OR($E55="GD&amp;T",$E55="MAX"),$H55&lt;&gt;"")</formula>
    </cfRule>
    <cfRule type="expression" dxfId="753" priority="572">
      <formula>AND(OR($E55="GD&amp;T",$E55="MAX"),$H55="")</formula>
    </cfRule>
    <cfRule type="containsBlanks" dxfId="752" priority="573">
      <formula>LEN(TRIM(H55))=0</formula>
    </cfRule>
  </conditionalFormatting>
  <conditionalFormatting sqref="G57">
    <cfRule type="expression" dxfId="751" priority="568">
      <formula>AND($E57="MIN",$G57&lt;&gt;"")</formula>
    </cfRule>
    <cfRule type="expression" dxfId="750" priority="569">
      <formula>AND($E57="MIN",$G57="")</formula>
    </cfRule>
    <cfRule type="containsBlanks" dxfId="749" priority="570">
      <formula>LEN(TRIM(G57))=0</formula>
    </cfRule>
  </conditionalFormatting>
  <conditionalFormatting sqref="H57">
    <cfRule type="expression" dxfId="748" priority="565">
      <formula>AND(OR($E57="GD&amp;T",$E57="MAX"),$H57&lt;&gt;"")</formula>
    </cfRule>
    <cfRule type="expression" dxfId="747" priority="566">
      <formula>AND(OR($E57="GD&amp;T",$E57="MAX"),$H57="")</formula>
    </cfRule>
    <cfRule type="containsBlanks" dxfId="746" priority="567">
      <formula>LEN(TRIM(H57))=0</formula>
    </cfRule>
  </conditionalFormatting>
  <conditionalFormatting sqref="G58:G59">
    <cfRule type="expression" dxfId="745" priority="562">
      <formula>AND($E58="MIN",$G58&lt;&gt;"")</formula>
    </cfRule>
    <cfRule type="expression" dxfId="744" priority="563">
      <formula>AND($E58="MIN",$G58="")</formula>
    </cfRule>
    <cfRule type="containsBlanks" dxfId="743" priority="564">
      <formula>LEN(TRIM(G58))=0</formula>
    </cfRule>
  </conditionalFormatting>
  <conditionalFormatting sqref="H58:H59">
    <cfRule type="expression" dxfId="742" priority="559">
      <formula>AND(OR($E58="GD&amp;T",$E58="MAX"),$H58&lt;&gt;"")</formula>
    </cfRule>
    <cfRule type="expression" dxfId="741" priority="560">
      <formula>AND(OR($E58="GD&amp;T",$E58="MAX"),$H58="")</formula>
    </cfRule>
    <cfRule type="containsBlanks" dxfId="740" priority="561">
      <formula>LEN(TRIM(H58))=0</formula>
    </cfRule>
  </conditionalFormatting>
  <conditionalFormatting sqref="G60">
    <cfRule type="expression" dxfId="739" priority="556">
      <formula>AND($E60="MIN",$G60&lt;&gt;"")</formula>
    </cfRule>
    <cfRule type="expression" dxfId="738" priority="557">
      <formula>AND($E60="MIN",$G60="")</formula>
    </cfRule>
    <cfRule type="containsBlanks" dxfId="737" priority="558">
      <formula>LEN(TRIM(G60))=0</formula>
    </cfRule>
  </conditionalFormatting>
  <conditionalFormatting sqref="H60">
    <cfRule type="expression" dxfId="736" priority="553">
      <formula>AND(OR($E60="GD&amp;T",$E60="MAX"),$H60&lt;&gt;"")</formula>
    </cfRule>
    <cfRule type="expression" dxfId="735" priority="554">
      <formula>AND(OR($E60="GD&amp;T",$E60="MAX"),$H60="")</formula>
    </cfRule>
    <cfRule type="containsBlanks" dxfId="734" priority="555">
      <formula>LEN(TRIM(H60))=0</formula>
    </cfRule>
  </conditionalFormatting>
  <conditionalFormatting sqref="F61:F62">
    <cfRule type="expression" dxfId="733" priority="550">
      <formula>AND($E61&lt;&gt;"Tolerance",$F61&lt;&gt;"")</formula>
    </cfRule>
    <cfRule type="expression" dxfId="732" priority="551">
      <formula>AND(OR($E61="GD&amp;T",$E61="MAX",$E61="MIN"),$F61="")</formula>
    </cfRule>
    <cfRule type="containsBlanks" dxfId="731" priority="552">
      <formula>LEN(TRIM(F61))=0</formula>
    </cfRule>
  </conditionalFormatting>
  <conditionalFormatting sqref="G61:G62">
    <cfRule type="expression" dxfId="730" priority="547">
      <formula>AND($E61="MIN",$G61&lt;&gt;"")</formula>
    </cfRule>
    <cfRule type="expression" dxfId="729" priority="548">
      <formula>AND($E61="MIN",$G61="")</formula>
    </cfRule>
    <cfRule type="containsBlanks" dxfId="728" priority="549">
      <formula>LEN(TRIM(G61))=0</formula>
    </cfRule>
  </conditionalFormatting>
  <conditionalFormatting sqref="H61:H62">
    <cfRule type="expression" dxfId="727" priority="544">
      <formula>AND(OR($E61="GD&amp;T",$E61="MAX"),$H61&lt;&gt;"")</formula>
    </cfRule>
    <cfRule type="expression" dxfId="726" priority="545">
      <formula>AND(OR($E61="GD&amp;T",$E61="MAX"),$H61="")</formula>
    </cfRule>
    <cfRule type="containsBlanks" dxfId="725" priority="546">
      <formula>LEN(TRIM(H61))=0</formula>
    </cfRule>
  </conditionalFormatting>
  <conditionalFormatting sqref="G63">
    <cfRule type="expression" dxfId="724" priority="541">
      <formula>AND($E63="MIN",$G63&lt;&gt;"")</formula>
    </cfRule>
    <cfRule type="expression" dxfId="723" priority="542">
      <formula>AND($E63="MIN",$G63="")</formula>
    </cfRule>
    <cfRule type="containsBlanks" dxfId="722" priority="543">
      <formula>LEN(TRIM(G63))=0</formula>
    </cfRule>
  </conditionalFormatting>
  <conditionalFormatting sqref="H63">
    <cfRule type="expression" dxfId="721" priority="538">
      <formula>AND(OR($E63="GD&amp;T",$E63="MAX"),$H63&lt;&gt;"")</formula>
    </cfRule>
    <cfRule type="expression" dxfId="720" priority="539">
      <formula>AND(OR($E63="GD&amp;T",$E63="MAX"),$H63="")</formula>
    </cfRule>
    <cfRule type="containsBlanks" dxfId="719" priority="540">
      <formula>LEN(TRIM(H63))=0</formula>
    </cfRule>
  </conditionalFormatting>
  <conditionalFormatting sqref="F64">
    <cfRule type="expression" dxfId="718" priority="535">
      <formula>AND($E64&lt;&gt;"Tolerance",$F64&lt;&gt;"")</formula>
    </cfRule>
    <cfRule type="expression" dxfId="717" priority="536">
      <formula>AND(OR($E64="GD&amp;T",$E64="MAX",$E64="MIN"),$F64="")</formula>
    </cfRule>
    <cfRule type="containsBlanks" dxfId="716" priority="537">
      <formula>LEN(TRIM(F64))=0</formula>
    </cfRule>
  </conditionalFormatting>
  <conditionalFormatting sqref="G64">
    <cfRule type="expression" dxfId="715" priority="532">
      <formula>AND($E64="MIN",$G64&lt;&gt;"")</formula>
    </cfRule>
    <cfRule type="expression" dxfId="714" priority="533">
      <formula>AND($E64="MIN",$G64="")</formula>
    </cfRule>
    <cfRule type="containsBlanks" dxfId="713" priority="534">
      <formula>LEN(TRIM(G64))=0</formula>
    </cfRule>
  </conditionalFormatting>
  <conditionalFormatting sqref="H64">
    <cfRule type="expression" dxfId="712" priority="529">
      <formula>AND(OR($E64="GD&amp;T",$E64="MAX"),$H64&lt;&gt;"")</formula>
    </cfRule>
    <cfRule type="expression" dxfId="711" priority="530">
      <formula>AND(OR($E64="GD&amp;T",$E64="MAX"),$H64="")</formula>
    </cfRule>
    <cfRule type="containsBlanks" dxfId="710" priority="531">
      <formula>LEN(TRIM(H64))=0</formula>
    </cfRule>
  </conditionalFormatting>
  <conditionalFormatting sqref="F65:F66">
    <cfRule type="expression" dxfId="709" priority="526">
      <formula>AND($E65&lt;&gt;"Tolerance",$F65&lt;&gt;"")</formula>
    </cfRule>
    <cfRule type="expression" dxfId="708" priority="527">
      <formula>AND(OR($E65="GD&amp;T",$E65="MAX",$E65="MIN"),$F65="")</formula>
    </cfRule>
    <cfRule type="containsBlanks" dxfId="707" priority="528">
      <formula>LEN(TRIM(F65))=0</formula>
    </cfRule>
  </conditionalFormatting>
  <conditionalFormatting sqref="G65:G66">
    <cfRule type="expression" dxfId="706" priority="523">
      <formula>AND($E65="MIN",$G65&lt;&gt;"")</formula>
    </cfRule>
    <cfRule type="expression" dxfId="705" priority="524">
      <formula>AND($E65="MIN",$G65="")</formula>
    </cfRule>
    <cfRule type="containsBlanks" dxfId="704" priority="525">
      <formula>LEN(TRIM(G65))=0</formula>
    </cfRule>
  </conditionalFormatting>
  <conditionalFormatting sqref="H65:H66">
    <cfRule type="expression" dxfId="703" priority="520">
      <formula>AND(OR($E65="GD&amp;T",$E65="MAX"),$H65&lt;&gt;"")</formula>
    </cfRule>
    <cfRule type="expression" dxfId="702" priority="521">
      <formula>AND(OR($E65="GD&amp;T",$E65="MAX"),$H65="")</formula>
    </cfRule>
    <cfRule type="containsBlanks" dxfId="701" priority="522">
      <formula>LEN(TRIM(H65))=0</formula>
    </cfRule>
  </conditionalFormatting>
  <conditionalFormatting sqref="G67:G69">
    <cfRule type="expression" dxfId="700" priority="517">
      <formula>AND($E67="MIN",$G67&lt;&gt;"")</formula>
    </cfRule>
    <cfRule type="expression" dxfId="699" priority="518">
      <formula>AND($E67="MIN",$G67="")</formula>
    </cfRule>
    <cfRule type="containsBlanks" dxfId="698" priority="519">
      <formula>LEN(TRIM(G67))=0</formula>
    </cfRule>
  </conditionalFormatting>
  <conditionalFormatting sqref="H67:H69">
    <cfRule type="expression" dxfId="697" priority="514">
      <formula>AND(OR($E67="GD&amp;T",$E67="MAX"),$H67&lt;&gt;"")</formula>
    </cfRule>
    <cfRule type="expression" dxfId="696" priority="515">
      <formula>AND(OR($E67="GD&amp;T",$E67="MAX"),$H67="")</formula>
    </cfRule>
    <cfRule type="containsBlanks" dxfId="695" priority="516">
      <formula>LEN(TRIM(H67))=0</formula>
    </cfRule>
  </conditionalFormatting>
  <conditionalFormatting sqref="G70">
    <cfRule type="expression" dxfId="694" priority="511">
      <formula>AND($E70="MIN",$G70&lt;&gt;"")</formula>
    </cfRule>
    <cfRule type="expression" dxfId="693" priority="512">
      <formula>AND($E70="MIN",$G70="")</formula>
    </cfRule>
    <cfRule type="containsBlanks" dxfId="692" priority="513">
      <formula>LEN(TRIM(G70))=0</formula>
    </cfRule>
  </conditionalFormatting>
  <conditionalFormatting sqref="H70">
    <cfRule type="expression" dxfId="691" priority="508">
      <formula>AND(OR($E70="GD&amp;T",$E70="MAX"),$H70&lt;&gt;"")</formula>
    </cfRule>
    <cfRule type="expression" dxfId="690" priority="509">
      <formula>AND(OR($E70="GD&amp;T",$E70="MAX"),$H70="")</formula>
    </cfRule>
    <cfRule type="containsBlanks" dxfId="689" priority="510">
      <formula>LEN(TRIM(H70))=0</formula>
    </cfRule>
  </conditionalFormatting>
  <conditionalFormatting sqref="F71:F72">
    <cfRule type="expression" dxfId="688" priority="505">
      <formula>AND($E71&lt;&gt;"Tolerance",$F71&lt;&gt;"")</formula>
    </cfRule>
    <cfRule type="expression" dxfId="687" priority="506">
      <formula>AND(OR($E71="GD&amp;T",$E71="MAX",$E71="MIN"),$F71="")</formula>
    </cfRule>
    <cfRule type="containsBlanks" dxfId="686" priority="507">
      <formula>LEN(TRIM(F71))=0</formula>
    </cfRule>
  </conditionalFormatting>
  <conditionalFormatting sqref="G71:G72">
    <cfRule type="expression" dxfId="685" priority="502">
      <formula>AND($E71="MIN",$G71&lt;&gt;"")</formula>
    </cfRule>
    <cfRule type="expression" dxfId="684" priority="503">
      <formula>AND($E71="MIN",$G71="")</formula>
    </cfRule>
    <cfRule type="containsBlanks" dxfId="683" priority="504">
      <formula>LEN(TRIM(G71))=0</formula>
    </cfRule>
  </conditionalFormatting>
  <conditionalFormatting sqref="H71:H72">
    <cfRule type="expression" dxfId="682" priority="499">
      <formula>AND(OR($E71="GD&amp;T",$E71="MAX"),$H71&lt;&gt;"")</formula>
    </cfRule>
    <cfRule type="expression" dxfId="681" priority="500">
      <formula>AND(OR($E71="GD&amp;T",$E71="MAX"),$H71="")</formula>
    </cfRule>
    <cfRule type="containsBlanks" dxfId="680" priority="501">
      <formula>LEN(TRIM(H71))=0</formula>
    </cfRule>
  </conditionalFormatting>
  <conditionalFormatting sqref="G73:G74">
    <cfRule type="expression" dxfId="679" priority="496">
      <formula>AND($E73="MIN",$G73&lt;&gt;"")</formula>
    </cfRule>
    <cfRule type="expression" dxfId="678" priority="497">
      <formula>AND($E73="MIN",$G73="")</formula>
    </cfRule>
    <cfRule type="containsBlanks" dxfId="677" priority="498">
      <formula>LEN(TRIM(G73))=0</formula>
    </cfRule>
  </conditionalFormatting>
  <conditionalFormatting sqref="H73:H74">
    <cfRule type="expression" dxfId="676" priority="493">
      <formula>AND(OR($E73="GD&amp;T",$E73="MAX"),$H73&lt;&gt;"")</formula>
    </cfRule>
    <cfRule type="expression" dxfId="675" priority="494">
      <formula>AND(OR($E73="GD&amp;T",$E73="MAX"),$H73="")</formula>
    </cfRule>
    <cfRule type="containsBlanks" dxfId="674" priority="495">
      <formula>LEN(TRIM(H73))=0</formula>
    </cfRule>
  </conditionalFormatting>
  <conditionalFormatting sqref="G75:G76">
    <cfRule type="expression" dxfId="673" priority="490">
      <formula>AND($E75="MIN",$G75&lt;&gt;"")</formula>
    </cfRule>
    <cfRule type="expression" dxfId="672" priority="491">
      <formula>AND($E75="MIN",$G75="")</formula>
    </cfRule>
    <cfRule type="containsBlanks" dxfId="671" priority="492">
      <formula>LEN(TRIM(G75))=0</formula>
    </cfRule>
  </conditionalFormatting>
  <conditionalFormatting sqref="H75:H76">
    <cfRule type="expression" dxfId="670" priority="487">
      <formula>AND(OR($E75="GD&amp;T",$E75="MAX"),$H75&lt;&gt;"")</formula>
    </cfRule>
    <cfRule type="expression" dxfId="669" priority="488">
      <formula>AND(OR($E75="GD&amp;T",$E75="MAX"),$H75="")</formula>
    </cfRule>
    <cfRule type="containsBlanks" dxfId="668" priority="489">
      <formula>LEN(TRIM(H75))=0</formula>
    </cfRule>
  </conditionalFormatting>
  <conditionalFormatting sqref="G79:G80">
    <cfRule type="expression" dxfId="667" priority="484">
      <formula>AND($E79="MIN",$G79&lt;&gt;"")</formula>
    </cfRule>
    <cfRule type="expression" dxfId="666" priority="485">
      <formula>AND($E79="MIN",$G79="")</formula>
    </cfRule>
    <cfRule type="containsBlanks" dxfId="665" priority="486">
      <formula>LEN(TRIM(G79))=0</formula>
    </cfRule>
  </conditionalFormatting>
  <conditionalFormatting sqref="H79:H80">
    <cfRule type="expression" dxfId="664" priority="481">
      <formula>AND(OR($E79="GD&amp;T",$E79="MAX"),$H79&lt;&gt;"")</formula>
    </cfRule>
    <cfRule type="expression" dxfId="663" priority="482">
      <formula>AND(OR($E79="GD&amp;T",$E79="MAX"),$H79="")</formula>
    </cfRule>
    <cfRule type="containsBlanks" dxfId="662" priority="483">
      <formula>LEN(TRIM(H79))=0</formula>
    </cfRule>
  </conditionalFormatting>
  <conditionalFormatting sqref="G83:G84">
    <cfRule type="expression" dxfId="661" priority="472">
      <formula>AND($E83="MIN",$G83&lt;&gt;"")</formula>
    </cfRule>
    <cfRule type="expression" dxfId="660" priority="473">
      <formula>AND($E83="MIN",$G83="")</formula>
    </cfRule>
    <cfRule type="containsBlanks" dxfId="659" priority="474">
      <formula>LEN(TRIM(G83))=0</formula>
    </cfRule>
  </conditionalFormatting>
  <conditionalFormatting sqref="H83:H84">
    <cfRule type="expression" dxfId="658" priority="469">
      <formula>AND(OR($E83="GD&amp;T",$E83="MAX"),$H83&lt;&gt;"")</formula>
    </cfRule>
    <cfRule type="expression" dxfId="657" priority="470">
      <formula>AND(OR($E83="GD&amp;T",$E83="MAX"),$H83="")</formula>
    </cfRule>
    <cfRule type="containsBlanks" dxfId="656" priority="471">
      <formula>LEN(TRIM(H83))=0</formula>
    </cfRule>
  </conditionalFormatting>
  <conditionalFormatting sqref="G85">
    <cfRule type="expression" dxfId="655" priority="466">
      <formula>AND($E85="MIN",$G85&lt;&gt;"")</formula>
    </cfRule>
    <cfRule type="expression" dxfId="654" priority="467">
      <formula>AND($E85="MIN",$G85="")</formula>
    </cfRule>
    <cfRule type="containsBlanks" dxfId="653" priority="468">
      <formula>LEN(TRIM(G85))=0</formula>
    </cfRule>
  </conditionalFormatting>
  <conditionalFormatting sqref="H85">
    <cfRule type="expression" dxfId="652" priority="463">
      <formula>AND(OR($E85="GD&amp;T",$E85="MAX"),$H85&lt;&gt;"")</formula>
    </cfRule>
    <cfRule type="expression" dxfId="651" priority="464">
      <formula>AND(OR($E85="GD&amp;T",$E85="MAX"),$H85="")</formula>
    </cfRule>
    <cfRule type="containsBlanks" dxfId="650" priority="465">
      <formula>LEN(TRIM(H85))=0</formula>
    </cfRule>
  </conditionalFormatting>
  <conditionalFormatting sqref="G89:G90">
    <cfRule type="expression" dxfId="649" priority="451">
      <formula>AND($E89="MIN",$G89&lt;&gt;"")</formula>
    </cfRule>
    <cfRule type="expression" dxfId="648" priority="452">
      <formula>AND($E89="MIN",$G89="")</formula>
    </cfRule>
    <cfRule type="containsBlanks" dxfId="647" priority="453">
      <formula>LEN(TRIM(G89))=0</formula>
    </cfRule>
  </conditionalFormatting>
  <conditionalFormatting sqref="H89:H90">
    <cfRule type="expression" dxfId="646" priority="448">
      <formula>AND(OR($E89="GD&amp;T",$E89="MAX"),$H89&lt;&gt;"")</formula>
    </cfRule>
    <cfRule type="expression" dxfId="645" priority="449">
      <formula>AND(OR($E89="GD&amp;T",$E89="MAX"),$H89="")</formula>
    </cfRule>
    <cfRule type="containsBlanks" dxfId="644" priority="450">
      <formula>LEN(TRIM(H89))=0</formula>
    </cfRule>
  </conditionalFormatting>
  <conditionalFormatting sqref="F89:F90">
    <cfRule type="expression" dxfId="643" priority="454">
      <formula>AND($E89&lt;&gt;"Tolerance",$F89&lt;&gt;"")</formula>
    </cfRule>
    <cfRule type="expression" dxfId="642" priority="455">
      <formula>AND(OR($E89="GD&amp;T",$E89="MAX",$E89="MIN"),$F89="")</formula>
    </cfRule>
    <cfRule type="containsBlanks" dxfId="641" priority="456">
      <formula>LEN(TRIM(F89))=0</formula>
    </cfRule>
  </conditionalFormatting>
  <conditionalFormatting sqref="G91">
    <cfRule type="expression" dxfId="640" priority="445">
      <formula>AND($E91="MIN",$G91&lt;&gt;"")</formula>
    </cfRule>
    <cfRule type="expression" dxfId="639" priority="446">
      <formula>AND($E91="MIN",$G91="")</formula>
    </cfRule>
    <cfRule type="containsBlanks" dxfId="638" priority="447">
      <formula>LEN(TRIM(G91))=0</formula>
    </cfRule>
  </conditionalFormatting>
  <conditionalFormatting sqref="H91">
    <cfRule type="expression" dxfId="637" priority="442">
      <formula>AND(OR($E91="GD&amp;T",$E91="MAX"),$H91&lt;&gt;"")</formula>
    </cfRule>
    <cfRule type="expression" dxfId="636" priority="443">
      <formula>AND(OR($E91="GD&amp;T",$E91="MAX"),$H91="")</formula>
    </cfRule>
    <cfRule type="containsBlanks" dxfId="635" priority="444">
      <formula>LEN(TRIM(H91))=0</formula>
    </cfRule>
  </conditionalFormatting>
  <conditionalFormatting sqref="F99">
    <cfRule type="expression" dxfId="634" priority="328">
      <formula>AND($E99&lt;&gt;"Tolerance",$F99&lt;&gt;"")</formula>
    </cfRule>
    <cfRule type="expression" dxfId="633" priority="329">
      <formula>AND(OR($E99="GD&amp;T",$E99="MAX",$E99="MIN"),$F99="")</formula>
    </cfRule>
    <cfRule type="containsBlanks" dxfId="632" priority="330">
      <formula>LEN(TRIM(F99))=0</formula>
    </cfRule>
  </conditionalFormatting>
  <conditionalFormatting sqref="G99">
    <cfRule type="expression" dxfId="631" priority="325">
      <formula>AND($E99="MIN",$G99&lt;&gt;"")</formula>
    </cfRule>
    <cfRule type="expression" dxfId="630" priority="326">
      <formula>AND($E99="MIN",$G99="")</formula>
    </cfRule>
    <cfRule type="containsBlanks" dxfId="629" priority="327">
      <formula>LEN(TRIM(G99))=0</formula>
    </cfRule>
  </conditionalFormatting>
  <conditionalFormatting sqref="H99">
    <cfRule type="expression" dxfId="628" priority="322">
      <formula>AND(OR($E99="GD&amp;T",$E99="MAX"),$H99&lt;&gt;"")</formula>
    </cfRule>
    <cfRule type="expression" dxfId="627" priority="323">
      <formula>AND(OR($E99="GD&amp;T",$E99="MAX"),$H99="")</formula>
    </cfRule>
    <cfRule type="containsBlanks" dxfId="626" priority="324">
      <formula>LEN(TRIM(H99))=0</formula>
    </cfRule>
  </conditionalFormatting>
  <conditionalFormatting sqref="G100">
    <cfRule type="expression" dxfId="625" priority="319">
      <formula>AND($E100="MIN",$G100&lt;&gt;"")</formula>
    </cfRule>
    <cfRule type="expression" dxfId="624" priority="320">
      <formula>AND($E100="MIN",$G100="")</formula>
    </cfRule>
    <cfRule type="containsBlanks" dxfId="623" priority="321">
      <formula>LEN(TRIM(G100))=0</formula>
    </cfRule>
  </conditionalFormatting>
  <conditionalFormatting sqref="H100">
    <cfRule type="expression" dxfId="622" priority="316">
      <formula>AND(OR($E100="GD&amp;T",$E100="MAX"),$H100&lt;&gt;"")</formula>
    </cfRule>
    <cfRule type="expression" dxfId="621" priority="317">
      <formula>AND(OR($E100="GD&amp;T",$E100="MAX"),$H100="")</formula>
    </cfRule>
    <cfRule type="containsBlanks" dxfId="620" priority="318">
      <formula>LEN(TRIM(H100))=0</formula>
    </cfRule>
  </conditionalFormatting>
  <conditionalFormatting sqref="F82">
    <cfRule type="expression" dxfId="619" priority="265">
      <formula>AND($E82&lt;&gt;"Tolerance",$F82&lt;&gt;"")</formula>
    </cfRule>
    <cfRule type="expression" dxfId="618" priority="266">
      <formula>AND(OR($E82="GD&amp;T",$E82="MAX",$E82="MIN"),$F82="")</formula>
    </cfRule>
    <cfRule type="containsBlanks" dxfId="617" priority="267">
      <formula>LEN(TRIM(F82))=0</formula>
    </cfRule>
  </conditionalFormatting>
  <conditionalFormatting sqref="G82">
    <cfRule type="expression" dxfId="616" priority="262">
      <formula>AND($E82="MIN",$G82&lt;&gt;"")</formula>
    </cfRule>
    <cfRule type="expression" dxfId="615" priority="263">
      <formula>AND($E82="MIN",$G82="")</formula>
    </cfRule>
    <cfRule type="containsBlanks" dxfId="614" priority="264">
      <formula>LEN(TRIM(G82))=0</formula>
    </cfRule>
  </conditionalFormatting>
  <conditionalFormatting sqref="H82">
    <cfRule type="expression" dxfId="613" priority="259">
      <formula>AND(OR($E82="GD&amp;T",$E82="MAX"),$H82&lt;&gt;"")</formula>
    </cfRule>
    <cfRule type="expression" dxfId="612" priority="260">
      <formula>AND(OR($E82="GD&amp;T",$E82="MAX"),$H82="")</formula>
    </cfRule>
    <cfRule type="containsBlanks" dxfId="611" priority="261">
      <formula>LEN(TRIM(H82))=0</formula>
    </cfRule>
  </conditionalFormatting>
  <conditionalFormatting sqref="F86">
    <cfRule type="expression" dxfId="610" priority="256">
      <formula>AND($E86&lt;&gt;"Tolerance",$F86&lt;&gt;"")</formula>
    </cfRule>
    <cfRule type="expression" dxfId="609" priority="257">
      <formula>AND(OR($E86="GD&amp;T",$E86="MAX",$E86="MIN"),$F86="")</formula>
    </cfRule>
    <cfRule type="containsBlanks" dxfId="608" priority="258">
      <formula>LEN(TRIM(F86))=0</formula>
    </cfRule>
  </conditionalFormatting>
  <conditionalFormatting sqref="G86">
    <cfRule type="expression" dxfId="607" priority="253">
      <formula>AND($E86="MIN",$G86&lt;&gt;"")</formula>
    </cfRule>
    <cfRule type="expression" dxfId="606" priority="254">
      <formula>AND($E86="MIN",$G86="")</formula>
    </cfRule>
    <cfRule type="containsBlanks" dxfId="605" priority="255">
      <formula>LEN(TRIM(G86))=0</formula>
    </cfRule>
  </conditionalFormatting>
  <conditionalFormatting sqref="H86">
    <cfRule type="expression" dxfId="604" priority="250">
      <formula>AND(OR($E86="GD&amp;T",$E86="MAX"),$H86&lt;&gt;"")</formula>
    </cfRule>
    <cfRule type="expression" dxfId="603" priority="251">
      <formula>AND(OR($E86="GD&amp;T",$E86="MAX"),$H86="")</formula>
    </cfRule>
    <cfRule type="containsBlanks" dxfId="602" priority="252">
      <formula>LEN(TRIM(H86))=0</formula>
    </cfRule>
  </conditionalFormatting>
  <conditionalFormatting sqref="F20">
    <cfRule type="expression" dxfId="601" priority="239">
      <formula>AND($E20&lt;&gt;"Tolerance",$F20&lt;&gt;"")</formula>
    </cfRule>
    <cfRule type="expression" dxfId="600" priority="240">
      <formula>AND(OR($E20="GD&amp;T",$E20="MAX",$E20="MIN"),$F20="")</formula>
    </cfRule>
    <cfRule type="containsBlanks" dxfId="599" priority="241">
      <formula>LEN(TRIM(F20))=0</formula>
    </cfRule>
  </conditionalFormatting>
  <conditionalFormatting sqref="G20">
    <cfRule type="expression" dxfId="598" priority="236">
      <formula>AND($E20="MIN",$G20&lt;&gt;"")</formula>
    </cfRule>
    <cfRule type="expression" dxfId="597" priority="237">
      <formula>AND($E20="MIN",$G20="")</formula>
    </cfRule>
    <cfRule type="containsBlanks" dxfId="596" priority="238">
      <formula>LEN(TRIM(G20))=0</formula>
    </cfRule>
  </conditionalFormatting>
  <conditionalFormatting sqref="H20">
    <cfRule type="expression" dxfId="595" priority="233">
      <formula>AND(OR($E20="GD&amp;T",$E20="MAX"),$H20&lt;&gt;"")</formula>
    </cfRule>
    <cfRule type="expression" dxfId="594" priority="234">
      <formula>AND(OR($E20="GD&amp;T",$E20="MAX"),$H20="")</formula>
    </cfRule>
    <cfRule type="containsBlanks" dxfId="593" priority="235">
      <formula>LEN(TRIM(H20))=0</formula>
    </cfRule>
  </conditionalFormatting>
  <conditionalFormatting sqref="F22">
    <cfRule type="expression" dxfId="592" priority="226">
      <formula>AND($E22&lt;&gt;"Tolerance",$F22&lt;&gt;"")</formula>
    </cfRule>
    <cfRule type="expression" dxfId="591" priority="227">
      <formula>AND(OR($E22="GD&amp;T",$E22="MAX",$E22="MIN"),$F22="")</formula>
    </cfRule>
    <cfRule type="containsBlanks" dxfId="590" priority="228">
      <formula>LEN(TRIM(F22))=0</formula>
    </cfRule>
  </conditionalFormatting>
  <conditionalFormatting sqref="G22">
    <cfRule type="expression" dxfId="589" priority="223">
      <formula>AND($E22="MIN",$G22&lt;&gt;"")</formula>
    </cfRule>
    <cfRule type="expression" dxfId="588" priority="224">
      <formula>AND($E22="MIN",$G22="")</formula>
    </cfRule>
    <cfRule type="containsBlanks" dxfId="587" priority="225">
      <formula>LEN(TRIM(G22))=0</formula>
    </cfRule>
  </conditionalFormatting>
  <conditionalFormatting sqref="H22">
    <cfRule type="expression" dxfId="586" priority="220">
      <formula>AND(OR($E22="GD&amp;T",$E22="MAX"),$H22&lt;&gt;"")</formula>
    </cfRule>
    <cfRule type="expression" dxfId="585" priority="221">
      <formula>AND(OR($E22="GD&amp;T",$E22="MAX"),$H22="")</formula>
    </cfRule>
    <cfRule type="containsBlanks" dxfId="584" priority="222">
      <formula>LEN(TRIM(H22))=0</formula>
    </cfRule>
  </conditionalFormatting>
  <conditionalFormatting sqref="F24">
    <cfRule type="expression" dxfId="583" priority="213">
      <formula>AND($E24&lt;&gt;"Tolerance",$F24&lt;&gt;"")</formula>
    </cfRule>
    <cfRule type="expression" dxfId="582" priority="214">
      <formula>AND(OR($E24="GD&amp;T",$E24="MAX",$E24="MIN"),$F24="")</formula>
    </cfRule>
    <cfRule type="containsBlanks" dxfId="581" priority="215">
      <formula>LEN(TRIM(F24))=0</formula>
    </cfRule>
  </conditionalFormatting>
  <conditionalFormatting sqref="G24">
    <cfRule type="expression" dxfId="580" priority="210">
      <formula>AND($E24="MIN",$G24&lt;&gt;"")</formula>
    </cfRule>
    <cfRule type="expression" dxfId="579" priority="211">
      <formula>AND($E24="MIN",$G24="")</formula>
    </cfRule>
    <cfRule type="containsBlanks" dxfId="578" priority="212">
      <formula>LEN(TRIM(G24))=0</formula>
    </cfRule>
  </conditionalFormatting>
  <conditionalFormatting sqref="H24">
    <cfRule type="expression" dxfId="577" priority="207">
      <formula>AND(OR($E24="GD&amp;T",$E24="MAX"),$H24&lt;&gt;"")</formula>
    </cfRule>
    <cfRule type="expression" dxfId="576" priority="208">
      <formula>AND(OR($E24="GD&amp;T",$E24="MAX"),$H24="")</formula>
    </cfRule>
    <cfRule type="containsBlanks" dxfId="575" priority="209">
      <formula>LEN(TRIM(H24))=0</formula>
    </cfRule>
  </conditionalFormatting>
  <conditionalFormatting sqref="F19:F24">
    <cfRule type="expression" dxfId="574" priority="195">
      <formula>AND($E19&lt;&gt;"Tolerance",$F19&lt;&gt;"")</formula>
    </cfRule>
    <cfRule type="expression" dxfId="573" priority="196">
      <formula>AND(OR($E19="GD&amp;T",$E19="MAX",$E19="MIN"),$F19="")</formula>
    </cfRule>
    <cfRule type="containsBlanks" dxfId="572" priority="197">
      <formula>LEN(TRIM(F19))=0</formula>
    </cfRule>
  </conditionalFormatting>
  <conditionalFormatting sqref="G19:G24">
    <cfRule type="expression" dxfId="571" priority="192">
      <formula>AND($E19="MIN",$G19&lt;&gt;"")</formula>
    </cfRule>
    <cfRule type="expression" dxfId="570" priority="193">
      <formula>AND($E19="MIN",$G19="")</formula>
    </cfRule>
    <cfRule type="containsBlanks" dxfId="569" priority="194">
      <formula>LEN(TRIM(G19))=0</formula>
    </cfRule>
  </conditionalFormatting>
  <conditionalFormatting sqref="H19:H24">
    <cfRule type="expression" dxfId="568" priority="189">
      <formula>AND(OR($E19="GD&amp;T",$E19="MAX"),$H19&lt;&gt;"")</formula>
    </cfRule>
    <cfRule type="expression" dxfId="567" priority="190">
      <formula>AND(OR($E19="GD&amp;T",$E19="MAX"),$H19="")</formula>
    </cfRule>
    <cfRule type="containsBlanks" dxfId="566" priority="191">
      <formula>LEN(TRIM(H19))=0</formula>
    </cfRule>
  </conditionalFormatting>
  <conditionalFormatting sqref="F102:F104">
    <cfRule type="expression" dxfId="565" priority="87">
      <formula>AND($E102&lt;&gt;"Tolerance",$F102&lt;&gt;"")</formula>
    </cfRule>
    <cfRule type="expression" dxfId="564" priority="88">
      <formula>AND(OR($E102="GD&amp;T",$E102="MAX",$E102="MIN"),$F102="")</formula>
    </cfRule>
    <cfRule type="containsBlanks" dxfId="563" priority="89">
      <formula>LEN(TRIM(F102))=0</formula>
    </cfRule>
  </conditionalFormatting>
  <conditionalFormatting sqref="G102:G104">
    <cfRule type="expression" dxfId="562" priority="84">
      <formula>AND($E102="MIN",$G102&lt;&gt;"")</formula>
    </cfRule>
    <cfRule type="expression" dxfId="561" priority="85">
      <formula>AND($E102="MIN",$G102="")</formula>
    </cfRule>
    <cfRule type="containsBlanks" dxfId="560" priority="86">
      <formula>LEN(TRIM(G102))=0</formula>
    </cfRule>
  </conditionalFormatting>
  <conditionalFormatting sqref="H102:H104">
    <cfRule type="expression" dxfId="559" priority="81">
      <formula>AND(OR($E102="GD&amp;T",$E102="MAX"),$H102&lt;&gt;"")</formula>
    </cfRule>
    <cfRule type="expression" dxfId="558" priority="82">
      <formula>AND(OR($E102="GD&amp;T",$E102="MAX"),$H102="")</formula>
    </cfRule>
    <cfRule type="containsBlanks" dxfId="557" priority="83">
      <formula>LEN(TRIM(H102))=0</formula>
    </cfRule>
  </conditionalFormatting>
  <conditionalFormatting sqref="F103">
    <cfRule type="expression" dxfId="556" priority="78">
      <formula>AND($E103&lt;&gt;"Tolerance",$F103&lt;&gt;"")</formula>
    </cfRule>
    <cfRule type="expression" dxfId="555" priority="79">
      <formula>AND(OR($E103="GD&amp;T",$E103="MAX",$E103="MIN"),$F103="")</formula>
    </cfRule>
    <cfRule type="containsBlanks" dxfId="554" priority="80">
      <formula>LEN(TRIM(F103))=0</formula>
    </cfRule>
  </conditionalFormatting>
  <conditionalFormatting sqref="G103">
    <cfRule type="expression" dxfId="553" priority="75">
      <formula>AND($E103="MIN",$G103&lt;&gt;"")</formula>
    </cfRule>
    <cfRule type="expression" dxfId="552" priority="76">
      <formula>AND($E103="MIN",$G103="")</formula>
    </cfRule>
    <cfRule type="containsBlanks" dxfId="551" priority="77">
      <formula>LEN(TRIM(G103))=0</formula>
    </cfRule>
  </conditionalFormatting>
  <conditionalFormatting sqref="H103">
    <cfRule type="expression" dxfId="550" priority="72">
      <formula>AND(OR($E103="GD&amp;T",$E103="MAX"),$H103&lt;&gt;"")</formula>
    </cfRule>
    <cfRule type="expression" dxfId="549" priority="73">
      <formula>AND(OR($E103="GD&amp;T",$E103="MAX"),$H103="")</formula>
    </cfRule>
    <cfRule type="containsBlanks" dxfId="548" priority="74">
      <formula>LEN(TRIM(H103))=0</formula>
    </cfRule>
  </conditionalFormatting>
  <conditionalFormatting sqref="F102">
    <cfRule type="expression" dxfId="547" priority="69">
      <formula>AND($E102&lt;&gt;"Tolerance",$F102&lt;&gt;"")</formula>
    </cfRule>
    <cfRule type="expression" dxfId="546" priority="70">
      <formula>AND(OR($E102="GD&amp;T",$E102="MAX",$E102="MIN"),$F102="")</formula>
    </cfRule>
    <cfRule type="containsBlanks" dxfId="545" priority="71">
      <formula>LEN(TRIM(F102))=0</formula>
    </cfRule>
  </conditionalFormatting>
  <conditionalFormatting sqref="G102">
    <cfRule type="expression" dxfId="544" priority="66">
      <formula>AND($E102="MIN",$G102&lt;&gt;"")</formula>
    </cfRule>
    <cfRule type="expression" dxfId="543" priority="67">
      <formula>AND($E102="MIN",$G102="")</formula>
    </cfRule>
    <cfRule type="containsBlanks" dxfId="542" priority="68">
      <formula>LEN(TRIM(G102))=0</formula>
    </cfRule>
  </conditionalFormatting>
  <conditionalFormatting sqref="H102">
    <cfRule type="expression" dxfId="541" priority="63">
      <formula>AND(OR($E102="GD&amp;T",$E102="MAX"),$H102&lt;&gt;"")</formula>
    </cfRule>
    <cfRule type="expression" dxfId="540" priority="64">
      <formula>AND(OR($E102="GD&amp;T",$E102="MAX"),$H102="")</formula>
    </cfRule>
    <cfRule type="containsBlanks" dxfId="539" priority="65">
      <formula>LEN(TRIM(H102))=0</formula>
    </cfRule>
  </conditionalFormatting>
  <conditionalFormatting sqref="F103">
    <cfRule type="expression" dxfId="538" priority="60">
      <formula>AND($E103&lt;&gt;"Tolerance",$F103&lt;&gt;"")</formula>
    </cfRule>
    <cfRule type="expression" dxfId="537" priority="61">
      <formula>AND(OR($E103="GD&amp;T",$E103="MAX",$E103="MIN"),$F103="")</formula>
    </cfRule>
    <cfRule type="containsBlanks" dxfId="536" priority="62">
      <formula>LEN(TRIM(F103))=0</formula>
    </cfRule>
  </conditionalFormatting>
  <conditionalFormatting sqref="G103">
    <cfRule type="expression" dxfId="535" priority="57">
      <formula>AND($E103="MIN",$G103&lt;&gt;"")</formula>
    </cfRule>
    <cfRule type="expression" dxfId="534" priority="58">
      <formula>AND($E103="MIN",$G103="")</formula>
    </cfRule>
    <cfRule type="containsBlanks" dxfId="533" priority="59">
      <formula>LEN(TRIM(G103))=0</formula>
    </cfRule>
  </conditionalFormatting>
  <conditionalFormatting sqref="H103">
    <cfRule type="expression" dxfId="532" priority="54">
      <formula>AND(OR($E103="GD&amp;T",$E103="MAX"),$H103&lt;&gt;"")</formula>
    </cfRule>
    <cfRule type="expression" dxfId="531" priority="55">
      <formula>AND(OR($E103="GD&amp;T",$E103="MAX"),$H103="")</formula>
    </cfRule>
    <cfRule type="containsBlanks" dxfId="530" priority="56">
      <formula>LEN(TRIM(H103))=0</formula>
    </cfRule>
  </conditionalFormatting>
  <conditionalFormatting sqref="F102">
    <cfRule type="expression" dxfId="529" priority="51">
      <formula>AND($E102&lt;&gt;"Tolerance",$F102&lt;&gt;"")</formula>
    </cfRule>
    <cfRule type="expression" dxfId="528" priority="52">
      <formula>AND(OR($E102="GD&amp;T",$E102="MAX",$E102="MIN"),$F102="")</formula>
    </cfRule>
    <cfRule type="containsBlanks" dxfId="527" priority="53">
      <formula>LEN(TRIM(F102))=0</formula>
    </cfRule>
  </conditionalFormatting>
  <conditionalFormatting sqref="G102">
    <cfRule type="expression" dxfId="526" priority="48">
      <formula>AND($E102="MIN",$G102&lt;&gt;"")</formula>
    </cfRule>
    <cfRule type="expression" dxfId="525" priority="49">
      <formula>AND($E102="MIN",$G102="")</formula>
    </cfRule>
    <cfRule type="containsBlanks" dxfId="524" priority="50">
      <formula>LEN(TRIM(G102))=0</formula>
    </cfRule>
  </conditionalFormatting>
  <conditionalFormatting sqref="H102">
    <cfRule type="expression" dxfId="523" priority="45">
      <formula>AND(OR($E102="GD&amp;T",$E102="MAX"),$H102&lt;&gt;"")</formula>
    </cfRule>
    <cfRule type="expression" dxfId="522" priority="46">
      <formula>AND(OR($E102="GD&amp;T",$E102="MAX"),$H102="")</formula>
    </cfRule>
    <cfRule type="containsBlanks" dxfId="521" priority="47">
      <formula>LEN(TRIM(H102))=0</formula>
    </cfRule>
  </conditionalFormatting>
  <conditionalFormatting sqref="F104">
    <cfRule type="expression" dxfId="520" priority="42">
      <formula>AND($E104&lt;&gt;"Tolerance",$F104&lt;&gt;"")</formula>
    </cfRule>
    <cfRule type="expression" dxfId="519" priority="43">
      <formula>AND(OR($E104="GD&amp;T",$E104="MAX",$E104="MIN"),$F104="")</formula>
    </cfRule>
    <cfRule type="containsBlanks" dxfId="518" priority="44">
      <formula>LEN(TRIM(F104))=0</formula>
    </cfRule>
  </conditionalFormatting>
  <conditionalFormatting sqref="G104">
    <cfRule type="expression" dxfId="517" priority="39">
      <formula>AND($E104="MIN",$G104&lt;&gt;"")</formula>
    </cfRule>
    <cfRule type="expression" dxfId="516" priority="40">
      <formula>AND($E104="MIN",$G104="")</formula>
    </cfRule>
    <cfRule type="containsBlanks" dxfId="515" priority="41">
      <formula>LEN(TRIM(G104))=0</formula>
    </cfRule>
  </conditionalFormatting>
  <conditionalFormatting sqref="H104">
    <cfRule type="expression" dxfId="514" priority="36">
      <formula>AND(OR($E104="GD&amp;T",$E104="MAX"),$H104&lt;&gt;"")</formula>
    </cfRule>
    <cfRule type="expression" dxfId="513" priority="37">
      <formula>AND(OR($E104="GD&amp;T",$E104="MAX"),$H104="")</formula>
    </cfRule>
    <cfRule type="containsBlanks" dxfId="512" priority="38">
      <formula>LEN(TRIM(H104))=0</formula>
    </cfRule>
  </conditionalFormatting>
  <conditionalFormatting sqref="F103">
    <cfRule type="expression" dxfId="511" priority="33">
      <formula>AND($E103&lt;&gt;"Tolerance",$F103&lt;&gt;"")</formula>
    </cfRule>
    <cfRule type="expression" dxfId="510" priority="34">
      <formula>AND(OR($E103="GD&amp;T",$E103="MAX",$E103="MIN"),$F103="")</formula>
    </cfRule>
    <cfRule type="containsBlanks" dxfId="509" priority="35">
      <formula>LEN(TRIM(F103))=0</formula>
    </cfRule>
  </conditionalFormatting>
  <conditionalFormatting sqref="G103">
    <cfRule type="expression" dxfId="508" priority="30">
      <formula>AND($E103="MIN",$G103&lt;&gt;"")</formula>
    </cfRule>
    <cfRule type="expression" dxfId="507" priority="31">
      <formula>AND($E103="MIN",$G103="")</formula>
    </cfRule>
    <cfRule type="containsBlanks" dxfId="506" priority="32">
      <formula>LEN(TRIM(G103))=0</formula>
    </cfRule>
  </conditionalFormatting>
  <conditionalFormatting sqref="H103">
    <cfRule type="expression" dxfId="505" priority="27">
      <formula>AND(OR($E103="GD&amp;T",$E103="MAX"),$H103&lt;&gt;"")</formula>
    </cfRule>
    <cfRule type="expression" dxfId="504" priority="28">
      <formula>AND(OR($E103="GD&amp;T",$E103="MAX"),$H103="")</formula>
    </cfRule>
    <cfRule type="containsBlanks" dxfId="503" priority="29">
      <formula>LEN(TRIM(H103))=0</formula>
    </cfRule>
  </conditionalFormatting>
  <conditionalFormatting sqref="F102">
    <cfRule type="expression" dxfId="502" priority="24">
      <formula>AND($E102&lt;&gt;"Tolerance",$F102&lt;&gt;"")</formula>
    </cfRule>
    <cfRule type="expression" dxfId="501" priority="25">
      <formula>AND(OR($E102="GD&amp;T",$E102="MAX",$E102="MIN"),$F102="")</formula>
    </cfRule>
    <cfRule type="containsBlanks" dxfId="500" priority="26">
      <formula>LEN(TRIM(F102))=0</formula>
    </cfRule>
  </conditionalFormatting>
  <conditionalFormatting sqref="G102">
    <cfRule type="expression" dxfId="499" priority="21">
      <formula>AND($E102="MIN",$G102&lt;&gt;"")</formula>
    </cfRule>
    <cfRule type="expression" dxfId="498" priority="22">
      <formula>AND($E102="MIN",$G102="")</formula>
    </cfRule>
    <cfRule type="containsBlanks" dxfId="497" priority="23">
      <formula>LEN(TRIM(G102))=0</formula>
    </cfRule>
  </conditionalFormatting>
  <conditionalFormatting sqref="H102">
    <cfRule type="expression" dxfId="496" priority="18">
      <formula>AND(OR($E102="GD&amp;T",$E102="MAX"),$H102&lt;&gt;"")</formula>
    </cfRule>
    <cfRule type="expression" dxfId="495" priority="19">
      <formula>AND(OR($E102="GD&amp;T",$E102="MAX"),$H102="")</formula>
    </cfRule>
    <cfRule type="containsBlanks" dxfId="494" priority="20">
      <formula>LEN(TRIM(H102))=0</formula>
    </cfRule>
  </conditionalFormatting>
  <conditionalFormatting sqref="F104">
    <cfRule type="expression" dxfId="493" priority="15">
      <formula>AND($E104&lt;&gt;"Tolerance",$F104&lt;&gt;"")</formula>
    </cfRule>
    <cfRule type="expression" dxfId="492" priority="16">
      <formula>AND(OR($E104="GD&amp;T",$E104="MAX",$E104="MIN"),$F104="")</formula>
    </cfRule>
    <cfRule type="containsBlanks" dxfId="491" priority="17">
      <formula>LEN(TRIM(F104))=0</formula>
    </cfRule>
  </conditionalFormatting>
  <conditionalFormatting sqref="G104">
    <cfRule type="expression" dxfId="490" priority="12">
      <formula>AND($E104="MIN",$G104&lt;&gt;"")</formula>
    </cfRule>
    <cfRule type="expression" dxfId="489" priority="13">
      <formula>AND($E104="MIN",$G104="")</formula>
    </cfRule>
    <cfRule type="containsBlanks" dxfId="488" priority="14">
      <formula>LEN(TRIM(G104))=0</formula>
    </cfRule>
  </conditionalFormatting>
  <conditionalFormatting sqref="H104">
    <cfRule type="expression" dxfId="487" priority="9">
      <formula>AND(OR($E104="GD&amp;T",$E104="MAX"),$H104&lt;&gt;"")</formula>
    </cfRule>
    <cfRule type="expression" dxfId="486" priority="10">
      <formula>AND(OR($E104="GD&amp;T",$E104="MAX"),$H104="")</formula>
    </cfRule>
    <cfRule type="containsBlanks" dxfId="485" priority="11">
      <formula>LEN(TRIM(H104))=0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modSheetButtons.showAddShtFrm">
                <anchor moveWithCells="1" sizeWithCells="1">
                  <from>
                    <xdr:col>1</xdr:col>
                    <xdr:colOff>7620</xdr:colOff>
                    <xdr:row>0</xdr:row>
                    <xdr:rowOff>45720</xdr:rowOff>
                  </from>
                  <to>
                    <xdr:col>4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Setup!$J$2:$J$5</xm:f>
          </x14:formula1>
          <xm:sqref>E19:E390</xm:sqref>
        </x14:dataValidation>
        <x14:dataValidation type="list" allowBlank="1" showInputMessage="1" showErrorMessage="1" xr:uid="{00000000-0002-0000-0000-000001000000}">
          <x14:formula1>
            <xm:f>Setup!$H$2:$H$13</xm:f>
          </x14:formula1>
          <xm:sqref>I19:I390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692"/>
  <sheetViews>
    <sheetView tabSelected="1" topLeftCell="A13" zoomScaleNormal="100" workbookViewId="0">
      <selection activeCell="N15" sqref="N15"/>
    </sheetView>
  </sheetViews>
  <sheetFormatPr defaultColWidth="12.59765625" defaultRowHeight="12.75" customHeight="1"/>
  <cols>
    <col min="1" max="1" width="0.8984375" style="10" customWidth="1"/>
    <col min="2" max="2" width="11.19921875" style="77" customWidth="1"/>
    <col min="3" max="3" width="9" style="70" customWidth="1"/>
    <col min="4" max="8" width="9" style="10" customWidth="1"/>
    <col min="9" max="9" width="17.09765625" style="10" customWidth="1"/>
    <col min="10" max="11" width="9" style="10" hidden="1" customWidth="1"/>
    <col min="12" max="14" width="9" style="10" customWidth="1"/>
    <col min="15" max="15" width="0.8984375" style="10" customWidth="1"/>
    <col min="16" max="23" width="9" style="10" customWidth="1"/>
    <col min="24" max="24" width="42.59765625" style="10" bestFit="1" customWidth="1"/>
    <col min="25" max="25" width="0.8984375" style="10" customWidth="1"/>
    <col min="26" max="16384" width="12.59765625" style="10"/>
  </cols>
  <sheetData>
    <row r="1" spans="1:30" s="2" customFormat="1" ht="21.9" customHeight="1">
      <c r="A1" s="111" t="s">
        <v>16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</row>
    <row r="2" spans="1:30" s="4" customFormat="1" ht="14.1" customHeight="1">
      <c r="A2" s="1"/>
      <c r="B2" s="72" t="s">
        <v>52</v>
      </c>
      <c r="C2" s="65"/>
      <c r="D2" s="33"/>
      <c r="E2" s="3"/>
      <c r="F2" s="3"/>
      <c r="G2" s="3"/>
      <c r="J2" s="3"/>
      <c r="K2" s="3"/>
      <c r="L2" s="1"/>
      <c r="M2" s="1"/>
      <c r="N2" s="1"/>
      <c r="O2" s="1"/>
      <c r="P2" s="3"/>
      <c r="Q2" s="11"/>
      <c r="R2" s="11"/>
      <c r="S2" s="11"/>
      <c r="T2" s="11"/>
      <c r="U2" s="11"/>
      <c r="V2" s="107" t="s">
        <v>20</v>
      </c>
      <c r="W2" s="107"/>
      <c r="X2" s="3"/>
      <c r="Y2" s="1"/>
    </row>
    <row r="3" spans="1:30" s="4" customFormat="1" ht="9" customHeight="1">
      <c r="A3" s="1"/>
      <c r="B3" s="73"/>
      <c r="C3" s="66"/>
      <c r="D3" s="3"/>
      <c r="E3" s="1"/>
      <c r="F3" s="1"/>
      <c r="G3" s="3"/>
      <c r="H3" s="3"/>
      <c r="I3" s="3"/>
      <c r="J3" s="3"/>
      <c r="K3" s="3"/>
      <c r="L3" s="1"/>
      <c r="M3" s="1"/>
      <c r="N3" s="1"/>
      <c r="O3" s="1"/>
      <c r="P3" s="3"/>
      <c r="Q3" s="3"/>
      <c r="R3" s="3"/>
      <c r="S3" s="3"/>
      <c r="T3" s="3"/>
      <c r="U3" s="1"/>
      <c r="V3" s="1"/>
      <c r="W3" s="3"/>
      <c r="X3" s="3"/>
      <c r="Y3" s="1"/>
    </row>
    <row r="4" spans="1:30" s="4" customFormat="1" ht="18.75" customHeight="1">
      <c r="A4" s="11"/>
      <c r="B4" s="87" t="s">
        <v>0</v>
      </c>
      <c r="C4" s="88"/>
      <c r="D4" s="89"/>
      <c r="E4" s="97" t="s">
        <v>403</v>
      </c>
      <c r="F4" s="98"/>
      <c r="G4" s="98"/>
      <c r="H4" s="98"/>
      <c r="I4" s="99"/>
      <c r="J4" s="3"/>
      <c r="K4" s="3"/>
      <c r="L4" s="115" t="s">
        <v>1</v>
      </c>
      <c r="M4" s="116"/>
      <c r="N4" s="97" t="s">
        <v>56</v>
      </c>
      <c r="O4" s="98"/>
      <c r="P4" s="98"/>
      <c r="Q4" s="98"/>
      <c r="R4" s="99"/>
      <c r="S4" s="87" t="s">
        <v>23</v>
      </c>
      <c r="T4" s="88"/>
      <c r="U4" s="89"/>
      <c r="V4" s="97" t="s">
        <v>859</v>
      </c>
      <c r="W4" s="98"/>
      <c r="X4" s="98"/>
      <c r="Y4" s="99"/>
      <c r="Z4" s="11"/>
      <c r="AA4" s="11"/>
      <c r="AB4" s="11"/>
      <c r="AC4" s="11"/>
      <c r="AD4" s="11"/>
    </row>
    <row r="5" spans="1:30" s="4" customFormat="1" ht="18.75" customHeight="1">
      <c r="A5" s="11"/>
      <c r="B5" s="87" t="s">
        <v>2</v>
      </c>
      <c r="C5" s="88"/>
      <c r="D5" s="89"/>
      <c r="E5" s="97" t="s">
        <v>306</v>
      </c>
      <c r="F5" s="98"/>
      <c r="G5" s="98"/>
      <c r="H5" s="98"/>
      <c r="I5" s="99"/>
      <c r="J5" s="3"/>
      <c r="K5" s="3"/>
      <c r="L5" s="115" t="s">
        <v>21</v>
      </c>
      <c r="M5" s="116"/>
      <c r="N5" s="97"/>
      <c r="O5" s="98"/>
      <c r="P5" s="98"/>
      <c r="Q5" s="98"/>
      <c r="R5" s="99"/>
      <c r="S5" s="87" t="s">
        <v>53</v>
      </c>
      <c r="T5" s="88"/>
      <c r="U5" s="89"/>
      <c r="V5" s="104" t="s">
        <v>57</v>
      </c>
      <c r="W5" s="105"/>
      <c r="X5" s="105"/>
      <c r="Y5" s="106"/>
      <c r="Z5" s="11"/>
      <c r="AA5" s="11"/>
      <c r="AB5" s="11"/>
      <c r="AC5" s="11"/>
      <c r="AD5" s="11"/>
    </row>
    <row r="6" spans="1:30" s="4" customFormat="1" ht="18.75" customHeight="1">
      <c r="A6" s="11"/>
      <c r="B6" s="87" t="s">
        <v>3</v>
      </c>
      <c r="C6" s="88"/>
      <c r="D6" s="89"/>
      <c r="E6" s="112">
        <v>14</v>
      </c>
      <c r="F6" s="113"/>
      <c r="G6" s="113"/>
      <c r="H6" s="113"/>
      <c r="I6" s="114"/>
      <c r="J6" s="3"/>
      <c r="K6" s="3"/>
      <c r="L6" s="115" t="s">
        <v>22</v>
      </c>
      <c r="M6" s="116"/>
      <c r="N6" s="97"/>
      <c r="O6" s="98"/>
      <c r="P6" s="98"/>
      <c r="Q6" s="98"/>
      <c r="R6" s="99"/>
      <c r="S6" s="87" t="s">
        <v>54</v>
      </c>
      <c r="T6" s="88"/>
      <c r="U6" s="89"/>
      <c r="V6" s="104" t="s">
        <v>858</v>
      </c>
      <c r="W6" s="105"/>
      <c r="X6" s="105"/>
      <c r="Y6" s="106"/>
      <c r="Z6" s="11"/>
      <c r="AA6" s="11"/>
      <c r="AB6" s="11"/>
      <c r="AC6" s="11"/>
      <c r="AD6" s="11"/>
    </row>
    <row r="7" spans="1:30" s="4" customFormat="1" ht="9" customHeight="1">
      <c r="A7" s="40"/>
      <c r="B7" s="74"/>
      <c r="C7" s="67"/>
      <c r="D7" s="40"/>
      <c r="E7" s="41"/>
      <c r="F7" s="41"/>
      <c r="G7" s="40"/>
      <c r="H7" s="41"/>
      <c r="I7" s="40"/>
      <c r="J7" s="41"/>
      <c r="K7" s="40"/>
      <c r="L7" s="41"/>
      <c r="M7" s="40"/>
      <c r="N7" s="41"/>
      <c r="O7" s="40"/>
      <c r="P7" s="41"/>
      <c r="Q7" s="40"/>
      <c r="R7" s="41"/>
      <c r="S7" s="40"/>
      <c r="T7" s="41"/>
      <c r="U7" s="40"/>
      <c r="V7" s="41"/>
      <c r="W7" s="40"/>
      <c r="X7" s="41"/>
      <c r="Y7" s="1"/>
    </row>
    <row r="8" spans="1:30" s="5" customFormat="1" ht="15" customHeight="1">
      <c r="A8" s="108" t="s">
        <v>4</v>
      </c>
      <c r="B8" s="109"/>
      <c r="C8" s="109"/>
      <c r="D8" s="109"/>
      <c r="E8" s="109"/>
      <c r="F8" s="109"/>
      <c r="G8" s="109"/>
      <c r="H8" s="109"/>
      <c r="I8" s="109"/>
      <c r="J8" s="109"/>
      <c r="K8" s="110"/>
      <c r="L8" s="108" t="s">
        <v>5</v>
      </c>
      <c r="M8" s="109"/>
      <c r="N8" s="109"/>
      <c r="O8" s="109"/>
      <c r="P8" s="109"/>
      <c r="Q8" s="109"/>
      <c r="R8" s="110"/>
      <c r="S8" s="108" t="s">
        <v>6</v>
      </c>
      <c r="T8" s="109"/>
      <c r="U8" s="109"/>
      <c r="V8" s="109"/>
      <c r="W8" s="110"/>
      <c r="X8" s="100" t="s">
        <v>7</v>
      </c>
      <c r="Y8" s="101"/>
    </row>
    <row r="9" spans="1:30" s="4" customFormat="1" ht="15" customHeight="1">
      <c r="A9" s="34"/>
      <c r="B9" s="75"/>
      <c r="C9" s="71"/>
      <c r="D9" s="13"/>
      <c r="E9" s="14"/>
      <c r="F9" s="14"/>
      <c r="G9" s="13"/>
      <c r="H9" s="13"/>
      <c r="I9" s="90" t="s">
        <v>8</v>
      </c>
      <c r="J9" s="102" t="s">
        <v>17</v>
      </c>
      <c r="K9" s="102" t="s">
        <v>18</v>
      </c>
      <c r="L9" s="92" t="s">
        <v>9</v>
      </c>
      <c r="M9" s="93"/>
      <c r="N9" s="94"/>
      <c r="O9" s="34"/>
      <c r="P9" s="92" t="s">
        <v>10</v>
      </c>
      <c r="Q9" s="93"/>
      <c r="R9" s="94"/>
      <c r="S9" s="95" t="s">
        <v>11</v>
      </c>
      <c r="T9" s="15" t="s">
        <v>12</v>
      </c>
      <c r="U9" s="16"/>
      <c r="V9" s="17" t="s">
        <v>13</v>
      </c>
      <c r="W9" s="16"/>
      <c r="X9" s="18"/>
      <c r="Y9" s="34"/>
    </row>
    <row r="10" spans="1:30" s="4" customFormat="1" ht="35.1" customHeight="1">
      <c r="A10" s="35"/>
      <c r="B10" s="20" t="s">
        <v>58</v>
      </c>
      <c r="C10" s="68" t="s">
        <v>55</v>
      </c>
      <c r="D10" s="19" t="s">
        <v>24</v>
      </c>
      <c r="E10" s="42" t="s">
        <v>30</v>
      </c>
      <c r="F10" s="20" t="s">
        <v>25</v>
      </c>
      <c r="G10" s="39" t="s">
        <v>14</v>
      </c>
      <c r="H10" s="39" t="s">
        <v>15</v>
      </c>
      <c r="I10" s="91"/>
      <c r="J10" s="103"/>
      <c r="K10" s="103"/>
      <c r="L10" s="21">
        <v>1</v>
      </c>
      <c r="M10" s="21">
        <v>2</v>
      </c>
      <c r="N10" s="21">
        <v>3</v>
      </c>
      <c r="O10" s="35"/>
      <c r="P10" s="22">
        <v>1</v>
      </c>
      <c r="Q10" s="22">
        <v>2</v>
      </c>
      <c r="R10" s="22">
        <v>3</v>
      </c>
      <c r="S10" s="96"/>
      <c r="T10" s="19" t="s">
        <v>26</v>
      </c>
      <c r="U10" s="23" t="s">
        <v>27</v>
      </c>
      <c r="V10" s="19" t="s">
        <v>28</v>
      </c>
      <c r="W10" s="23" t="s">
        <v>29</v>
      </c>
      <c r="X10" s="38" t="s">
        <v>19</v>
      </c>
      <c r="Y10" s="35"/>
    </row>
    <row r="11" spans="1:30" s="4" customFormat="1" ht="35.1" customHeight="1">
      <c r="A11" s="35"/>
      <c r="B11" s="76">
        <v>4.5</v>
      </c>
      <c r="C11" s="69" t="s">
        <v>692</v>
      </c>
      <c r="D11" s="31" t="s">
        <v>707</v>
      </c>
      <c r="E11" s="29" t="s">
        <v>34</v>
      </c>
      <c r="F11" s="28">
        <v>6.8</v>
      </c>
      <c r="G11" s="29">
        <v>1E-3</v>
      </c>
      <c r="H11" s="29">
        <v>1E-3</v>
      </c>
      <c r="I11" s="82" t="s">
        <v>39</v>
      </c>
      <c r="J11" s="83"/>
      <c r="K11" s="83"/>
      <c r="L11" s="85"/>
      <c r="M11" s="85"/>
      <c r="N11" s="85"/>
      <c r="O11" s="35"/>
      <c r="P11" s="84" t="str">
        <f t="shared" ref="P11" si="0">IF(ISERR(L11/L11)=TRUE," ",L11-$F11)</f>
        <v xml:space="preserve"> </v>
      </c>
      <c r="Q11" s="22" t="str">
        <f t="shared" ref="Q11" si="1">IF(ISERR(M11/M11)=TRUE," ",M11-$F11)</f>
        <v xml:space="preserve"> </v>
      </c>
      <c r="R11" s="22" t="str">
        <f t="shared" ref="R11" si="2">IF(ISERR(N11/N11)=TRUE," ",N11-$F11)</f>
        <v xml:space="preserve"> </v>
      </c>
      <c r="S11" s="80" t="str">
        <f t="shared" ref="S11" si="3">IF(ISERR(L11/L11)=TRUE," ",AVERAGE(L11:N11))</f>
        <v xml:space="preserve"> </v>
      </c>
      <c r="T11" s="38" t="str">
        <f t="shared" ref="T11" si="4">IF(ISERR(G11/G11)=TRUE," ",IF(ISERR(L11/L11)=TRUE," ",IF(ISNUMBER($L11)=FALSE," ",IF(MAX($L11:$N11)&lt;$F11,0,(MAX($L11:$N11)-$F11)/$G11))))</f>
        <v xml:space="preserve"> </v>
      </c>
      <c r="U11" s="23" t="str">
        <f t="shared" ref="U11" si="5">IF(ISERR(H11/F11)=TRUE," ",IF(ISERR(H11/H11)=TRUE," ",IF(ISERR(L11/L11)=TRUE," ",IF(ISNUMBER(L11)=FALSE," ",IF(MIN(L11:N11)&gt;$F11,0,($F11-MIN(L11:N11))/-H11)))))</f>
        <v xml:space="preserve"> </v>
      </c>
      <c r="V11" s="38" t="str">
        <f t="shared" ref="V11:V18" si="6">IF(ISNUMBER($T11)=TRUE,IF($T11&gt;0.651,IF($T11&gt;1.001,"Reject","Alert")," ")," ")</f>
        <v xml:space="preserve"> </v>
      </c>
      <c r="W11" s="23" t="str">
        <f t="shared" ref="W11" si="7">IF(L11="","",IF(ISERR(H11/H11)=TRUE," ",IF(ISERR(H11/F11)=TRUE,IF((H11-MIN(L11:N11))&gt;0.001,"Reject",""),IF(ISNUMBER($U11)=TRUE,IF($U11&gt;0.651,IF($U11&gt;1.001,"Reject","Alert")," ")," "))))</f>
        <v/>
      </c>
      <c r="X11" s="38"/>
      <c r="Y11" s="35"/>
    </row>
    <row r="12" spans="1:30" s="4" customFormat="1" ht="35.1" customHeight="1">
      <c r="A12" s="35"/>
      <c r="B12" s="76">
        <v>5.5</v>
      </c>
      <c r="C12" s="69" t="s">
        <v>693</v>
      </c>
      <c r="D12" s="31" t="s">
        <v>707</v>
      </c>
      <c r="E12" s="29" t="s">
        <v>34</v>
      </c>
      <c r="F12" s="28">
        <v>7.8</v>
      </c>
      <c r="G12" s="29">
        <v>2E-3</v>
      </c>
      <c r="H12" s="29">
        <v>1.0009999999999999</v>
      </c>
      <c r="I12" s="82" t="s">
        <v>39</v>
      </c>
      <c r="J12" s="83"/>
      <c r="K12" s="83"/>
      <c r="L12" s="85"/>
      <c r="M12" s="85"/>
      <c r="N12" s="85"/>
      <c r="O12" s="35"/>
      <c r="P12" s="84" t="str">
        <f t="shared" ref="P12:P13" si="8">IF(ISERR(L12/L12)=TRUE," ",L12-$F12)</f>
        <v xml:space="preserve"> </v>
      </c>
      <c r="Q12" s="22" t="str">
        <f t="shared" ref="Q12:Q13" si="9">IF(ISERR(M12/M12)=TRUE," ",M12-$F12)</f>
        <v xml:space="preserve"> </v>
      </c>
      <c r="R12" s="22" t="str">
        <f t="shared" ref="R12:R13" si="10">IF(ISERR(N12/N12)=TRUE," ",N12-$F12)</f>
        <v xml:space="preserve"> </v>
      </c>
      <c r="S12" s="80" t="str">
        <f t="shared" ref="S12:S13" si="11">IF(ISERR(L12/L12)=TRUE," ",AVERAGE(L12:N12))</f>
        <v xml:space="preserve"> </v>
      </c>
      <c r="T12" s="38" t="str">
        <f t="shared" ref="T12:T13" si="12">IF(ISERR(G12/G12)=TRUE," ",IF(ISERR(L12/L12)=TRUE," ",IF(ISNUMBER($L12)=FALSE," ",IF(MAX($L12:$N12)&lt;$F12,0,(MAX($L12:$N12)-$F12)/$G12))))</f>
        <v xml:space="preserve"> </v>
      </c>
      <c r="U12" s="23" t="str">
        <f t="shared" ref="U12:U13" si="13">IF(ISERR(H12/F12)=TRUE," ",IF(ISERR(H12/H12)=TRUE," ",IF(ISERR(L12/L12)=TRUE," ",IF(ISNUMBER(L12)=FALSE," ",IF(MIN(L12:N12)&gt;$F12,0,($F12-MIN(L12:N12))/-H12)))))</f>
        <v xml:space="preserve"> </v>
      </c>
      <c r="V12" s="38" t="str">
        <f t="shared" si="6"/>
        <v xml:space="preserve"> </v>
      </c>
      <c r="W12" s="23" t="str">
        <f t="shared" ref="W12:W13" si="14">IF(L12="","",IF(ISERR(H12/H12)=TRUE," ",IF(ISERR(H12/F12)=TRUE,IF((H12-MIN(L12:N12))&gt;0.001,"Reject",""),IF(ISNUMBER($U12)=TRUE,IF($U12&gt;0.651,IF($U12&gt;1.001,"Reject","Alert")," ")," "))))</f>
        <v/>
      </c>
      <c r="X12" s="38"/>
      <c r="Y12" s="35"/>
    </row>
    <row r="13" spans="1:30" s="4" customFormat="1" ht="35.1" customHeight="1">
      <c r="A13" s="35"/>
      <c r="B13" s="76">
        <v>6.5</v>
      </c>
      <c r="C13" s="69" t="s">
        <v>694</v>
      </c>
      <c r="D13" s="31" t="s">
        <v>707</v>
      </c>
      <c r="E13" s="29" t="s">
        <v>34</v>
      </c>
      <c r="F13" s="28">
        <v>8.8000000000000007</v>
      </c>
      <c r="G13" s="29">
        <v>5.0000000000000001E-3</v>
      </c>
      <c r="H13" s="29">
        <v>5.0000000000000001E-3</v>
      </c>
      <c r="I13" s="82" t="s">
        <v>39</v>
      </c>
      <c r="J13" s="83"/>
      <c r="K13" s="83"/>
      <c r="L13" s="85"/>
      <c r="M13" s="85"/>
      <c r="N13" s="85"/>
      <c r="O13" s="35"/>
      <c r="P13" s="84" t="str">
        <f t="shared" si="8"/>
        <v xml:space="preserve"> </v>
      </c>
      <c r="Q13" s="22" t="str">
        <f t="shared" si="9"/>
        <v xml:space="preserve"> </v>
      </c>
      <c r="R13" s="22" t="str">
        <f t="shared" si="10"/>
        <v xml:space="preserve"> </v>
      </c>
      <c r="S13" s="80" t="str">
        <f t="shared" si="11"/>
        <v xml:space="preserve"> </v>
      </c>
      <c r="T13" s="38" t="str">
        <f t="shared" si="12"/>
        <v xml:space="preserve"> </v>
      </c>
      <c r="U13" s="23" t="str">
        <f t="shared" si="13"/>
        <v xml:space="preserve"> </v>
      </c>
      <c r="V13" s="38" t="str">
        <f t="shared" si="6"/>
        <v xml:space="preserve"> </v>
      </c>
      <c r="W13" s="23" t="str">
        <f t="shared" si="14"/>
        <v/>
      </c>
      <c r="X13" s="38"/>
      <c r="Y13" s="35"/>
    </row>
    <row r="14" spans="1:30" s="4" customFormat="1" ht="35.1" customHeight="1">
      <c r="A14" s="35"/>
      <c r="B14" s="76">
        <v>100</v>
      </c>
      <c r="C14" s="69" t="s">
        <v>952</v>
      </c>
      <c r="D14" s="31" t="s">
        <v>707</v>
      </c>
      <c r="E14" s="29" t="s">
        <v>34</v>
      </c>
      <c r="F14" s="28">
        <v>12</v>
      </c>
      <c r="G14" s="29">
        <v>5.0000000000000001E-3</v>
      </c>
      <c r="H14" s="29">
        <v>5.0000000000000001E-3</v>
      </c>
      <c r="I14" s="82" t="s">
        <v>950</v>
      </c>
      <c r="J14" s="83"/>
      <c r="K14" s="83"/>
      <c r="L14" s="85"/>
      <c r="M14" s="85"/>
      <c r="N14" s="85"/>
      <c r="O14" s="35"/>
      <c r="P14" s="84"/>
      <c r="Q14" s="22"/>
      <c r="R14" s="22"/>
      <c r="S14" s="86"/>
      <c r="T14" s="38"/>
      <c r="U14" s="23"/>
      <c r="V14" s="38"/>
      <c r="W14" s="23"/>
      <c r="X14" s="38"/>
      <c r="Y14" s="35"/>
    </row>
    <row r="15" spans="1:30" s="4" customFormat="1" ht="35.1" customHeight="1">
      <c r="A15" s="35"/>
      <c r="B15" s="76">
        <v>43</v>
      </c>
      <c r="C15" s="69" t="s">
        <v>952</v>
      </c>
      <c r="D15" s="31" t="s">
        <v>707</v>
      </c>
      <c r="E15" s="29" t="s">
        <v>34</v>
      </c>
      <c r="F15" s="28">
        <v>13.5</v>
      </c>
      <c r="G15" s="29">
        <v>5.0000000000000001E-3</v>
      </c>
      <c r="H15" s="29">
        <v>5.0000000000000001E-3</v>
      </c>
      <c r="I15" s="82" t="s">
        <v>950</v>
      </c>
      <c r="J15" s="83"/>
      <c r="K15" s="83"/>
      <c r="L15" s="85"/>
      <c r="M15" s="85"/>
      <c r="N15" s="85"/>
      <c r="O15" s="35"/>
      <c r="P15" s="84"/>
      <c r="Q15" s="22"/>
      <c r="R15" s="22"/>
      <c r="S15" s="86"/>
      <c r="T15" s="38"/>
      <c r="U15" s="23"/>
      <c r="V15" s="38"/>
      <c r="W15" s="23"/>
      <c r="X15" s="38"/>
      <c r="Y15" s="35"/>
    </row>
    <row r="16" spans="1:30" s="4" customFormat="1" ht="35.1" customHeight="1">
      <c r="A16" s="35"/>
      <c r="B16" s="76">
        <v>65</v>
      </c>
      <c r="C16" s="69" t="s">
        <v>952</v>
      </c>
      <c r="D16" s="31" t="s">
        <v>707</v>
      </c>
      <c r="E16" s="29" t="s">
        <v>34</v>
      </c>
      <c r="F16" s="28">
        <v>88</v>
      </c>
      <c r="G16" s="29">
        <v>5.0000000000000001E-3</v>
      </c>
      <c r="H16" s="29">
        <v>5.0000000000000001E-3</v>
      </c>
      <c r="I16" s="82" t="s">
        <v>950</v>
      </c>
      <c r="J16" s="83"/>
      <c r="K16" s="83"/>
      <c r="L16" s="85"/>
      <c r="M16" s="85"/>
      <c r="N16" s="85"/>
      <c r="O16" s="35"/>
      <c r="P16" s="84"/>
      <c r="Q16" s="22"/>
      <c r="R16" s="22"/>
      <c r="S16" s="86"/>
      <c r="T16" s="38"/>
      <c r="U16" s="23"/>
      <c r="V16" s="38"/>
      <c r="W16" s="23"/>
      <c r="X16" s="38"/>
      <c r="Y16" s="35"/>
    </row>
    <row r="17" spans="1:25" s="4" customFormat="1" ht="35.1" customHeight="1">
      <c r="A17" s="35"/>
      <c r="B17" s="76">
        <v>11.2</v>
      </c>
      <c r="C17" s="69" t="s">
        <v>695</v>
      </c>
      <c r="D17" s="31" t="s">
        <v>948</v>
      </c>
      <c r="E17" s="29" t="s">
        <v>34</v>
      </c>
      <c r="F17" s="28">
        <v>11.9</v>
      </c>
      <c r="G17" s="29">
        <v>5.0000000000000001E-3</v>
      </c>
      <c r="H17" s="29">
        <v>5.0000000000000001E-3</v>
      </c>
      <c r="I17" s="82" t="s">
        <v>951</v>
      </c>
      <c r="J17" s="83"/>
      <c r="K17" s="83"/>
      <c r="L17" s="85"/>
      <c r="M17" s="85"/>
      <c r="N17" s="85"/>
      <c r="O17" s="35"/>
      <c r="P17" s="84" t="str">
        <f t="shared" ref="P17:P18" si="15">IF(ISERR(L17/L17)=TRUE," ",L17-$F17)</f>
        <v xml:space="preserve"> </v>
      </c>
      <c r="Q17" s="22" t="str">
        <f t="shared" ref="Q17:Q18" si="16">IF(ISERR(M17/M17)=TRUE," ",M17-$F17)</f>
        <v xml:space="preserve"> </v>
      </c>
      <c r="R17" s="22" t="str">
        <f t="shared" ref="R17:R18" si="17">IF(ISERR(N17/N17)=TRUE," ",N17-$F17)</f>
        <v xml:space="preserve"> </v>
      </c>
      <c r="S17" s="81" t="str">
        <f t="shared" ref="S17:S18" si="18">IF(ISERR(L17/L17)=TRUE," ",AVERAGE(L17:N17))</f>
        <v xml:space="preserve"> </v>
      </c>
      <c r="T17" s="38" t="str">
        <f t="shared" ref="T17:T18" si="19">IF(ISERR(G17/G17)=TRUE," ",IF(ISERR(L17/L17)=TRUE," ",IF(ISNUMBER($L17)=FALSE," ",IF(MAX($L17:$N17)&lt;$F17,0,(MAX($L17:$N17)-$F17)/$G17))))</f>
        <v xml:space="preserve"> </v>
      </c>
      <c r="U17" s="23" t="str">
        <f t="shared" ref="U17:U18" si="20">IF(ISERR(H17/F17)=TRUE," ",IF(ISERR(H17/H17)=TRUE," ",IF(ISERR(L17/L17)=TRUE," ",IF(ISNUMBER(L17)=FALSE," ",IF(MIN(L17:N17)&gt;$F17,0,($F17-MIN(L17:N17))/-H17)))))</f>
        <v xml:space="preserve"> </v>
      </c>
      <c r="V17" s="38" t="str">
        <f t="shared" si="6"/>
        <v xml:space="preserve"> </v>
      </c>
      <c r="W17" s="23" t="str">
        <f t="shared" ref="W17:W18" si="21">IF(L17="","",IF(ISERR(H17/H17)=TRUE," ",IF(ISERR(H17/F17)=TRUE,IF((H17-MIN(L17:N17))&gt;0.001,"Reject",""),IF(ISNUMBER($U17)=TRUE,IF($U17&gt;0.651,IF($U17&gt;1.001,"Reject","Alert")," ")," "))))</f>
        <v/>
      </c>
      <c r="X17" s="38"/>
      <c r="Y17" s="35"/>
    </row>
    <row r="18" spans="1:25" s="4" customFormat="1" ht="35.1" customHeight="1">
      <c r="A18" s="35"/>
      <c r="B18" s="76">
        <v>12.3</v>
      </c>
      <c r="C18" s="69" t="s">
        <v>696</v>
      </c>
      <c r="D18" s="31" t="s">
        <v>949</v>
      </c>
      <c r="E18" s="29" t="s">
        <v>34</v>
      </c>
      <c r="F18" s="28">
        <v>45</v>
      </c>
      <c r="G18" s="29">
        <v>5.0000000000000001E-3</v>
      </c>
      <c r="H18" s="29">
        <v>5.0000000000000001E-3</v>
      </c>
      <c r="I18" s="82" t="s">
        <v>951</v>
      </c>
      <c r="J18" s="83"/>
      <c r="K18" s="83"/>
      <c r="L18" s="85"/>
      <c r="M18" s="85"/>
      <c r="N18" s="85"/>
      <c r="O18" s="35"/>
      <c r="P18" s="84" t="str">
        <f t="shared" si="15"/>
        <v xml:space="preserve"> </v>
      </c>
      <c r="Q18" s="22" t="str">
        <f t="shared" si="16"/>
        <v xml:space="preserve"> </v>
      </c>
      <c r="R18" s="22" t="str">
        <f t="shared" si="17"/>
        <v xml:space="preserve"> </v>
      </c>
      <c r="S18" s="81" t="str">
        <f t="shared" si="18"/>
        <v xml:space="preserve"> </v>
      </c>
      <c r="T18" s="38" t="str">
        <f t="shared" si="19"/>
        <v xml:space="preserve"> </v>
      </c>
      <c r="U18" s="23" t="str">
        <f t="shared" si="20"/>
        <v xml:space="preserve"> </v>
      </c>
      <c r="V18" s="38" t="str">
        <f t="shared" si="6"/>
        <v xml:space="preserve"> </v>
      </c>
      <c r="W18" s="23" t="str">
        <f t="shared" si="21"/>
        <v/>
      </c>
      <c r="X18" s="38"/>
      <c r="Y18" s="35"/>
    </row>
    <row r="19" spans="1:25" s="4" customFormat="1" ht="18" customHeight="1">
      <c r="A19" s="36"/>
      <c r="B19" s="69">
        <v>13.01</v>
      </c>
      <c r="C19" s="69"/>
      <c r="D19" s="31" t="s">
        <v>308</v>
      </c>
      <c r="E19" s="29" t="s">
        <v>34</v>
      </c>
      <c r="F19" s="28">
        <v>15.23</v>
      </c>
      <c r="G19" s="29">
        <v>0.1</v>
      </c>
      <c r="H19" s="29">
        <v>-0.1</v>
      </c>
      <c r="I19" s="30" t="s">
        <v>39</v>
      </c>
      <c r="J19" s="12">
        <f t="shared" ref="J19:J82" si="22">IF(AND(F19="",G19=""),"",IF(F19="",G19,F19+G19))</f>
        <v>15.33</v>
      </c>
      <c r="K19" s="12">
        <f t="shared" ref="K19:K82" si="23">IF(AND(F19="",H19=""),"",IF(F19="",H19,F19+H19))</f>
        <v>15.13</v>
      </c>
      <c r="L19" s="78"/>
      <c r="M19" s="78"/>
      <c r="N19" s="78"/>
      <c r="O19" s="36"/>
      <c r="P19" s="24" t="str">
        <f t="shared" ref="P19:R54" si="24">IF(ISERR(L19/L19)=TRUE," ",L19-$F19)</f>
        <v xml:space="preserve"> </v>
      </c>
      <c r="Q19" s="25" t="str">
        <f t="shared" si="24"/>
        <v xml:space="preserve"> </v>
      </c>
      <c r="R19" s="25" t="str">
        <f t="shared" si="24"/>
        <v xml:space="preserve"> </v>
      </c>
      <c r="S19" s="26" t="str">
        <f t="shared" ref="S19:S82" si="25">IF(ISERR(L19/L19)=TRUE," ",AVERAGE(L19:N19))</f>
        <v xml:space="preserve"> </v>
      </c>
      <c r="T19" s="7" t="str">
        <f t="shared" ref="T19:T82" si="26">IF(ISERR(G19/G19)=TRUE," ",IF(ISERR(L19/L19)=TRUE," ",IF(ISNUMBER($L19)=FALSE," ",IF(MAX($L19:$N19)&lt;$F19,0,(MAX($L19:$N19)-$F19)/$G19))))</f>
        <v xml:space="preserve"> </v>
      </c>
      <c r="U19" s="8" t="str">
        <f t="shared" ref="U19:U82" si="27">IF(ISERR(H19/F19)=TRUE," ",IF(ISERR(H19/H19)=TRUE," ",IF(ISERR(L19/L19)=TRUE," ",IF(ISNUMBER(L19)=FALSE," ",IF(MIN(L19:N19)&gt;$F19,0,($F19-MIN(L19:N19))/-H19)))))</f>
        <v xml:space="preserve"> </v>
      </c>
      <c r="V19" s="9" t="str">
        <f t="shared" ref="V19:V82" si="28">IF(ISNUMBER($T19)=TRUE,IF($T19&gt;0.651,IF($T19&gt;1.001,"Reject","Alert")," ")," ")</f>
        <v xml:space="preserve"> </v>
      </c>
      <c r="W19" s="9" t="str">
        <f t="shared" ref="W19:W82" si="29">IF(L19="","",IF(ISERR(H19/H19)=TRUE," ",IF(ISERR(H19/F19)=TRUE,IF((H19-MIN(L19:N19))&gt;0.001,"Reject",""),IF(ISNUMBER($U19)=TRUE,IF($U19&gt;0.651,IF($U19&gt;1.001,"Reject","Alert")," ")," "))))</f>
        <v/>
      </c>
      <c r="X19" s="32"/>
      <c r="Y19" s="36"/>
    </row>
    <row r="20" spans="1:25" s="4" customFormat="1" ht="18" customHeight="1">
      <c r="A20" s="36"/>
      <c r="B20" s="69">
        <v>13.02</v>
      </c>
      <c r="C20" s="69"/>
      <c r="D20" s="31" t="s">
        <v>308</v>
      </c>
      <c r="E20" s="29" t="s">
        <v>34</v>
      </c>
      <c r="F20" s="28">
        <v>15.23</v>
      </c>
      <c r="G20" s="29">
        <v>0.1</v>
      </c>
      <c r="H20" s="29">
        <v>-0.1</v>
      </c>
      <c r="I20" s="30" t="s">
        <v>39</v>
      </c>
      <c r="J20" s="12">
        <f t="shared" si="22"/>
        <v>15.33</v>
      </c>
      <c r="K20" s="12">
        <f t="shared" si="23"/>
        <v>15.13</v>
      </c>
      <c r="L20" s="78"/>
      <c r="M20" s="78"/>
      <c r="N20" s="78"/>
      <c r="O20" s="36"/>
      <c r="P20" s="24" t="str">
        <f t="shared" si="24"/>
        <v xml:space="preserve"> </v>
      </c>
      <c r="Q20" s="25" t="str">
        <f t="shared" si="24"/>
        <v xml:space="preserve"> </v>
      </c>
      <c r="R20" s="25" t="str">
        <f t="shared" si="24"/>
        <v xml:space="preserve"> </v>
      </c>
      <c r="S20" s="26" t="str">
        <f t="shared" si="25"/>
        <v xml:space="preserve"> </v>
      </c>
      <c r="T20" s="7" t="str">
        <f t="shared" si="26"/>
        <v xml:space="preserve"> </v>
      </c>
      <c r="U20" s="8" t="str">
        <f t="shared" si="27"/>
        <v xml:space="preserve"> </v>
      </c>
      <c r="V20" s="9" t="str">
        <f t="shared" si="28"/>
        <v xml:space="preserve"> </v>
      </c>
      <c r="W20" s="9" t="str">
        <f t="shared" si="29"/>
        <v/>
      </c>
      <c r="X20" s="32"/>
      <c r="Y20" s="36"/>
    </row>
    <row r="21" spans="1:25" s="4" customFormat="1" ht="18" customHeight="1">
      <c r="A21" s="36"/>
      <c r="B21" s="69">
        <v>14.01</v>
      </c>
      <c r="C21" s="69"/>
      <c r="D21" s="31" t="s">
        <v>308</v>
      </c>
      <c r="E21" s="29" t="s">
        <v>34</v>
      </c>
      <c r="F21" s="28">
        <v>29.23</v>
      </c>
      <c r="G21" s="29">
        <v>0.1</v>
      </c>
      <c r="H21" s="29">
        <v>-0.1</v>
      </c>
      <c r="I21" s="30" t="s">
        <v>39</v>
      </c>
      <c r="J21" s="12">
        <f t="shared" si="22"/>
        <v>29.330000000000002</v>
      </c>
      <c r="K21" s="12">
        <f t="shared" si="23"/>
        <v>29.13</v>
      </c>
      <c r="L21" s="78"/>
      <c r="M21" s="78"/>
      <c r="N21" s="78"/>
      <c r="O21" s="36"/>
      <c r="P21" s="24" t="str">
        <f t="shared" si="24"/>
        <v xml:space="preserve"> </v>
      </c>
      <c r="Q21" s="25" t="str">
        <f t="shared" si="24"/>
        <v xml:space="preserve"> </v>
      </c>
      <c r="R21" s="25" t="str">
        <f t="shared" si="24"/>
        <v xml:space="preserve"> </v>
      </c>
      <c r="S21" s="26" t="str">
        <f t="shared" si="25"/>
        <v xml:space="preserve"> </v>
      </c>
      <c r="T21" s="7" t="str">
        <f t="shared" si="26"/>
        <v xml:space="preserve"> </v>
      </c>
      <c r="U21" s="8" t="str">
        <f t="shared" si="27"/>
        <v xml:space="preserve"> </v>
      </c>
      <c r="V21" s="9" t="str">
        <f t="shared" si="28"/>
        <v xml:space="preserve"> </v>
      </c>
      <c r="W21" s="9" t="str">
        <f t="shared" si="29"/>
        <v/>
      </c>
      <c r="X21" s="32"/>
      <c r="Y21" s="36"/>
    </row>
    <row r="22" spans="1:25" s="4" customFormat="1" ht="18" customHeight="1">
      <c r="A22" s="36"/>
      <c r="B22" s="69">
        <v>14.02</v>
      </c>
      <c r="C22" s="69"/>
      <c r="D22" s="31" t="s">
        <v>308</v>
      </c>
      <c r="E22" s="29" t="s">
        <v>34</v>
      </c>
      <c r="F22" s="28">
        <v>29.23</v>
      </c>
      <c r="G22" s="29">
        <v>0.1</v>
      </c>
      <c r="H22" s="29">
        <v>-0.1</v>
      </c>
      <c r="I22" s="30" t="s">
        <v>39</v>
      </c>
      <c r="J22" s="12">
        <f t="shared" si="22"/>
        <v>29.330000000000002</v>
      </c>
      <c r="K22" s="12">
        <f t="shared" si="23"/>
        <v>29.13</v>
      </c>
      <c r="L22" s="78"/>
      <c r="M22" s="78"/>
      <c r="N22" s="78"/>
      <c r="O22" s="36"/>
      <c r="P22" s="24" t="str">
        <f t="shared" si="24"/>
        <v xml:space="preserve"> </v>
      </c>
      <c r="Q22" s="25" t="str">
        <f t="shared" si="24"/>
        <v xml:space="preserve"> </v>
      </c>
      <c r="R22" s="25" t="str">
        <f t="shared" si="24"/>
        <v xml:space="preserve"> </v>
      </c>
      <c r="S22" s="26" t="str">
        <f t="shared" si="25"/>
        <v xml:space="preserve"> </v>
      </c>
      <c r="T22" s="7" t="str">
        <f t="shared" si="26"/>
        <v xml:space="preserve"> </v>
      </c>
      <c r="U22" s="8" t="str">
        <f t="shared" si="27"/>
        <v xml:space="preserve"> </v>
      </c>
      <c r="V22" s="9" t="str">
        <f t="shared" si="28"/>
        <v xml:space="preserve"> </v>
      </c>
      <c r="W22" s="9" t="str">
        <f t="shared" si="29"/>
        <v/>
      </c>
      <c r="X22" s="32"/>
      <c r="Y22" s="36"/>
    </row>
    <row r="23" spans="1:25" s="4" customFormat="1" ht="18" customHeight="1">
      <c r="A23" s="36"/>
      <c r="B23" s="69">
        <v>15.01</v>
      </c>
      <c r="C23" s="69"/>
      <c r="D23" s="31" t="s">
        <v>308</v>
      </c>
      <c r="E23" s="29" t="s">
        <v>34</v>
      </c>
      <c r="F23" s="28">
        <v>4.8</v>
      </c>
      <c r="G23" s="29">
        <v>0.1</v>
      </c>
      <c r="H23" s="29">
        <v>-0.1</v>
      </c>
      <c r="I23" s="30" t="s">
        <v>39</v>
      </c>
      <c r="J23" s="12">
        <f t="shared" si="22"/>
        <v>4.8999999999999995</v>
      </c>
      <c r="K23" s="12">
        <f t="shared" si="23"/>
        <v>4.7</v>
      </c>
      <c r="L23" s="78"/>
      <c r="M23" s="78"/>
      <c r="N23" s="78"/>
      <c r="O23" s="36"/>
      <c r="P23" s="24" t="str">
        <f t="shared" si="24"/>
        <v xml:space="preserve"> </v>
      </c>
      <c r="Q23" s="25" t="str">
        <f t="shared" si="24"/>
        <v xml:space="preserve"> </v>
      </c>
      <c r="R23" s="25" t="str">
        <f t="shared" si="24"/>
        <v xml:space="preserve"> </v>
      </c>
      <c r="S23" s="26" t="str">
        <f t="shared" si="25"/>
        <v xml:space="preserve"> </v>
      </c>
      <c r="T23" s="7" t="str">
        <f t="shared" si="26"/>
        <v xml:space="preserve"> </v>
      </c>
      <c r="U23" s="8" t="str">
        <f t="shared" si="27"/>
        <v xml:space="preserve"> </v>
      </c>
      <c r="V23" s="9" t="str">
        <f t="shared" si="28"/>
        <v xml:space="preserve"> </v>
      </c>
      <c r="W23" s="9" t="str">
        <f t="shared" si="29"/>
        <v/>
      </c>
      <c r="X23" s="32"/>
      <c r="Y23" s="36"/>
    </row>
    <row r="24" spans="1:25" s="4" customFormat="1" ht="18" customHeight="1">
      <c r="A24" s="36"/>
      <c r="B24" s="69">
        <v>15.02</v>
      </c>
      <c r="C24" s="69"/>
      <c r="D24" s="31" t="s">
        <v>308</v>
      </c>
      <c r="E24" s="29" t="s">
        <v>34</v>
      </c>
      <c r="F24" s="28">
        <v>4.8</v>
      </c>
      <c r="G24" s="29">
        <v>0.1</v>
      </c>
      <c r="H24" s="29">
        <v>-0.1</v>
      </c>
      <c r="I24" s="30" t="s">
        <v>39</v>
      </c>
      <c r="J24" s="12">
        <f t="shared" si="22"/>
        <v>4.8999999999999995</v>
      </c>
      <c r="K24" s="12">
        <f t="shared" si="23"/>
        <v>4.7</v>
      </c>
      <c r="L24" s="78"/>
      <c r="M24" s="78"/>
      <c r="N24" s="78"/>
      <c r="O24" s="36"/>
      <c r="P24" s="24" t="str">
        <f t="shared" si="24"/>
        <v xml:space="preserve"> </v>
      </c>
      <c r="Q24" s="25" t="str">
        <f t="shared" si="24"/>
        <v xml:space="preserve"> </v>
      </c>
      <c r="R24" s="25" t="str">
        <f t="shared" si="24"/>
        <v xml:space="preserve"> </v>
      </c>
      <c r="S24" s="26" t="str">
        <f t="shared" si="25"/>
        <v xml:space="preserve"> </v>
      </c>
      <c r="T24" s="7" t="str">
        <f t="shared" si="26"/>
        <v xml:space="preserve"> </v>
      </c>
      <c r="U24" s="8" t="str">
        <f t="shared" si="27"/>
        <v xml:space="preserve"> </v>
      </c>
      <c r="V24" s="9" t="str">
        <f t="shared" si="28"/>
        <v xml:space="preserve"> </v>
      </c>
      <c r="W24" s="9" t="str">
        <f t="shared" si="29"/>
        <v/>
      </c>
      <c r="X24" s="32"/>
      <c r="Y24" s="36"/>
    </row>
    <row r="25" spans="1:25" s="4" customFormat="1" ht="18" customHeight="1">
      <c r="A25" s="36"/>
      <c r="B25" s="69">
        <v>19.010000000000002</v>
      </c>
      <c r="C25" s="69"/>
      <c r="D25" s="31" t="s">
        <v>309</v>
      </c>
      <c r="E25" s="29" t="s">
        <v>34</v>
      </c>
      <c r="F25" s="28">
        <v>4.54</v>
      </c>
      <c r="G25" s="29">
        <v>0.1</v>
      </c>
      <c r="H25" s="29">
        <v>-0.1</v>
      </c>
      <c r="I25" s="30" t="s">
        <v>33</v>
      </c>
      <c r="J25" s="12">
        <f t="shared" si="22"/>
        <v>4.6399999999999997</v>
      </c>
      <c r="K25" s="12">
        <f t="shared" si="23"/>
        <v>4.4400000000000004</v>
      </c>
      <c r="L25" s="78"/>
      <c r="M25" s="78"/>
      <c r="N25" s="78"/>
      <c r="O25" s="36"/>
      <c r="P25" s="24" t="str">
        <f t="shared" si="24"/>
        <v xml:space="preserve"> </v>
      </c>
      <c r="Q25" s="25" t="str">
        <f t="shared" si="24"/>
        <v xml:space="preserve"> </v>
      </c>
      <c r="R25" s="25" t="str">
        <f t="shared" si="24"/>
        <v xml:space="preserve"> </v>
      </c>
      <c r="S25" s="26" t="str">
        <f t="shared" si="25"/>
        <v xml:space="preserve"> </v>
      </c>
      <c r="T25" s="7" t="str">
        <f t="shared" si="26"/>
        <v xml:space="preserve"> </v>
      </c>
      <c r="U25" s="8" t="str">
        <f t="shared" si="27"/>
        <v xml:space="preserve"> </v>
      </c>
      <c r="V25" s="9" t="str">
        <f t="shared" si="28"/>
        <v xml:space="preserve"> </v>
      </c>
      <c r="W25" s="9" t="str">
        <f t="shared" si="29"/>
        <v/>
      </c>
      <c r="X25" s="32"/>
      <c r="Y25" s="36"/>
    </row>
    <row r="26" spans="1:25" s="4" customFormat="1" ht="18" customHeight="1">
      <c r="A26" s="36"/>
      <c r="B26" s="69">
        <v>19.02</v>
      </c>
      <c r="C26" s="69"/>
      <c r="D26" s="31" t="s">
        <v>309</v>
      </c>
      <c r="E26" s="29" t="s">
        <v>34</v>
      </c>
      <c r="F26" s="28">
        <v>4.54</v>
      </c>
      <c r="G26" s="29">
        <v>0.1</v>
      </c>
      <c r="H26" s="29">
        <v>-0.1</v>
      </c>
      <c r="I26" s="30" t="s">
        <v>33</v>
      </c>
      <c r="J26" s="12">
        <f t="shared" si="22"/>
        <v>4.6399999999999997</v>
      </c>
      <c r="K26" s="12">
        <f t="shared" si="23"/>
        <v>4.4400000000000004</v>
      </c>
      <c r="L26" s="78"/>
      <c r="M26" s="78"/>
      <c r="N26" s="78"/>
      <c r="O26" s="36"/>
      <c r="P26" s="24" t="str">
        <f t="shared" si="24"/>
        <v xml:space="preserve"> </v>
      </c>
      <c r="Q26" s="25" t="str">
        <f t="shared" si="24"/>
        <v xml:space="preserve"> </v>
      </c>
      <c r="R26" s="25" t="str">
        <f t="shared" si="24"/>
        <v xml:space="preserve"> </v>
      </c>
      <c r="S26" s="26" t="str">
        <f t="shared" si="25"/>
        <v xml:space="preserve"> </v>
      </c>
      <c r="T26" s="7" t="str">
        <f t="shared" si="26"/>
        <v xml:space="preserve"> </v>
      </c>
      <c r="U26" s="8" t="str">
        <f t="shared" si="27"/>
        <v xml:space="preserve"> </v>
      </c>
      <c r="V26" s="9" t="str">
        <f t="shared" si="28"/>
        <v xml:space="preserve"> </v>
      </c>
      <c r="W26" s="9" t="str">
        <f t="shared" si="29"/>
        <v/>
      </c>
      <c r="X26" s="32"/>
      <c r="Y26" s="36"/>
    </row>
    <row r="27" spans="1:25" s="4" customFormat="1" ht="18" customHeight="1">
      <c r="A27" s="36"/>
      <c r="B27" s="79">
        <v>20.010000000000002</v>
      </c>
      <c r="C27" s="69"/>
      <c r="D27" s="31" t="s">
        <v>310</v>
      </c>
      <c r="E27" s="29" t="s">
        <v>34</v>
      </c>
      <c r="F27" s="28">
        <v>7.28</v>
      </c>
      <c r="G27" s="29">
        <v>0.1</v>
      </c>
      <c r="H27" s="29">
        <v>-0.1</v>
      </c>
      <c r="I27" s="30" t="s">
        <v>33</v>
      </c>
      <c r="J27" s="12">
        <f t="shared" si="22"/>
        <v>7.38</v>
      </c>
      <c r="K27" s="12">
        <f t="shared" si="23"/>
        <v>7.1800000000000006</v>
      </c>
      <c r="L27" s="78"/>
      <c r="M27" s="78"/>
      <c r="N27" s="78"/>
      <c r="O27" s="36"/>
      <c r="P27" s="24" t="str">
        <f t="shared" si="24"/>
        <v xml:space="preserve"> </v>
      </c>
      <c r="Q27" s="25" t="str">
        <f t="shared" si="24"/>
        <v xml:space="preserve"> </v>
      </c>
      <c r="R27" s="25" t="str">
        <f t="shared" si="24"/>
        <v xml:space="preserve"> </v>
      </c>
      <c r="S27" s="26" t="str">
        <f t="shared" si="25"/>
        <v xml:space="preserve"> </v>
      </c>
      <c r="T27" s="7" t="str">
        <f t="shared" si="26"/>
        <v xml:space="preserve"> </v>
      </c>
      <c r="U27" s="8" t="str">
        <f t="shared" si="27"/>
        <v xml:space="preserve"> </v>
      </c>
      <c r="V27" s="9" t="str">
        <f t="shared" si="28"/>
        <v xml:space="preserve"> </v>
      </c>
      <c r="W27" s="9" t="str">
        <f t="shared" si="29"/>
        <v/>
      </c>
      <c r="X27" s="32"/>
      <c r="Y27" s="36"/>
    </row>
    <row r="28" spans="1:25" s="4" customFormat="1" ht="18" customHeight="1">
      <c r="A28" s="36"/>
      <c r="B28" s="79">
        <v>20.02</v>
      </c>
      <c r="C28" s="69"/>
      <c r="D28" s="31" t="s">
        <v>310</v>
      </c>
      <c r="E28" s="29" t="s">
        <v>34</v>
      </c>
      <c r="F28" s="28">
        <v>7.28</v>
      </c>
      <c r="G28" s="29">
        <v>0.1</v>
      </c>
      <c r="H28" s="29">
        <v>-0.1</v>
      </c>
      <c r="I28" s="30" t="s">
        <v>33</v>
      </c>
      <c r="J28" s="12">
        <f t="shared" si="22"/>
        <v>7.38</v>
      </c>
      <c r="K28" s="12">
        <f t="shared" si="23"/>
        <v>7.1800000000000006</v>
      </c>
      <c r="L28" s="78"/>
      <c r="M28" s="78"/>
      <c r="N28" s="78"/>
      <c r="O28" s="36"/>
      <c r="P28" s="24" t="str">
        <f t="shared" si="24"/>
        <v xml:space="preserve"> </v>
      </c>
      <c r="Q28" s="25" t="str">
        <f t="shared" si="24"/>
        <v xml:space="preserve"> </v>
      </c>
      <c r="R28" s="25" t="str">
        <f t="shared" si="24"/>
        <v xml:space="preserve"> </v>
      </c>
      <c r="S28" s="26" t="str">
        <f t="shared" si="25"/>
        <v xml:space="preserve"> </v>
      </c>
      <c r="T28" s="7" t="str">
        <f t="shared" si="26"/>
        <v xml:space="preserve"> </v>
      </c>
      <c r="U28" s="8" t="str">
        <f t="shared" si="27"/>
        <v xml:space="preserve"> </v>
      </c>
      <c r="V28" s="9" t="str">
        <f t="shared" si="28"/>
        <v xml:space="preserve"> </v>
      </c>
      <c r="W28" s="9" t="str">
        <f t="shared" si="29"/>
        <v/>
      </c>
      <c r="X28" s="32"/>
      <c r="Y28" s="36"/>
    </row>
    <row r="29" spans="1:25" s="4" customFormat="1" ht="18" customHeight="1">
      <c r="A29" s="36"/>
      <c r="B29" s="79">
        <v>21.01</v>
      </c>
      <c r="C29" s="69"/>
      <c r="D29" s="31" t="s">
        <v>309</v>
      </c>
      <c r="E29" s="29" t="s">
        <v>34</v>
      </c>
      <c r="F29" s="28">
        <v>12.8</v>
      </c>
      <c r="G29" s="29">
        <v>0.1</v>
      </c>
      <c r="H29" s="29">
        <v>-0.1</v>
      </c>
      <c r="I29" s="30" t="s">
        <v>33</v>
      </c>
      <c r="J29" s="12">
        <f t="shared" si="22"/>
        <v>12.9</v>
      </c>
      <c r="K29" s="12">
        <f t="shared" si="23"/>
        <v>12.700000000000001</v>
      </c>
      <c r="L29" s="78"/>
      <c r="M29" s="78"/>
      <c r="N29" s="78"/>
      <c r="O29" s="36"/>
      <c r="P29" s="24" t="str">
        <f t="shared" si="24"/>
        <v xml:space="preserve"> </v>
      </c>
      <c r="Q29" s="25" t="str">
        <f t="shared" si="24"/>
        <v xml:space="preserve"> </v>
      </c>
      <c r="R29" s="25" t="str">
        <f t="shared" si="24"/>
        <v xml:space="preserve"> </v>
      </c>
      <c r="S29" s="26" t="str">
        <f t="shared" si="25"/>
        <v xml:space="preserve"> </v>
      </c>
      <c r="T29" s="7" t="str">
        <f t="shared" si="26"/>
        <v xml:space="preserve"> </v>
      </c>
      <c r="U29" s="8" t="str">
        <f t="shared" si="27"/>
        <v xml:space="preserve"> </v>
      </c>
      <c r="V29" s="9" t="str">
        <f t="shared" si="28"/>
        <v xml:space="preserve"> </v>
      </c>
      <c r="W29" s="9" t="str">
        <f t="shared" si="29"/>
        <v/>
      </c>
      <c r="X29" s="47"/>
      <c r="Y29" s="36"/>
    </row>
    <row r="30" spans="1:25" s="4" customFormat="1" ht="18" customHeight="1">
      <c r="A30" s="36"/>
      <c r="B30" s="79">
        <v>21.02</v>
      </c>
      <c r="C30" s="69"/>
      <c r="D30" s="31" t="s">
        <v>309</v>
      </c>
      <c r="E30" s="29" t="s">
        <v>34</v>
      </c>
      <c r="F30" s="28">
        <v>12.8</v>
      </c>
      <c r="G30" s="29">
        <v>0.1</v>
      </c>
      <c r="H30" s="29">
        <v>-0.1</v>
      </c>
      <c r="I30" s="30" t="s">
        <v>33</v>
      </c>
      <c r="J30" s="12">
        <f t="shared" si="22"/>
        <v>12.9</v>
      </c>
      <c r="K30" s="12">
        <f t="shared" si="23"/>
        <v>12.700000000000001</v>
      </c>
      <c r="L30" s="78"/>
      <c r="M30" s="78"/>
      <c r="N30" s="78"/>
      <c r="O30" s="36"/>
      <c r="P30" s="24" t="str">
        <f t="shared" si="24"/>
        <v xml:space="preserve"> </v>
      </c>
      <c r="Q30" s="25" t="str">
        <f t="shared" si="24"/>
        <v xml:space="preserve"> </v>
      </c>
      <c r="R30" s="25" t="str">
        <f t="shared" si="24"/>
        <v xml:space="preserve"> </v>
      </c>
      <c r="S30" s="26" t="str">
        <f t="shared" si="25"/>
        <v xml:space="preserve"> </v>
      </c>
      <c r="T30" s="7" t="str">
        <f t="shared" si="26"/>
        <v xml:space="preserve"> </v>
      </c>
      <c r="U30" s="8" t="str">
        <f t="shared" si="27"/>
        <v xml:space="preserve"> </v>
      </c>
      <c r="V30" s="9" t="str">
        <f t="shared" si="28"/>
        <v xml:space="preserve"> </v>
      </c>
      <c r="W30" s="9" t="str">
        <f t="shared" si="29"/>
        <v/>
      </c>
      <c r="X30" s="47"/>
      <c r="Y30" s="36"/>
    </row>
    <row r="31" spans="1:25" s="4" customFormat="1" ht="18" customHeight="1">
      <c r="A31" s="36"/>
      <c r="B31" s="79">
        <v>21.03</v>
      </c>
      <c r="C31" s="69"/>
      <c r="D31" s="31" t="s">
        <v>309</v>
      </c>
      <c r="E31" s="29" t="s">
        <v>34</v>
      </c>
      <c r="F31" s="28">
        <v>12.8</v>
      </c>
      <c r="G31" s="29">
        <v>0.1</v>
      </c>
      <c r="H31" s="29">
        <v>-0.1</v>
      </c>
      <c r="I31" s="30" t="s">
        <v>33</v>
      </c>
      <c r="J31" s="12">
        <f t="shared" si="22"/>
        <v>12.9</v>
      </c>
      <c r="K31" s="12">
        <f t="shared" si="23"/>
        <v>12.700000000000001</v>
      </c>
      <c r="L31" s="78"/>
      <c r="M31" s="78"/>
      <c r="N31" s="78"/>
      <c r="O31" s="36"/>
      <c r="P31" s="24" t="str">
        <f t="shared" si="24"/>
        <v xml:space="preserve"> </v>
      </c>
      <c r="Q31" s="25" t="str">
        <f t="shared" si="24"/>
        <v xml:space="preserve"> </v>
      </c>
      <c r="R31" s="25" t="str">
        <f t="shared" si="24"/>
        <v xml:space="preserve"> </v>
      </c>
      <c r="S31" s="26" t="str">
        <f t="shared" si="25"/>
        <v xml:space="preserve"> </v>
      </c>
      <c r="T31" s="7" t="str">
        <f t="shared" si="26"/>
        <v xml:space="preserve"> </v>
      </c>
      <c r="U31" s="8" t="str">
        <f t="shared" si="27"/>
        <v xml:space="preserve"> </v>
      </c>
      <c r="V31" s="9" t="str">
        <f t="shared" si="28"/>
        <v xml:space="preserve"> </v>
      </c>
      <c r="W31" s="9" t="str">
        <f t="shared" si="29"/>
        <v/>
      </c>
      <c r="X31" s="47"/>
      <c r="Y31" s="36"/>
    </row>
    <row r="32" spans="1:25" s="4" customFormat="1" ht="18" customHeight="1">
      <c r="A32" s="36"/>
      <c r="B32" s="79">
        <v>21.04</v>
      </c>
      <c r="C32" s="69"/>
      <c r="D32" s="31" t="s">
        <v>309</v>
      </c>
      <c r="E32" s="29" t="s">
        <v>34</v>
      </c>
      <c r="F32" s="28">
        <v>12.8</v>
      </c>
      <c r="G32" s="29">
        <v>0.1</v>
      </c>
      <c r="H32" s="29">
        <v>-0.1</v>
      </c>
      <c r="I32" s="30" t="s">
        <v>33</v>
      </c>
      <c r="J32" s="12">
        <f t="shared" si="22"/>
        <v>12.9</v>
      </c>
      <c r="K32" s="12">
        <f t="shared" si="23"/>
        <v>12.700000000000001</v>
      </c>
      <c r="L32" s="78"/>
      <c r="M32" s="78"/>
      <c r="N32" s="78"/>
      <c r="O32" s="36"/>
      <c r="P32" s="24" t="str">
        <f t="shared" si="24"/>
        <v xml:space="preserve"> </v>
      </c>
      <c r="Q32" s="25" t="str">
        <f t="shared" si="24"/>
        <v xml:space="preserve"> </v>
      </c>
      <c r="R32" s="25" t="str">
        <f t="shared" si="24"/>
        <v xml:space="preserve"> </v>
      </c>
      <c r="S32" s="26" t="str">
        <f t="shared" si="25"/>
        <v xml:space="preserve"> </v>
      </c>
      <c r="T32" s="7" t="str">
        <f t="shared" si="26"/>
        <v xml:space="preserve"> </v>
      </c>
      <c r="U32" s="8" t="str">
        <f t="shared" si="27"/>
        <v xml:space="preserve"> </v>
      </c>
      <c r="V32" s="9" t="str">
        <f t="shared" si="28"/>
        <v xml:space="preserve"> </v>
      </c>
      <c r="W32" s="9" t="str">
        <f t="shared" si="29"/>
        <v/>
      </c>
      <c r="X32" s="47"/>
      <c r="Y32" s="36"/>
    </row>
    <row r="33" spans="1:25" s="4" customFormat="1" ht="18" customHeight="1">
      <c r="A33" s="36"/>
      <c r="B33" s="69">
        <v>22</v>
      </c>
      <c r="C33" s="69" t="s">
        <v>336</v>
      </c>
      <c r="D33" s="31" t="s">
        <v>312</v>
      </c>
      <c r="E33" s="29" t="s">
        <v>34</v>
      </c>
      <c r="F33" s="28">
        <v>12.85</v>
      </c>
      <c r="G33" s="29">
        <v>0.1</v>
      </c>
      <c r="H33" s="29">
        <v>-0.1</v>
      </c>
      <c r="I33" s="30" t="s">
        <v>39</v>
      </c>
      <c r="J33" s="12">
        <f t="shared" si="22"/>
        <v>12.95</v>
      </c>
      <c r="K33" s="12">
        <f t="shared" si="23"/>
        <v>12.75</v>
      </c>
      <c r="L33" s="78"/>
      <c r="M33" s="78"/>
      <c r="N33" s="78"/>
      <c r="O33" s="36"/>
      <c r="P33" s="24" t="str">
        <f t="shared" si="24"/>
        <v xml:space="preserve"> </v>
      </c>
      <c r="Q33" s="25" t="str">
        <f t="shared" si="24"/>
        <v xml:space="preserve"> </v>
      </c>
      <c r="R33" s="25" t="str">
        <f t="shared" si="24"/>
        <v xml:space="preserve"> </v>
      </c>
      <c r="S33" s="26" t="str">
        <f t="shared" si="25"/>
        <v xml:space="preserve"> </v>
      </c>
      <c r="T33" s="7" t="str">
        <f t="shared" si="26"/>
        <v xml:space="preserve"> </v>
      </c>
      <c r="U33" s="8" t="str">
        <f t="shared" si="27"/>
        <v xml:space="preserve"> </v>
      </c>
      <c r="V33" s="9" t="str">
        <f t="shared" si="28"/>
        <v xml:space="preserve"> </v>
      </c>
      <c r="W33" s="9" t="str">
        <f t="shared" si="29"/>
        <v/>
      </c>
      <c r="X33" s="32"/>
      <c r="Y33" s="36"/>
    </row>
    <row r="34" spans="1:25" s="4" customFormat="1" ht="18" customHeight="1">
      <c r="A34" s="36"/>
      <c r="B34" s="69">
        <v>23</v>
      </c>
      <c r="C34" s="69" t="s">
        <v>337</v>
      </c>
      <c r="D34" s="31" t="s">
        <v>312</v>
      </c>
      <c r="E34" s="29" t="s">
        <v>34</v>
      </c>
      <c r="F34" s="28">
        <v>3.12</v>
      </c>
      <c r="G34" s="29">
        <v>0.1</v>
      </c>
      <c r="H34" s="29">
        <v>-0.1</v>
      </c>
      <c r="I34" s="30" t="s">
        <v>39</v>
      </c>
      <c r="J34" s="12">
        <f t="shared" si="22"/>
        <v>3.22</v>
      </c>
      <c r="K34" s="12">
        <f t="shared" si="23"/>
        <v>3.02</v>
      </c>
      <c r="L34" s="78"/>
      <c r="M34" s="78"/>
      <c r="N34" s="78"/>
      <c r="O34" s="36"/>
      <c r="P34" s="24" t="str">
        <f t="shared" si="24"/>
        <v xml:space="preserve"> </v>
      </c>
      <c r="Q34" s="25" t="str">
        <f t="shared" si="24"/>
        <v xml:space="preserve"> </v>
      </c>
      <c r="R34" s="25" t="str">
        <f t="shared" si="24"/>
        <v xml:space="preserve"> </v>
      </c>
      <c r="S34" s="26" t="str">
        <f t="shared" si="25"/>
        <v xml:space="preserve"> </v>
      </c>
      <c r="T34" s="7" t="str">
        <f t="shared" si="26"/>
        <v xml:space="preserve"> </v>
      </c>
      <c r="U34" s="8" t="str">
        <f t="shared" si="27"/>
        <v xml:space="preserve"> </v>
      </c>
      <c r="V34" s="9" t="str">
        <f t="shared" si="28"/>
        <v xml:space="preserve"> </v>
      </c>
      <c r="W34" s="9" t="str">
        <f t="shared" si="29"/>
        <v/>
      </c>
      <c r="X34" s="32"/>
      <c r="Y34" s="36"/>
    </row>
    <row r="35" spans="1:25" s="4" customFormat="1" ht="18" customHeight="1">
      <c r="A35" s="36"/>
      <c r="B35" s="69">
        <v>24</v>
      </c>
      <c r="C35" s="69" t="s">
        <v>338</v>
      </c>
      <c r="D35" s="31" t="s">
        <v>309</v>
      </c>
      <c r="E35" s="29" t="s">
        <v>34</v>
      </c>
      <c r="F35" s="28">
        <v>3.11</v>
      </c>
      <c r="G35" s="29">
        <v>0.1</v>
      </c>
      <c r="H35" s="29">
        <v>-0.1</v>
      </c>
      <c r="I35" s="30" t="s">
        <v>39</v>
      </c>
      <c r="J35" s="12">
        <f t="shared" si="22"/>
        <v>3.21</v>
      </c>
      <c r="K35" s="12">
        <f t="shared" si="23"/>
        <v>3.01</v>
      </c>
      <c r="L35" s="78"/>
      <c r="M35" s="78"/>
      <c r="N35" s="78"/>
      <c r="O35" s="36"/>
      <c r="P35" s="24" t="str">
        <f t="shared" si="24"/>
        <v xml:space="preserve"> </v>
      </c>
      <c r="Q35" s="25" t="str">
        <f t="shared" si="24"/>
        <v xml:space="preserve"> </v>
      </c>
      <c r="R35" s="25" t="str">
        <f t="shared" si="24"/>
        <v xml:space="preserve"> </v>
      </c>
      <c r="S35" s="26" t="str">
        <f t="shared" si="25"/>
        <v xml:space="preserve"> </v>
      </c>
      <c r="T35" s="7" t="str">
        <f t="shared" si="26"/>
        <v xml:space="preserve"> </v>
      </c>
      <c r="U35" s="8" t="str">
        <f t="shared" si="27"/>
        <v xml:space="preserve"> </v>
      </c>
      <c r="V35" s="9" t="str">
        <f t="shared" si="28"/>
        <v xml:space="preserve"> </v>
      </c>
      <c r="W35" s="9" t="str">
        <f t="shared" si="29"/>
        <v/>
      </c>
      <c r="X35" s="32"/>
      <c r="Y35" s="36"/>
    </row>
    <row r="36" spans="1:25" s="4" customFormat="1" ht="18" customHeight="1">
      <c r="A36" s="36"/>
      <c r="B36" s="69">
        <v>25</v>
      </c>
      <c r="C36" s="69" t="s">
        <v>339</v>
      </c>
      <c r="D36" s="31" t="s">
        <v>314</v>
      </c>
      <c r="E36" s="29" t="s">
        <v>34</v>
      </c>
      <c r="F36" s="28">
        <v>10.08</v>
      </c>
      <c r="G36" s="29">
        <v>0.1</v>
      </c>
      <c r="H36" s="29">
        <v>-0.1</v>
      </c>
      <c r="I36" s="30" t="s">
        <v>39</v>
      </c>
      <c r="J36" s="12">
        <f t="shared" si="22"/>
        <v>10.18</v>
      </c>
      <c r="K36" s="12">
        <f t="shared" si="23"/>
        <v>9.98</v>
      </c>
      <c r="L36" s="78"/>
      <c r="M36" s="78"/>
      <c r="N36" s="78"/>
      <c r="O36" s="36"/>
      <c r="P36" s="24" t="str">
        <f t="shared" si="24"/>
        <v xml:space="preserve"> </v>
      </c>
      <c r="Q36" s="25" t="str">
        <f t="shared" si="24"/>
        <v xml:space="preserve"> </v>
      </c>
      <c r="R36" s="25" t="str">
        <f t="shared" si="24"/>
        <v xml:space="preserve"> </v>
      </c>
      <c r="S36" s="26" t="str">
        <f t="shared" si="25"/>
        <v xml:space="preserve"> </v>
      </c>
      <c r="T36" s="7" t="str">
        <f t="shared" si="26"/>
        <v xml:space="preserve"> </v>
      </c>
      <c r="U36" s="8" t="str">
        <f t="shared" si="27"/>
        <v xml:space="preserve"> </v>
      </c>
      <c r="V36" s="9" t="str">
        <f t="shared" si="28"/>
        <v xml:space="preserve"> </v>
      </c>
      <c r="W36" s="9" t="str">
        <f t="shared" si="29"/>
        <v/>
      </c>
      <c r="X36" s="32"/>
      <c r="Y36" s="36"/>
    </row>
    <row r="37" spans="1:25" s="4" customFormat="1" ht="18" customHeight="1">
      <c r="A37" s="36"/>
      <c r="B37" s="69" t="s">
        <v>869</v>
      </c>
      <c r="C37" s="69" t="s">
        <v>340</v>
      </c>
      <c r="D37" s="31" t="s">
        <v>315</v>
      </c>
      <c r="E37" s="29" t="s">
        <v>34</v>
      </c>
      <c r="F37" s="28">
        <v>21.41</v>
      </c>
      <c r="G37" s="29">
        <v>0.1</v>
      </c>
      <c r="H37" s="29">
        <v>-0.1</v>
      </c>
      <c r="I37" s="30" t="s">
        <v>37</v>
      </c>
      <c r="J37" s="12">
        <f t="shared" si="22"/>
        <v>21.51</v>
      </c>
      <c r="K37" s="12">
        <f t="shared" si="23"/>
        <v>21.31</v>
      </c>
      <c r="L37" s="78"/>
      <c r="M37" s="78"/>
      <c r="N37" s="78"/>
      <c r="O37" s="36"/>
      <c r="P37" s="24" t="str">
        <f t="shared" si="24"/>
        <v xml:space="preserve"> </v>
      </c>
      <c r="Q37" s="25" t="str">
        <f t="shared" si="24"/>
        <v xml:space="preserve"> </v>
      </c>
      <c r="R37" s="25" t="str">
        <f t="shared" si="24"/>
        <v xml:space="preserve"> </v>
      </c>
      <c r="S37" s="26" t="str">
        <f t="shared" si="25"/>
        <v xml:space="preserve"> </v>
      </c>
      <c r="T37" s="7" t="str">
        <f t="shared" si="26"/>
        <v xml:space="preserve"> </v>
      </c>
      <c r="U37" s="8" t="str">
        <f t="shared" si="27"/>
        <v xml:space="preserve"> </v>
      </c>
      <c r="V37" s="9" t="str">
        <f t="shared" si="28"/>
        <v xml:space="preserve"> </v>
      </c>
      <c r="W37" s="9" t="str">
        <f t="shared" si="29"/>
        <v/>
      </c>
      <c r="X37" s="32"/>
      <c r="Y37" s="36"/>
    </row>
    <row r="38" spans="1:25" s="4" customFormat="1" ht="18" customHeight="1">
      <c r="A38" s="36"/>
      <c r="B38" s="79">
        <v>27.01</v>
      </c>
      <c r="C38" s="69"/>
      <c r="D38" s="31" t="s">
        <v>308</v>
      </c>
      <c r="E38" s="29" t="s">
        <v>36</v>
      </c>
      <c r="F38" s="28"/>
      <c r="G38" s="29">
        <v>0.1</v>
      </c>
      <c r="H38" s="29"/>
      <c r="I38" s="30" t="s">
        <v>39</v>
      </c>
      <c r="J38" s="12">
        <f t="shared" si="22"/>
        <v>0.1</v>
      </c>
      <c r="K38" s="12" t="str">
        <f t="shared" si="23"/>
        <v/>
      </c>
      <c r="L38" s="78"/>
      <c r="M38" s="78"/>
      <c r="N38" s="78"/>
      <c r="O38" s="36"/>
      <c r="P38" s="24" t="str">
        <f t="shared" si="24"/>
        <v xml:space="preserve"> </v>
      </c>
      <c r="Q38" s="25" t="str">
        <f t="shared" si="24"/>
        <v xml:space="preserve"> </v>
      </c>
      <c r="R38" s="25" t="str">
        <f t="shared" si="24"/>
        <v xml:space="preserve"> </v>
      </c>
      <c r="S38" s="26" t="str">
        <f t="shared" si="25"/>
        <v xml:space="preserve"> </v>
      </c>
      <c r="T38" s="7" t="str">
        <f t="shared" si="26"/>
        <v xml:space="preserve"> </v>
      </c>
      <c r="U38" s="8" t="str">
        <f t="shared" si="27"/>
        <v xml:space="preserve"> </v>
      </c>
      <c r="V38" s="9" t="str">
        <f t="shared" si="28"/>
        <v xml:space="preserve"> </v>
      </c>
      <c r="W38" s="9" t="str">
        <f t="shared" si="29"/>
        <v/>
      </c>
      <c r="X38" s="32"/>
      <c r="Y38" s="36"/>
    </row>
    <row r="39" spans="1:25" s="4" customFormat="1" ht="18" customHeight="1">
      <c r="A39" s="36"/>
      <c r="B39" s="79">
        <v>27.02</v>
      </c>
      <c r="C39" s="69"/>
      <c r="D39" s="31" t="s">
        <v>308</v>
      </c>
      <c r="E39" s="29" t="s">
        <v>36</v>
      </c>
      <c r="F39" s="28"/>
      <c r="G39" s="29">
        <v>0.1</v>
      </c>
      <c r="H39" s="29"/>
      <c r="I39" s="30" t="s">
        <v>39</v>
      </c>
      <c r="J39" s="12">
        <f t="shared" si="22"/>
        <v>0.1</v>
      </c>
      <c r="K39" s="12" t="str">
        <f t="shared" si="23"/>
        <v/>
      </c>
      <c r="L39" s="78"/>
      <c r="M39" s="78"/>
      <c r="N39" s="78"/>
      <c r="O39" s="36"/>
      <c r="P39" s="24" t="str">
        <f t="shared" si="24"/>
        <v xml:space="preserve"> </v>
      </c>
      <c r="Q39" s="25" t="str">
        <f t="shared" si="24"/>
        <v xml:space="preserve"> </v>
      </c>
      <c r="R39" s="25" t="str">
        <f t="shared" si="24"/>
        <v xml:space="preserve"> </v>
      </c>
      <c r="S39" s="26" t="str">
        <f t="shared" si="25"/>
        <v xml:space="preserve"> </v>
      </c>
      <c r="T39" s="7" t="str">
        <f t="shared" si="26"/>
        <v xml:space="preserve"> </v>
      </c>
      <c r="U39" s="8" t="str">
        <f t="shared" si="27"/>
        <v xml:space="preserve"> </v>
      </c>
      <c r="V39" s="9" t="str">
        <f t="shared" si="28"/>
        <v xml:space="preserve"> </v>
      </c>
      <c r="W39" s="9" t="str">
        <f t="shared" si="29"/>
        <v/>
      </c>
      <c r="X39" s="32"/>
      <c r="Y39" s="36"/>
    </row>
    <row r="40" spans="1:25" s="4" customFormat="1" ht="18" customHeight="1">
      <c r="A40" s="36"/>
      <c r="B40" s="79">
        <v>28.01</v>
      </c>
      <c r="C40" s="69"/>
      <c r="D40" s="31" t="s">
        <v>308</v>
      </c>
      <c r="E40" s="29" t="s">
        <v>36</v>
      </c>
      <c r="F40" s="28"/>
      <c r="G40" s="29">
        <v>0.1</v>
      </c>
      <c r="H40" s="29"/>
      <c r="I40" s="30" t="s">
        <v>39</v>
      </c>
      <c r="J40" s="12">
        <f t="shared" si="22"/>
        <v>0.1</v>
      </c>
      <c r="K40" s="12" t="str">
        <f t="shared" si="23"/>
        <v/>
      </c>
      <c r="L40" s="78"/>
      <c r="M40" s="78"/>
      <c r="N40" s="78"/>
      <c r="O40" s="36"/>
      <c r="P40" s="24" t="str">
        <f t="shared" si="24"/>
        <v xml:space="preserve"> </v>
      </c>
      <c r="Q40" s="25" t="str">
        <f t="shared" si="24"/>
        <v xml:space="preserve"> </v>
      </c>
      <c r="R40" s="25" t="str">
        <f t="shared" si="24"/>
        <v xml:space="preserve"> </v>
      </c>
      <c r="S40" s="26" t="str">
        <f t="shared" si="25"/>
        <v xml:space="preserve"> </v>
      </c>
      <c r="T40" s="7" t="str">
        <f t="shared" si="26"/>
        <v xml:space="preserve"> </v>
      </c>
      <c r="U40" s="8" t="str">
        <f t="shared" si="27"/>
        <v xml:space="preserve"> </v>
      </c>
      <c r="V40" s="9" t="str">
        <f t="shared" si="28"/>
        <v xml:space="preserve"> </v>
      </c>
      <c r="W40" s="9" t="str">
        <f t="shared" si="29"/>
        <v/>
      </c>
      <c r="X40" s="32"/>
      <c r="Y40" s="36"/>
    </row>
    <row r="41" spans="1:25" s="4" customFormat="1" ht="18" customHeight="1">
      <c r="A41" s="36"/>
      <c r="B41" s="79">
        <v>28.02</v>
      </c>
      <c r="C41" s="69"/>
      <c r="D41" s="31" t="s">
        <v>308</v>
      </c>
      <c r="E41" s="29" t="s">
        <v>36</v>
      </c>
      <c r="F41" s="28"/>
      <c r="G41" s="29">
        <v>0.1</v>
      </c>
      <c r="H41" s="29"/>
      <c r="I41" s="30" t="s">
        <v>39</v>
      </c>
      <c r="J41" s="12">
        <f t="shared" si="22"/>
        <v>0.1</v>
      </c>
      <c r="K41" s="12" t="str">
        <f t="shared" si="23"/>
        <v/>
      </c>
      <c r="L41" s="78"/>
      <c r="M41" s="78"/>
      <c r="N41" s="78"/>
      <c r="O41" s="36"/>
      <c r="P41" s="24" t="str">
        <f t="shared" si="24"/>
        <v xml:space="preserve"> </v>
      </c>
      <c r="Q41" s="25" t="str">
        <f t="shared" si="24"/>
        <v xml:space="preserve"> </v>
      </c>
      <c r="R41" s="25" t="str">
        <f t="shared" si="24"/>
        <v xml:space="preserve"> </v>
      </c>
      <c r="S41" s="26" t="str">
        <f t="shared" si="25"/>
        <v xml:space="preserve"> </v>
      </c>
      <c r="T41" s="7" t="str">
        <f t="shared" si="26"/>
        <v xml:space="preserve"> </v>
      </c>
      <c r="U41" s="8" t="str">
        <f t="shared" si="27"/>
        <v xml:space="preserve"> </v>
      </c>
      <c r="V41" s="9" t="str">
        <f t="shared" si="28"/>
        <v xml:space="preserve"> </v>
      </c>
      <c r="W41" s="9" t="str">
        <f t="shared" si="29"/>
        <v/>
      </c>
      <c r="X41" s="32"/>
      <c r="Y41" s="36"/>
    </row>
    <row r="42" spans="1:25" s="4" customFormat="1" ht="18" customHeight="1">
      <c r="A42" s="36"/>
      <c r="B42" s="79">
        <v>29.01</v>
      </c>
      <c r="C42" s="69"/>
      <c r="D42" s="31" t="s">
        <v>308</v>
      </c>
      <c r="E42" s="29" t="s">
        <v>36</v>
      </c>
      <c r="F42" s="28"/>
      <c r="G42" s="29">
        <v>0.1</v>
      </c>
      <c r="H42" s="29"/>
      <c r="I42" s="30" t="s">
        <v>39</v>
      </c>
      <c r="J42" s="12">
        <f t="shared" si="22"/>
        <v>0.1</v>
      </c>
      <c r="K42" s="12" t="str">
        <f t="shared" si="23"/>
        <v/>
      </c>
      <c r="L42" s="78"/>
      <c r="M42" s="78"/>
      <c r="N42" s="78"/>
      <c r="O42" s="36"/>
      <c r="P42" s="24" t="str">
        <f t="shared" si="24"/>
        <v xml:space="preserve"> </v>
      </c>
      <c r="Q42" s="25" t="str">
        <f t="shared" si="24"/>
        <v xml:space="preserve"> </v>
      </c>
      <c r="R42" s="25" t="str">
        <f t="shared" si="24"/>
        <v xml:space="preserve"> </v>
      </c>
      <c r="S42" s="26" t="str">
        <f t="shared" si="25"/>
        <v xml:space="preserve"> </v>
      </c>
      <c r="T42" s="7" t="str">
        <f t="shared" si="26"/>
        <v xml:space="preserve"> </v>
      </c>
      <c r="U42" s="8" t="str">
        <f t="shared" si="27"/>
        <v xml:space="preserve"> </v>
      </c>
      <c r="V42" s="9" t="str">
        <f t="shared" si="28"/>
        <v xml:space="preserve"> </v>
      </c>
      <c r="W42" s="9" t="str">
        <f t="shared" si="29"/>
        <v/>
      </c>
      <c r="X42" s="32"/>
      <c r="Y42" s="36"/>
    </row>
    <row r="43" spans="1:25" s="4" customFormat="1" ht="18" customHeight="1">
      <c r="A43" s="36"/>
      <c r="B43" s="79">
        <v>29.02</v>
      </c>
      <c r="C43" s="69"/>
      <c r="D43" s="31" t="s">
        <v>308</v>
      </c>
      <c r="E43" s="29" t="s">
        <v>36</v>
      </c>
      <c r="F43" s="28"/>
      <c r="G43" s="29">
        <v>0.1</v>
      </c>
      <c r="H43" s="29"/>
      <c r="I43" s="30" t="s">
        <v>39</v>
      </c>
      <c r="J43" s="12">
        <f t="shared" si="22"/>
        <v>0.1</v>
      </c>
      <c r="K43" s="12" t="str">
        <f t="shared" si="23"/>
        <v/>
      </c>
      <c r="L43" s="78"/>
      <c r="M43" s="78"/>
      <c r="N43" s="78"/>
      <c r="O43" s="36"/>
      <c r="P43" s="24" t="str">
        <f t="shared" si="24"/>
        <v xml:space="preserve"> </v>
      </c>
      <c r="Q43" s="25" t="str">
        <f t="shared" si="24"/>
        <v xml:space="preserve"> </v>
      </c>
      <c r="R43" s="25" t="str">
        <f t="shared" si="24"/>
        <v xml:space="preserve"> </v>
      </c>
      <c r="S43" s="26" t="str">
        <f t="shared" si="25"/>
        <v xml:space="preserve"> </v>
      </c>
      <c r="T43" s="7" t="str">
        <f t="shared" si="26"/>
        <v xml:space="preserve"> </v>
      </c>
      <c r="U43" s="8" t="str">
        <f t="shared" si="27"/>
        <v xml:space="preserve"> </v>
      </c>
      <c r="V43" s="9" t="str">
        <f t="shared" si="28"/>
        <v xml:space="preserve"> </v>
      </c>
      <c r="W43" s="9" t="str">
        <f t="shared" si="29"/>
        <v/>
      </c>
      <c r="X43" s="32"/>
      <c r="Y43" s="36"/>
    </row>
    <row r="44" spans="1:25" s="4" customFormat="1" ht="18" customHeight="1">
      <c r="A44" s="36"/>
      <c r="B44" s="79">
        <v>30.01</v>
      </c>
      <c r="C44" s="69"/>
      <c r="D44" s="31" t="s">
        <v>317</v>
      </c>
      <c r="E44" s="29" t="s">
        <v>34</v>
      </c>
      <c r="F44" s="28">
        <v>33.85</v>
      </c>
      <c r="G44" s="29">
        <v>0.1</v>
      </c>
      <c r="H44" s="29">
        <v>-0.1</v>
      </c>
      <c r="I44" s="30" t="s">
        <v>39</v>
      </c>
      <c r="J44" s="12">
        <f t="shared" si="22"/>
        <v>33.950000000000003</v>
      </c>
      <c r="K44" s="12">
        <f t="shared" si="23"/>
        <v>33.75</v>
      </c>
      <c r="L44" s="78"/>
      <c r="M44" s="78"/>
      <c r="N44" s="78"/>
      <c r="O44" s="36"/>
      <c r="P44" s="24" t="str">
        <f t="shared" si="24"/>
        <v xml:space="preserve"> </v>
      </c>
      <c r="Q44" s="25" t="str">
        <f t="shared" si="24"/>
        <v xml:space="preserve"> </v>
      </c>
      <c r="R44" s="25" t="str">
        <f t="shared" si="24"/>
        <v xml:space="preserve"> </v>
      </c>
      <c r="S44" s="26" t="str">
        <f t="shared" si="25"/>
        <v xml:space="preserve"> </v>
      </c>
      <c r="T44" s="7" t="str">
        <f t="shared" si="26"/>
        <v xml:space="preserve"> </v>
      </c>
      <c r="U44" s="8" t="str">
        <f t="shared" si="27"/>
        <v xml:space="preserve"> </v>
      </c>
      <c r="V44" s="9" t="str">
        <f t="shared" si="28"/>
        <v xml:space="preserve"> </v>
      </c>
      <c r="W44" s="9" t="str">
        <f t="shared" si="29"/>
        <v/>
      </c>
      <c r="X44" s="32"/>
      <c r="Y44" s="36"/>
    </row>
    <row r="45" spans="1:25" s="4" customFormat="1" ht="18" customHeight="1">
      <c r="A45" s="36"/>
      <c r="B45" s="79">
        <v>30.02</v>
      </c>
      <c r="C45" s="69"/>
      <c r="D45" s="31" t="s">
        <v>317</v>
      </c>
      <c r="E45" s="29" t="s">
        <v>34</v>
      </c>
      <c r="F45" s="28">
        <v>33.85</v>
      </c>
      <c r="G45" s="29">
        <v>0.1</v>
      </c>
      <c r="H45" s="29">
        <v>-0.1</v>
      </c>
      <c r="I45" s="30" t="s">
        <v>39</v>
      </c>
      <c r="J45" s="12">
        <f t="shared" si="22"/>
        <v>33.950000000000003</v>
      </c>
      <c r="K45" s="12">
        <f t="shared" si="23"/>
        <v>33.75</v>
      </c>
      <c r="L45" s="78"/>
      <c r="M45" s="78"/>
      <c r="N45" s="78"/>
      <c r="O45" s="36"/>
      <c r="P45" s="24" t="str">
        <f t="shared" si="24"/>
        <v xml:space="preserve"> </v>
      </c>
      <c r="Q45" s="25" t="str">
        <f t="shared" si="24"/>
        <v xml:space="preserve"> </v>
      </c>
      <c r="R45" s="25" t="str">
        <f t="shared" si="24"/>
        <v xml:space="preserve"> </v>
      </c>
      <c r="S45" s="26" t="str">
        <f t="shared" si="25"/>
        <v xml:space="preserve"> </v>
      </c>
      <c r="T45" s="7" t="str">
        <f t="shared" si="26"/>
        <v xml:space="preserve"> </v>
      </c>
      <c r="U45" s="8" t="str">
        <f t="shared" si="27"/>
        <v xml:space="preserve"> </v>
      </c>
      <c r="V45" s="9" t="str">
        <f t="shared" si="28"/>
        <v xml:space="preserve"> </v>
      </c>
      <c r="W45" s="9" t="str">
        <f t="shared" si="29"/>
        <v/>
      </c>
      <c r="X45" s="32"/>
      <c r="Y45" s="36"/>
    </row>
    <row r="46" spans="1:25" s="4" customFormat="1" ht="18" customHeight="1">
      <c r="A46" s="36"/>
      <c r="B46" s="79">
        <v>31.01</v>
      </c>
      <c r="C46" s="69"/>
      <c r="D46" s="31" t="s">
        <v>318</v>
      </c>
      <c r="E46" s="29" t="s">
        <v>34</v>
      </c>
      <c r="F46" s="28">
        <v>4.25</v>
      </c>
      <c r="G46" s="29">
        <v>0.1</v>
      </c>
      <c r="H46" s="29">
        <v>-0.1</v>
      </c>
      <c r="I46" s="30" t="s">
        <v>39</v>
      </c>
      <c r="J46" s="12">
        <f t="shared" si="22"/>
        <v>4.3499999999999996</v>
      </c>
      <c r="K46" s="12">
        <f t="shared" si="23"/>
        <v>4.1500000000000004</v>
      </c>
      <c r="L46" s="78"/>
      <c r="M46" s="78"/>
      <c r="N46" s="78"/>
      <c r="O46" s="36"/>
      <c r="P46" s="24" t="str">
        <f t="shared" si="24"/>
        <v xml:space="preserve"> </v>
      </c>
      <c r="Q46" s="25" t="str">
        <f t="shared" si="24"/>
        <v xml:space="preserve"> </v>
      </c>
      <c r="R46" s="25" t="str">
        <f t="shared" si="24"/>
        <v xml:space="preserve"> </v>
      </c>
      <c r="S46" s="26" t="str">
        <f t="shared" si="25"/>
        <v xml:space="preserve"> </v>
      </c>
      <c r="T46" s="7" t="str">
        <f t="shared" si="26"/>
        <v xml:space="preserve"> </v>
      </c>
      <c r="U46" s="8" t="str">
        <f t="shared" si="27"/>
        <v xml:space="preserve"> </v>
      </c>
      <c r="V46" s="9" t="str">
        <f t="shared" si="28"/>
        <v xml:space="preserve"> </v>
      </c>
      <c r="W46" s="9" t="str">
        <f t="shared" si="29"/>
        <v/>
      </c>
      <c r="X46" s="32" t="s">
        <v>857</v>
      </c>
      <c r="Y46" s="36"/>
    </row>
    <row r="47" spans="1:25" s="4" customFormat="1" ht="18" customHeight="1">
      <c r="A47" s="36"/>
      <c r="B47" s="79">
        <v>31.02</v>
      </c>
      <c r="C47" s="69"/>
      <c r="D47" s="31" t="s">
        <v>318</v>
      </c>
      <c r="E47" s="29" t="s">
        <v>34</v>
      </c>
      <c r="F47" s="28">
        <v>4.25</v>
      </c>
      <c r="G47" s="29">
        <v>0.1</v>
      </c>
      <c r="H47" s="29">
        <v>-0.1</v>
      </c>
      <c r="I47" s="30" t="s">
        <v>39</v>
      </c>
      <c r="J47" s="12">
        <f t="shared" si="22"/>
        <v>4.3499999999999996</v>
      </c>
      <c r="K47" s="12">
        <f t="shared" si="23"/>
        <v>4.1500000000000004</v>
      </c>
      <c r="L47" s="78"/>
      <c r="M47" s="78"/>
      <c r="N47" s="78"/>
      <c r="O47" s="36"/>
      <c r="P47" s="24" t="str">
        <f t="shared" si="24"/>
        <v xml:space="preserve"> </v>
      </c>
      <c r="Q47" s="25" t="str">
        <f t="shared" si="24"/>
        <v xml:space="preserve"> </v>
      </c>
      <c r="R47" s="25" t="str">
        <f t="shared" si="24"/>
        <v xml:space="preserve"> </v>
      </c>
      <c r="S47" s="26" t="str">
        <f t="shared" si="25"/>
        <v xml:space="preserve"> </v>
      </c>
      <c r="T47" s="7" t="str">
        <f t="shared" si="26"/>
        <v xml:space="preserve"> </v>
      </c>
      <c r="U47" s="8" t="str">
        <f t="shared" si="27"/>
        <v xml:space="preserve"> </v>
      </c>
      <c r="V47" s="9" t="str">
        <f t="shared" si="28"/>
        <v xml:space="preserve"> </v>
      </c>
      <c r="W47" s="9" t="str">
        <f t="shared" si="29"/>
        <v/>
      </c>
      <c r="X47" s="32" t="s">
        <v>857</v>
      </c>
      <c r="Y47" s="36"/>
    </row>
    <row r="48" spans="1:25" s="4" customFormat="1" ht="18" customHeight="1">
      <c r="A48" s="36"/>
      <c r="B48" s="79">
        <v>31.03</v>
      </c>
      <c r="C48" s="69"/>
      <c r="D48" s="31" t="s">
        <v>318</v>
      </c>
      <c r="E48" s="29" t="s">
        <v>34</v>
      </c>
      <c r="F48" s="28">
        <v>4.25</v>
      </c>
      <c r="G48" s="29">
        <v>0.1</v>
      </c>
      <c r="H48" s="29">
        <v>-0.1</v>
      </c>
      <c r="I48" s="30" t="s">
        <v>39</v>
      </c>
      <c r="J48" s="12">
        <f t="shared" si="22"/>
        <v>4.3499999999999996</v>
      </c>
      <c r="K48" s="12">
        <f t="shared" si="23"/>
        <v>4.1500000000000004</v>
      </c>
      <c r="L48" s="78"/>
      <c r="M48" s="78"/>
      <c r="N48" s="78"/>
      <c r="O48" s="36"/>
      <c r="P48" s="24" t="str">
        <f t="shared" si="24"/>
        <v xml:space="preserve"> </v>
      </c>
      <c r="Q48" s="25" t="str">
        <f t="shared" si="24"/>
        <v xml:space="preserve"> </v>
      </c>
      <c r="R48" s="25" t="str">
        <f t="shared" si="24"/>
        <v xml:space="preserve"> </v>
      </c>
      <c r="S48" s="26" t="str">
        <f t="shared" si="25"/>
        <v xml:space="preserve"> </v>
      </c>
      <c r="T48" s="7" t="str">
        <f t="shared" si="26"/>
        <v xml:space="preserve"> </v>
      </c>
      <c r="U48" s="8" t="str">
        <f t="shared" si="27"/>
        <v xml:space="preserve"> </v>
      </c>
      <c r="V48" s="9" t="str">
        <f t="shared" si="28"/>
        <v xml:space="preserve"> </v>
      </c>
      <c r="W48" s="9" t="str">
        <f t="shared" si="29"/>
        <v/>
      </c>
      <c r="X48" s="32" t="s">
        <v>857</v>
      </c>
      <c r="Y48" s="36"/>
    </row>
    <row r="49" spans="1:25" s="4" customFormat="1" ht="18" customHeight="1">
      <c r="A49" s="36"/>
      <c r="B49" s="79">
        <v>31.04</v>
      </c>
      <c r="C49" s="69"/>
      <c r="D49" s="31" t="s">
        <v>318</v>
      </c>
      <c r="E49" s="29" t="s">
        <v>34</v>
      </c>
      <c r="F49" s="28">
        <v>4.25</v>
      </c>
      <c r="G49" s="29">
        <v>0.1</v>
      </c>
      <c r="H49" s="29">
        <v>-0.1</v>
      </c>
      <c r="I49" s="30" t="s">
        <v>39</v>
      </c>
      <c r="J49" s="12">
        <f t="shared" si="22"/>
        <v>4.3499999999999996</v>
      </c>
      <c r="K49" s="12">
        <f t="shared" si="23"/>
        <v>4.1500000000000004</v>
      </c>
      <c r="L49" s="78"/>
      <c r="M49" s="78"/>
      <c r="N49" s="78"/>
      <c r="O49" s="36"/>
      <c r="P49" s="24" t="str">
        <f t="shared" si="24"/>
        <v xml:space="preserve"> </v>
      </c>
      <c r="Q49" s="25" t="str">
        <f t="shared" si="24"/>
        <v xml:space="preserve"> </v>
      </c>
      <c r="R49" s="25" t="str">
        <f t="shared" si="24"/>
        <v xml:space="preserve"> </v>
      </c>
      <c r="S49" s="26" t="str">
        <f t="shared" si="25"/>
        <v xml:space="preserve"> </v>
      </c>
      <c r="T49" s="7" t="str">
        <f t="shared" si="26"/>
        <v xml:space="preserve"> </v>
      </c>
      <c r="U49" s="8" t="str">
        <f t="shared" si="27"/>
        <v xml:space="preserve"> </v>
      </c>
      <c r="V49" s="9" t="str">
        <f t="shared" si="28"/>
        <v xml:space="preserve"> </v>
      </c>
      <c r="W49" s="9" t="str">
        <f t="shared" si="29"/>
        <v/>
      </c>
      <c r="X49" s="32" t="s">
        <v>857</v>
      </c>
      <c r="Y49" s="36"/>
    </row>
    <row r="50" spans="1:25" s="4" customFormat="1" ht="18" customHeight="1">
      <c r="A50" s="36"/>
      <c r="B50" s="79">
        <v>32.01</v>
      </c>
      <c r="C50" s="69"/>
      <c r="D50" s="31" t="s">
        <v>317</v>
      </c>
      <c r="E50" s="29" t="s">
        <v>34</v>
      </c>
      <c r="F50" s="28">
        <v>14.61</v>
      </c>
      <c r="G50" s="29">
        <v>0.1</v>
      </c>
      <c r="H50" s="29">
        <v>-0.1</v>
      </c>
      <c r="I50" s="30" t="s">
        <v>39</v>
      </c>
      <c r="J50" s="12">
        <f t="shared" si="22"/>
        <v>14.709999999999999</v>
      </c>
      <c r="K50" s="12">
        <f t="shared" si="23"/>
        <v>14.51</v>
      </c>
      <c r="L50" s="78"/>
      <c r="M50" s="78"/>
      <c r="N50" s="78"/>
      <c r="O50" s="36"/>
      <c r="P50" s="24" t="str">
        <f t="shared" si="24"/>
        <v xml:space="preserve"> </v>
      </c>
      <c r="Q50" s="25" t="str">
        <f t="shared" si="24"/>
        <v xml:space="preserve"> </v>
      </c>
      <c r="R50" s="25" t="str">
        <f t="shared" si="24"/>
        <v xml:space="preserve"> </v>
      </c>
      <c r="S50" s="26" t="str">
        <f t="shared" si="25"/>
        <v xml:space="preserve"> </v>
      </c>
      <c r="T50" s="7" t="str">
        <f t="shared" si="26"/>
        <v xml:space="preserve"> </v>
      </c>
      <c r="U50" s="8" t="str">
        <f t="shared" si="27"/>
        <v xml:space="preserve"> </v>
      </c>
      <c r="V50" s="9" t="str">
        <f t="shared" si="28"/>
        <v xml:space="preserve"> </v>
      </c>
      <c r="W50" s="9" t="str">
        <f t="shared" si="29"/>
        <v/>
      </c>
      <c r="X50" s="32"/>
      <c r="Y50" s="36"/>
    </row>
    <row r="51" spans="1:25" s="4" customFormat="1" ht="18" customHeight="1">
      <c r="A51" s="36"/>
      <c r="B51" s="79">
        <v>32.020000000000003</v>
      </c>
      <c r="C51" s="69"/>
      <c r="D51" s="31" t="s">
        <v>317</v>
      </c>
      <c r="E51" s="29" t="s">
        <v>34</v>
      </c>
      <c r="F51" s="28">
        <v>14.61</v>
      </c>
      <c r="G51" s="29">
        <v>0.1</v>
      </c>
      <c r="H51" s="29">
        <v>-0.1</v>
      </c>
      <c r="I51" s="30" t="s">
        <v>39</v>
      </c>
      <c r="J51" s="12">
        <f t="shared" si="22"/>
        <v>14.709999999999999</v>
      </c>
      <c r="K51" s="12">
        <f t="shared" si="23"/>
        <v>14.51</v>
      </c>
      <c r="L51" s="78"/>
      <c r="M51" s="78"/>
      <c r="N51" s="78"/>
      <c r="O51" s="36"/>
      <c r="P51" s="24" t="str">
        <f t="shared" si="24"/>
        <v xml:space="preserve"> </v>
      </c>
      <c r="Q51" s="25" t="str">
        <f t="shared" si="24"/>
        <v xml:space="preserve"> </v>
      </c>
      <c r="R51" s="25" t="str">
        <f t="shared" si="24"/>
        <v xml:space="preserve"> </v>
      </c>
      <c r="S51" s="26" t="str">
        <f t="shared" si="25"/>
        <v xml:space="preserve"> </v>
      </c>
      <c r="T51" s="7" t="str">
        <f t="shared" si="26"/>
        <v xml:space="preserve"> </v>
      </c>
      <c r="U51" s="8" t="str">
        <f t="shared" si="27"/>
        <v xml:space="preserve"> </v>
      </c>
      <c r="V51" s="9" t="str">
        <f t="shared" si="28"/>
        <v xml:space="preserve"> </v>
      </c>
      <c r="W51" s="9" t="str">
        <f t="shared" si="29"/>
        <v/>
      </c>
      <c r="X51" s="32"/>
      <c r="Y51" s="36"/>
    </row>
    <row r="52" spans="1:25" s="4" customFormat="1" ht="18" customHeight="1">
      <c r="A52" s="36"/>
      <c r="B52" s="79">
        <v>32.03</v>
      </c>
      <c r="C52" s="69"/>
      <c r="D52" s="31" t="s">
        <v>317</v>
      </c>
      <c r="E52" s="29" t="s">
        <v>34</v>
      </c>
      <c r="F52" s="28">
        <v>14.61</v>
      </c>
      <c r="G52" s="29">
        <v>0.1</v>
      </c>
      <c r="H52" s="29">
        <v>-0.1</v>
      </c>
      <c r="I52" s="30" t="s">
        <v>39</v>
      </c>
      <c r="J52" s="12">
        <f t="shared" si="22"/>
        <v>14.709999999999999</v>
      </c>
      <c r="K52" s="12">
        <f t="shared" si="23"/>
        <v>14.51</v>
      </c>
      <c r="L52" s="78"/>
      <c r="M52" s="78"/>
      <c r="N52" s="78"/>
      <c r="O52" s="36"/>
      <c r="P52" s="24" t="str">
        <f t="shared" si="24"/>
        <v xml:space="preserve"> </v>
      </c>
      <c r="Q52" s="25" t="str">
        <f t="shared" si="24"/>
        <v xml:space="preserve"> </v>
      </c>
      <c r="R52" s="25" t="str">
        <f t="shared" si="24"/>
        <v xml:space="preserve"> </v>
      </c>
      <c r="S52" s="26" t="str">
        <f t="shared" si="25"/>
        <v xml:space="preserve"> </v>
      </c>
      <c r="T52" s="7" t="str">
        <f t="shared" si="26"/>
        <v xml:space="preserve"> </v>
      </c>
      <c r="U52" s="8" t="str">
        <f t="shared" si="27"/>
        <v xml:space="preserve"> </v>
      </c>
      <c r="V52" s="9" t="str">
        <f t="shared" si="28"/>
        <v xml:space="preserve"> </v>
      </c>
      <c r="W52" s="9" t="str">
        <f t="shared" si="29"/>
        <v/>
      </c>
      <c r="X52" s="32"/>
      <c r="Y52" s="36"/>
    </row>
    <row r="53" spans="1:25" s="4" customFormat="1" ht="18" customHeight="1">
      <c r="A53" s="36"/>
      <c r="B53" s="79">
        <v>32.04</v>
      </c>
      <c r="C53" s="69"/>
      <c r="D53" s="31" t="s">
        <v>317</v>
      </c>
      <c r="E53" s="29" t="s">
        <v>34</v>
      </c>
      <c r="F53" s="28">
        <v>14.61</v>
      </c>
      <c r="G53" s="29">
        <v>0.1</v>
      </c>
      <c r="H53" s="29">
        <v>-0.1</v>
      </c>
      <c r="I53" s="30" t="s">
        <v>39</v>
      </c>
      <c r="J53" s="12">
        <f t="shared" si="22"/>
        <v>14.709999999999999</v>
      </c>
      <c r="K53" s="12">
        <f t="shared" si="23"/>
        <v>14.51</v>
      </c>
      <c r="L53" s="78"/>
      <c r="M53" s="78"/>
      <c r="N53" s="78"/>
      <c r="O53" s="36"/>
      <c r="P53" s="24" t="str">
        <f t="shared" si="24"/>
        <v xml:space="preserve"> </v>
      </c>
      <c r="Q53" s="25" t="str">
        <f t="shared" si="24"/>
        <v xml:space="preserve"> </v>
      </c>
      <c r="R53" s="25" t="str">
        <f t="shared" si="24"/>
        <v xml:space="preserve"> </v>
      </c>
      <c r="S53" s="26" t="str">
        <f t="shared" si="25"/>
        <v xml:space="preserve"> </v>
      </c>
      <c r="T53" s="7" t="str">
        <f t="shared" si="26"/>
        <v xml:space="preserve"> </v>
      </c>
      <c r="U53" s="8" t="str">
        <f t="shared" si="27"/>
        <v xml:space="preserve"> </v>
      </c>
      <c r="V53" s="9" t="str">
        <f t="shared" si="28"/>
        <v xml:space="preserve"> </v>
      </c>
      <c r="W53" s="9" t="str">
        <f t="shared" si="29"/>
        <v/>
      </c>
      <c r="X53" s="32"/>
      <c r="Y53" s="36"/>
    </row>
    <row r="54" spans="1:25" s="4" customFormat="1" ht="18" customHeight="1">
      <c r="A54" s="36"/>
      <c r="B54" s="69">
        <v>33</v>
      </c>
      <c r="C54" s="69"/>
      <c r="D54" s="31" t="s">
        <v>319</v>
      </c>
      <c r="E54" s="29" t="s">
        <v>34</v>
      </c>
      <c r="F54" s="28">
        <v>27.68</v>
      </c>
      <c r="G54" s="29">
        <v>0.1</v>
      </c>
      <c r="H54" s="29">
        <v>-0.1</v>
      </c>
      <c r="I54" s="30" t="s">
        <v>39</v>
      </c>
      <c r="J54" s="12">
        <f t="shared" si="22"/>
        <v>27.78</v>
      </c>
      <c r="K54" s="12">
        <f t="shared" si="23"/>
        <v>27.58</v>
      </c>
      <c r="L54" s="78"/>
      <c r="M54" s="78"/>
      <c r="N54" s="78"/>
      <c r="O54" s="36"/>
      <c r="P54" s="24" t="str">
        <f t="shared" si="24"/>
        <v xml:space="preserve"> </v>
      </c>
      <c r="Q54" s="25" t="str">
        <f t="shared" si="24"/>
        <v xml:space="preserve"> </v>
      </c>
      <c r="R54" s="25" t="str">
        <f t="shared" si="24"/>
        <v xml:space="preserve"> </v>
      </c>
      <c r="S54" s="26" t="str">
        <f t="shared" si="25"/>
        <v xml:space="preserve"> </v>
      </c>
      <c r="T54" s="7" t="str">
        <f t="shared" si="26"/>
        <v xml:space="preserve"> </v>
      </c>
      <c r="U54" s="8" t="str">
        <f t="shared" si="27"/>
        <v xml:space="preserve"> </v>
      </c>
      <c r="V54" s="9" t="str">
        <f t="shared" si="28"/>
        <v xml:space="preserve"> </v>
      </c>
      <c r="W54" s="9" t="str">
        <f t="shared" si="29"/>
        <v/>
      </c>
      <c r="X54" s="32"/>
      <c r="Y54" s="36"/>
    </row>
    <row r="55" spans="1:25" s="4" customFormat="1" ht="18" customHeight="1">
      <c r="A55" s="36"/>
      <c r="B55" s="69">
        <v>34</v>
      </c>
      <c r="C55" s="69"/>
      <c r="D55" s="31" t="s">
        <v>320</v>
      </c>
      <c r="E55" s="29" t="s">
        <v>34</v>
      </c>
      <c r="F55" s="28">
        <v>26.93</v>
      </c>
      <c r="G55" s="29">
        <v>0.1</v>
      </c>
      <c r="H55" s="29">
        <v>-0.1</v>
      </c>
      <c r="I55" s="30" t="s">
        <v>39</v>
      </c>
      <c r="J55" s="12">
        <f t="shared" si="22"/>
        <v>27.03</v>
      </c>
      <c r="K55" s="12">
        <f t="shared" si="23"/>
        <v>26.83</v>
      </c>
      <c r="L55" s="78"/>
      <c r="M55" s="78"/>
      <c r="N55" s="78"/>
      <c r="O55" s="36"/>
      <c r="P55" s="24" t="str">
        <f t="shared" ref="P55:R95" si="30">IF(ISERR(L55/L55)=TRUE," ",L55-$F55)</f>
        <v xml:space="preserve"> </v>
      </c>
      <c r="Q55" s="25" t="str">
        <f t="shared" si="30"/>
        <v xml:space="preserve"> </v>
      </c>
      <c r="R55" s="25" t="str">
        <f t="shared" si="30"/>
        <v xml:space="preserve"> </v>
      </c>
      <c r="S55" s="26" t="str">
        <f t="shared" si="25"/>
        <v xml:space="preserve"> </v>
      </c>
      <c r="T55" s="7" t="str">
        <f t="shared" si="26"/>
        <v xml:space="preserve"> </v>
      </c>
      <c r="U55" s="8" t="str">
        <f t="shared" si="27"/>
        <v xml:space="preserve"> </v>
      </c>
      <c r="V55" s="9" t="str">
        <f t="shared" si="28"/>
        <v xml:space="preserve"> </v>
      </c>
      <c r="W55" s="9" t="str">
        <f t="shared" si="29"/>
        <v/>
      </c>
      <c r="X55" s="32"/>
      <c r="Y55" s="36"/>
    </row>
    <row r="56" spans="1:25" s="4" customFormat="1" ht="18" customHeight="1">
      <c r="A56" s="36"/>
      <c r="B56" s="69">
        <v>35</v>
      </c>
      <c r="C56" s="69"/>
      <c r="D56" s="31" t="s">
        <v>320</v>
      </c>
      <c r="E56" s="29" t="s">
        <v>34</v>
      </c>
      <c r="F56" s="28">
        <v>28.83</v>
      </c>
      <c r="G56" s="29">
        <v>0.1</v>
      </c>
      <c r="H56" s="29">
        <v>-0.1</v>
      </c>
      <c r="I56" s="30" t="s">
        <v>39</v>
      </c>
      <c r="J56" s="12">
        <f t="shared" si="22"/>
        <v>28.93</v>
      </c>
      <c r="K56" s="12">
        <f t="shared" si="23"/>
        <v>28.729999999999997</v>
      </c>
      <c r="L56" s="78"/>
      <c r="M56" s="78"/>
      <c r="N56" s="78"/>
      <c r="O56" s="36"/>
      <c r="P56" s="24" t="str">
        <f t="shared" si="30"/>
        <v xml:space="preserve"> </v>
      </c>
      <c r="Q56" s="25" t="str">
        <f t="shared" si="30"/>
        <v xml:space="preserve"> </v>
      </c>
      <c r="R56" s="25" t="str">
        <f t="shared" si="30"/>
        <v xml:space="preserve"> </v>
      </c>
      <c r="S56" s="26" t="str">
        <f t="shared" si="25"/>
        <v xml:space="preserve"> </v>
      </c>
      <c r="T56" s="7" t="str">
        <f t="shared" si="26"/>
        <v xml:space="preserve"> </v>
      </c>
      <c r="U56" s="8" t="str">
        <f t="shared" si="27"/>
        <v xml:space="preserve"> </v>
      </c>
      <c r="V56" s="9" t="str">
        <f t="shared" si="28"/>
        <v xml:space="preserve"> </v>
      </c>
      <c r="W56" s="9" t="str">
        <f t="shared" si="29"/>
        <v/>
      </c>
      <c r="X56" s="32"/>
      <c r="Y56" s="36"/>
    </row>
    <row r="57" spans="1:25" s="4" customFormat="1" ht="18" customHeight="1">
      <c r="A57" s="36"/>
      <c r="B57" s="69">
        <v>36</v>
      </c>
      <c r="C57" s="69"/>
      <c r="D57" s="31" t="s">
        <v>321</v>
      </c>
      <c r="E57" s="29" t="s">
        <v>34</v>
      </c>
      <c r="F57" s="28">
        <v>5.65</v>
      </c>
      <c r="G57" s="29">
        <v>0.1</v>
      </c>
      <c r="H57" s="29">
        <v>-0.1</v>
      </c>
      <c r="I57" s="30" t="s">
        <v>39</v>
      </c>
      <c r="J57" s="12">
        <f t="shared" si="22"/>
        <v>5.75</v>
      </c>
      <c r="K57" s="12">
        <f t="shared" si="23"/>
        <v>5.5500000000000007</v>
      </c>
      <c r="L57" s="78"/>
      <c r="M57" s="78"/>
      <c r="N57" s="78"/>
      <c r="O57" s="36"/>
      <c r="P57" s="24" t="str">
        <f t="shared" si="30"/>
        <v xml:space="preserve"> </v>
      </c>
      <c r="Q57" s="25" t="str">
        <f t="shared" si="30"/>
        <v xml:space="preserve"> </v>
      </c>
      <c r="R57" s="25" t="str">
        <f t="shared" si="30"/>
        <v xml:space="preserve"> </v>
      </c>
      <c r="S57" s="26" t="str">
        <f t="shared" si="25"/>
        <v xml:space="preserve"> </v>
      </c>
      <c r="T57" s="7" t="str">
        <f t="shared" si="26"/>
        <v xml:space="preserve"> </v>
      </c>
      <c r="U57" s="8" t="str">
        <f t="shared" si="27"/>
        <v xml:space="preserve"> </v>
      </c>
      <c r="V57" s="9" t="str">
        <f t="shared" si="28"/>
        <v xml:space="preserve"> </v>
      </c>
      <c r="W57" s="9" t="str">
        <f t="shared" si="29"/>
        <v/>
      </c>
      <c r="X57" s="32"/>
      <c r="Y57" s="36"/>
    </row>
    <row r="58" spans="1:25" s="4" customFormat="1" ht="18" customHeight="1">
      <c r="A58" s="36"/>
      <c r="B58" s="69">
        <v>37</v>
      </c>
      <c r="C58" s="69"/>
      <c r="D58" s="31" t="s">
        <v>321</v>
      </c>
      <c r="E58" s="29" t="s">
        <v>34</v>
      </c>
      <c r="F58" s="28">
        <v>4</v>
      </c>
      <c r="G58" s="29">
        <v>0.1</v>
      </c>
      <c r="H58" s="29">
        <v>-0.1</v>
      </c>
      <c r="I58" s="30" t="s">
        <v>39</v>
      </c>
      <c r="J58" s="12">
        <f t="shared" si="22"/>
        <v>4.0999999999999996</v>
      </c>
      <c r="K58" s="12">
        <f t="shared" si="23"/>
        <v>3.9</v>
      </c>
      <c r="L58" s="78"/>
      <c r="M58" s="78"/>
      <c r="N58" s="78"/>
      <c r="O58" s="36"/>
      <c r="P58" s="24" t="str">
        <f t="shared" si="30"/>
        <v xml:space="preserve"> </v>
      </c>
      <c r="Q58" s="25" t="str">
        <f t="shared" si="30"/>
        <v xml:space="preserve"> </v>
      </c>
      <c r="R58" s="25" t="str">
        <f t="shared" si="30"/>
        <v xml:space="preserve"> </v>
      </c>
      <c r="S58" s="26" t="str">
        <f t="shared" si="25"/>
        <v xml:space="preserve"> </v>
      </c>
      <c r="T58" s="7" t="str">
        <f t="shared" si="26"/>
        <v xml:space="preserve"> </v>
      </c>
      <c r="U58" s="8" t="str">
        <f t="shared" si="27"/>
        <v xml:space="preserve"> </v>
      </c>
      <c r="V58" s="9" t="str">
        <f t="shared" si="28"/>
        <v xml:space="preserve"> </v>
      </c>
      <c r="W58" s="9" t="str">
        <f t="shared" si="29"/>
        <v/>
      </c>
      <c r="X58" s="32"/>
      <c r="Y58" s="36"/>
    </row>
    <row r="59" spans="1:25" s="4" customFormat="1" ht="18" customHeight="1">
      <c r="A59" s="36"/>
      <c r="B59" s="69">
        <v>38</v>
      </c>
      <c r="C59" s="69"/>
      <c r="D59" s="31" t="s">
        <v>321</v>
      </c>
      <c r="E59" s="29" t="s">
        <v>34</v>
      </c>
      <c r="F59" s="28">
        <v>1.4</v>
      </c>
      <c r="G59" s="29">
        <v>0.1</v>
      </c>
      <c r="H59" s="29">
        <v>-0.1</v>
      </c>
      <c r="I59" s="30" t="s">
        <v>39</v>
      </c>
      <c r="J59" s="12">
        <f t="shared" si="22"/>
        <v>1.5</v>
      </c>
      <c r="K59" s="12">
        <f t="shared" si="23"/>
        <v>1.2999999999999998</v>
      </c>
      <c r="L59" s="78"/>
      <c r="M59" s="78"/>
      <c r="N59" s="78"/>
      <c r="O59" s="36"/>
      <c r="P59" s="24" t="str">
        <f t="shared" si="30"/>
        <v xml:space="preserve"> </v>
      </c>
      <c r="Q59" s="25" t="str">
        <f t="shared" si="30"/>
        <v xml:space="preserve"> </v>
      </c>
      <c r="R59" s="25" t="str">
        <f t="shared" si="30"/>
        <v xml:space="preserve"> </v>
      </c>
      <c r="S59" s="26" t="str">
        <f t="shared" si="25"/>
        <v xml:space="preserve"> </v>
      </c>
      <c r="T59" s="7" t="str">
        <f t="shared" si="26"/>
        <v xml:space="preserve"> </v>
      </c>
      <c r="U59" s="8" t="str">
        <f t="shared" si="27"/>
        <v xml:space="preserve"> </v>
      </c>
      <c r="V59" s="9" t="str">
        <f t="shared" si="28"/>
        <v xml:space="preserve"> </v>
      </c>
      <c r="W59" s="9" t="str">
        <f t="shared" si="29"/>
        <v/>
      </c>
      <c r="X59" s="32"/>
      <c r="Y59" s="36"/>
    </row>
    <row r="60" spans="1:25" s="4" customFormat="1" ht="18" customHeight="1">
      <c r="A60" s="36"/>
      <c r="B60" s="79">
        <v>39.01</v>
      </c>
      <c r="C60" s="69"/>
      <c r="D60" s="31" t="s">
        <v>322</v>
      </c>
      <c r="E60" s="29" t="s">
        <v>34</v>
      </c>
      <c r="F60" s="28">
        <v>0.9</v>
      </c>
      <c r="G60" s="29">
        <v>0.1</v>
      </c>
      <c r="H60" s="29">
        <v>-0.1</v>
      </c>
      <c r="I60" s="30" t="s">
        <v>39</v>
      </c>
      <c r="J60" s="12">
        <f t="shared" si="22"/>
        <v>1</v>
      </c>
      <c r="K60" s="12">
        <f t="shared" si="23"/>
        <v>0.8</v>
      </c>
      <c r="L60" s="78"/>
      <c r="M60" s="78"/>
      <c r="N60" s="78"/>
      <c r="O60" s="36"/>
      <c r="P60" s="24" t="str">
        <f t="shared" si="30"/>
        <v xml:space="preserve"> </v>
      </c>
      <c r="Q60" s="25" t="str">
        <f t="shared" si="30"/>
        <v xml:space="preserve"> </v>
      </c>
      <c r="R60" s="25" t="str">
        <f t="shared" si="30"/>
        <v xml:space="preserve"> </v>
      </c>
      <c r="S60" s="26" t="str">
        <f t="shared" si="25"/>
        <v xml:space="preserve"> </v>
      </c>
      <c r="T60" s="7" t="str">
        <f t="shared" si="26"/>
        <v xml:space="preserve"> </v>
      </c>
      <c r="U60" s="8" t="str">
        <f t="shared" si="27"/>
        <v xml:space="preserve"> </v>
      </c>
      <c r="V60" s="9" t="str">
        <f t="shared" si="28"/>
        <v xml:space="preserve"> </v>
      </c>
      <c r="W60" s="9" t="str">
        <f t="shared" si="29"/>
        <v/>
      </c>
      <c r="X60" s="32"/>
      <c r="Y60" s="36"/>
    </row>
    <row r="61" spans="1:25" s="4" customFormat="1" ht="18" customHeight="1">
      <c r="A61" s="36"/>
      <c r="B61" s="79">
        <v>39.020000000000003</v>
      </c>
      <c r="C61" s="69"/>
      <c r="D61" s="31" t="s">
        <v>322</v>
      </c>
      <c r="E61" s="29" t="s">
        <v>34</v>
      </c>
      <c r="F61" s="28">
        <v>0.9</v>
      </c>
      <c r="G61" s="29">
        <v>0.1</v>
      </c>
      <c r="H61" s="29">
        <v>-0.1</v>
      </c>
      <c r="I61" s="30" t="s">
        <v>39</v>
      </c>
      <c r="J61" s="12">
        <f t="shared" si="22"/>
        <v>1</v>
      </c>
      <c r="K61" s="12">
        <f t="shared" si="23"/>
        <v>0.8</v>
      </c>
      <c r="L61" s="78"/>
      <c r="M61" s="78"/>
      <c r="N61" s="78"/>
      <c r="O61" s="36"/>
      <c r="P61" s="24" t="str">
        <f t="shared" si="30"/>
        <v xml:space="preserve"> </v>
      </c>
      <c r="Q61" s="25" t="str">
        <f t="shared" si="30"/>
        <v xml:space="preserve"> </v>
      </c>
      <c r="R61" s="25" t="str">
        <f t="shared" si="30"/>
        <v xml:space="preserve"> </v>
      </c>
      <c r="S61" s="26" t="str">
        <f t="shared" si="25"/>
        <v xml:space="preserve"> </v>
      </c>
      <c r="T61" s="7" t="str">
        <f t="shared" si="26"/>
        <v xml:space="preserve"> </v>
      </c>
      <c r="U61" s="8" t="str">
        <f t="shared" si="27"/>
        <v xml:space="preserve"> </v>
      </c>
      <c r="V61" s="9" t="str">
        <f t="shared" si="28"/>
        <v xml:space="preserve"> </v>
      </c>
      <c r="W61" s="9" t="str">
        <f t="shared" si="29"/>
        <v/>
      </c>
      <c r="X61" s="32"/>
      <c r="Y61" s="36"/>
    </row>
    <row r="62" spans="1:25" s="4" customFormat="1" ht="18" customHeight="1">
      <c r="A62" s="36"/>
      <c r="B62" s="79">
        <v>39.03</v>
      </c>
      <c r="C62" s="69"/>
      <c r="D62" s="31" t="s">
        <v>322</v>
      </c>
      <c r="E62" s="29" t="s">
        <v>34</v>
      </c>
      <c r="F62" s="28">
        <v>0.9</v>
      </c>
      <c r="G62" s="29">
        <v>0.1</v>
      </c>
      <c r="H62" s="29">
        <v>-0.1</v>
      </c>
      <c r="I62" s="30" t="s">
        <v>39</v>
      </c>
      <c r="J62" s="12">
        <f t="shared" si="22"/>
        <v>1</v>
      </c>
      <c r="K62" s="12">
        <f t="shared" si="23"/>
        <v>0.8</v>
      </c>
      <c r="L62" s="78"/>
      <c r="M62" s="78"/>
      <c r="N62" s="78"/>
      <c r="O62" s="36"/>
      <c r="P62" s="24" t="str">
        <f t="shared" si="30"/>
        <v xml:space="preserve"> </v>
      </c>
      <c r="Q62" s="25" t="str">
        <f t="shared" si="30"/>
        <v xml:space="preserve"> </v>
      </c>
      <c r="R62" s="25" t="str">
        <f t="shared" si="30"/>
        <v xml:space="preserve"> </v>
      </c>
      <c r="S62" s="26" t="str">
        <f t="shared" si="25"/>
        <v xml:space="preserve"> </v>
      </c>
      <c r="T62" s="7" t="str">
        <f t="shared" si="26"/>
        <v xml:space="preserve"> </v>
      </c>
      <c r="U62" s="8" t="str">
        <f t="shared" si="27"/>
        <v xml:space="preserve"> </v>
      </c>
      <c r="V62" s="9" t="str">
        <f t="shared" si="28"/>
        <v xml:space="preserve"> </v>
      </c>
      <c r="W62" s="9" t="str">
        <f t="shared" si="29"/>
        <v/>
      </c>
      <c r="X62" s="32"/>
      <c r="Y62" s="36"/>
    </row>
    <row r="63" spans="1:25" s="4" customFormat="1" ht="18" customHeight="1">
      <c r="A63" s="36"/>
      <c r="B63" s="79">
        <v>40.01</v>
      </c>
      <c r="C63" s="69"/>
      <c r="D63" s="31" t="s">
        <v>323</v>
      </c>
      <c r="E63" s="29" t="s">
        <v>34</v>
      </c>
      <c r="F63" s="28">
        <v>2.8</v>
      </c>
      <c r="G63" s="29">
        <v>0.1</v>
      </c>
      <c r="H63" s="29">
        <v>-0.1</v>
      </c>
      <c r="I63" s="30" t="s">
        <v>39</v>
      </c>
      <c r="J63" s="12">
        <f t="shared" si="22"/>
        <v>2.9</v>
      </c>
      <c r="K63" s="12">
        <f t="shared" si="23"/>
        <v>2.6999999999999997</v>
      </c>
      <c r="L63" s="78"/>
      <c r="M63" s="78"/>
      <c r="N63" s="78"/>
      <c r="O63" s="36"/>
      <c r="P63" s="24" t="str">
        <f t="shared" si="30"/>
        <v xml:space="preserve"> </v>
      </c>
      <c r="Q63" s="25" t="str">
        <f t="shared" si="30"/>
        <v xml:space="preserve"> </v>
      </c>
      <c r="R63" s="25" t="str">
        <f t="shared" si="30"/>
        <v xml:space="preserve"> </v>
      </c>
      <c r="S63" s="26" t="str">
        <f t="shared" si="25"/>
        <v xml:space="preserve"> </v>
      </c>
      <c r="T63" s="7" t="str">
        <f t="shared" si="26"/>
        <v xml:space="preserve"> </v>
      </c>
      <c r="U63" s="8" t="str">
        <f t="shared" si="27"/>
        <v xml:space="preserve"> </v>
      </c>
      <c r="V63" s="9" t="str">
        <f t="shared" si="28"/>
        <v xml:space="preserve"> </v>
      </c>
      <c r="W63" s="9" t="str">
        <f t="shared" si="29"/>
        <v/>
      </c>
      <c r="X63" s="32"/>
      <c r="Y63" s="36"/>
    </row>
    <row r="64" spans="1:25" s="4" customFormat="1" ht="18" customHeight="1">
      <c r="A64" s="36"/>
      <c r="B64" s="79">
        <v>40.020000000000003</v>
      </c>
      <c r="C64" s="69"/>
      <c r="D64" s="31" t="s">
        <v>323</v>
      </c>
      <c r="E64" s="29" t="s">
        <v>34</v>
      </c>
      <c r="F64" s="28">
        <v>2.8</v>
      </c>
      <c r="G64" s="29">
        <v>0.1</v>
      </c>
      <c r="H64" s="29">
        <v>-0.1</v>
      </c>
      <c r="I64" s="30" t="s">
        <v>39</v>
      </c>
      <c r="J64" s="12">
        <f t="shared" si="22"/>
        <v>2.9</v>
      </c>
      <c r="K64" s="12">
        <f t="shared" si="23"/>
        <v>2.6999999999999997</v>
      </c>
      <c r="L64" s="78"/>
      <c r="M64" s="78"/>
      <c r="N64" s="78"/>
      <c r="O64" s="36"/>
      <c r="P64" s="24" t="str">
        <f t="shared" si="30"/>
        <v xml:space="preserve"> </v>
      </c>
      <c r="Q64" s="25" t="str">
        <f t="shared" si="30"/>
        <v xml:space="preserve"> </v>
      </c>
      <c r="R64" s="25" t="str">
        <f t="shared" si="30"/>
        <v xml:space="preserve"> </v>
      </c>
      <c r="S64" s="26" t="str">
        <f t="shared" si="25"/>
        <v xml:space="preserve"> </v>
      </c>
      <c r="T64" s="7" t="str">
        <f t="shared" si="26"/>
        <v xml:space="preserve"> </v>
      </c>
      <c r="U64" s="8" t="str">
        <f t="shared" si="27"/>
        <v xml:space="preserve"> </v>
      </c>
      <c r="V64" s="9" t="str">
        <f t="shared" si="28"/>
        <v xml:space="preserve"> </v>
      </c>
      <c r="W64" s="9" t="str">
        <f t="shared" si="29"/>
        <v/>
      </c>
      <c r="X64" s="32"/>
      <c r="Y64" s="36"/>
    </row>
    <row r="65" spans="1:25" s="4" customFormat="1" ht="18" customHeight="1">
      <c r="A65" s="36"/>
      <c r="B65" s="69">
        <v>41.01</v>
      </c>
      <c r="C65" s="69"/>
      <c r="D65" s="31" t="s">
        <v>323</v>
      </c>
      <c r="E65" s="29" t="s">
        <v>34</v>
      </c>
      <c r="F65" s="28">
        <v>2.2999999999999998</v>
      </c>
      <c r="G65" s="29">
        <v>0.1</v>
      </c>
      <c r="H65" s="29">
        <v>-0.1</v>
      </c>
      <c r="I65" s="30" t="s">
        <v>39</v>
      </c>
      <c r="J65" s="12">
        <f t="shared" si="22"/>
        <v>2.4</v>
      </c>
      <c r="K65" s="12">
        <f t="shared" si="23"/>
        <v>2.1999999999999997</v>
      </c>
      <c r="L65" s="78"/>
      <c r="M65" s="78"/>
      <c r="N65" s="78"/>
      <c r="O65" s="36"/>
      <c r="P65" s="24" t="str">
        <f t="shared" si="30"/>
        <v xml:space="preserve"> </v>
      </c>
      <c r="Q65" s="25" t="str">
        <f t="shared" si="30"/>
        <v xml:space="preserve"> </v>
      </c>
      <c r="R65" s="25" t="str">
        <f t="shared" si="30"/>
        <v xml:space="preserve"> </v>
      </c>
      <c r="S65" s="26" t="str">
        <f t="shared" si="25"/>
        <v xml:space="preserve"> </v>
      </c>
      <c r="T65" s="7" t="str">
        <f t="shared" si="26"/>
        <v xml:space="preserve"> </v>
      </c>
      <c r="U65" s="8" t="str">
        <f t="shared" si="27"/>
        <v xml:space="preserve"> </v>
      </c>
      <c r="V65" s="9" t="str">
        <f t="shared" si="28"/>
        <v xml:space="preserve"> </v>
      </c>
      <c r="W65" s="9" t="str">
        <f t="shared" si="29"/>
        <v/>
      </c>
      <c r="X65" s="32"/>
      <c r="Y65" s="36"/>
    </row>
    <row r="66" spans="1:25" s="4" customFormat="1" ht="18" customHeight="1">
      <c r="A66" s="36"/>
      <c r="B66" s="69">
        <v>41.02</v>
      </c>
      <c r="C66" s="69"/>
      <c r="D66" s="31" t="s">
        <v>323</v>
      </c>
      <c r="E66" s="29" t="s">
        <v>34</v>
      </c>
      <c r="F66" s="28">
        <v>2.2999999999999998</v>
      </c>
      <c r="G66" s="29">
        <v>0.1</v>
      </c>
      <c r="H66" s="29">
        <v>-0.1</v>
      </c>
      <c r="I66" s="30" t="s">
        <v>39</v>
      </c>
      <c r="J66" s="12">
        <f t="shared" si="22"/>
        <v>2.4</v>
      </c>
      <c r="K66" s="12">
        <f t="shared" si="23"/>
        <v>2.1999999999999997</v>
      </c>
      <c r="L66" s="78"/>
      <c r="M66" s="78"/>
      <c r="N66" s="78"/>
      <c r="O66" s="36"/>
      <c r="P66" s="24" t="str">
        <f t="shared" si="30"/>
        <v xml:space="preserve"> </v>
      </c>
      <c r="Q66" s="25" t="str">
        <f t="shared" si="30"/>
        <v xml:space="preserve"> </v>
      </c>
      <c r="R66" s="25" t="str">
        <f t="shared" si="30"/>
        <v xml:space="preserve"> </v>
      </c>
      <c r="S66" s="26" t="str">
        <f t="shared" si="25"/>
        <v xml:space="preserve"> </v>
      </c>
      <c r="T66" s="7" t="str">
        <f t="shared" si="26"/>
        <v xml:space="preserve"> </v>
      </c>
      <c r="U66" s="8" t="str">
        <f t="shared" si="27"/>
        <v xml:space="preserve"> </v>
      </c>
      <c r="V66" s="9" t="str">
        <f t="shared" si="28"/>
        <v xml:space="preserve"> </v>
      </c>
      <c r="W66" s="9" t="str">
        <f t="shared" si="29"/>
        <v/>
      </c>
      <c r="X66" s="32"/>
      <c r="Y66" s="36"/>
    </row>
    <row r="67" spans="1:25" s="4" customFormat="1" ht="18" customHeight="1">
      <c r="A67" s="36"/>
      <c r="B67" s="69">
        <v>42</v>
      </c>
      <c r="C67" s="69"/>
      <c r="D67" s="31" t="s">
        <v>319</v>
      </c>
      <c r="E67" s="29" t="s">
        <v>34</v>
      </c>
      <c r="F67" s="28">
        <v>0.6</v>
      </c>
      <c r="G67" s="29">
        <v>0.1</v>
      </c>
      <c r="H67" s="29">
        <v>-0.1</v>
      </c>
      <c r="I67" s="30" t="s">
        <v>39</v>
      </c>
      <c r="J67" s="12">
        <f t="shared" si="22"/>
        <v>0.7</v>
      </c>
      <c r="K67" s="12">
        <f t="shared" si="23"/>
        <v>0.5</v>
      </c>
      <c r="L67" s="78"/>
      <c r="M67" s="78"/>
      <c r="N67" s="78"/>
      <c r="O67" s="36"/>
      <c r="P67" s="24" t="str">
        <f t="shared" si="30"/>
        <v xml:space="preserve"> </v>
      </c>
      <c r="Q67" s="25" t="str">
        <f t="shared" si="30"/>
        <v xml:space="preserve"> </v>
      </c>
      <c r="R67" s="25" t="str">
        <f t="shared" si="30"/>
        <v xml:space="preserve"> </v>
      </c>
      <c r="S67" s="26" t="str">
        <f t="shared" si="25"/>
        <v xml:space="preserve"> </v>
      </c>
      <c r="T67" s="7" t="str">
        <f t="shared" si="26"/>
        <v xml:space="preserve"> </v>
      </c>
      <c r="U67" s="8" t="str">
        <f t="shared" si="27"/>
        <v xml:space="preserve"> </v>
      </c>
      <c r="V67" s="9" t="str">
        <f t="shared" si="28"/>
        <v xml:space="preserve"> </v>
      </c>
      <c r="W67" s="9" t="str">
        <f t="shared" si="29"/>
        <v/>
      </c>
      <c r="X67" s="32"/>
      <c r="Y67" s="36"/>
    </row>
    <row r="68" spans="1:25" s="4" customFormat="1" ht="18" customHeight="1">
      <c r="A68" s="36"/>
      <c r="B68" s="69">
        <v>43</v>
      </c>
      <c r="C68" s="69"/>
      <c r="D68" s="31" t="s">
        <v>319</v>
      </c>
      <c r="E68" s="29" t="s">
        <v>34</v>
      </c>
      <c r="F68" s="28">
        <v>2.9</v>
      </c>
      <c r="G68" s="29">
        <v>0.1</v>
      </c>
      <c r="H68" s="29">
        <v>-0.1</v>
      </c>
      <c r="I68" s="30" t="s">
        <v>39</v>
      </c>
      <c r="J68" s="12">
        <f t="shared" si="22"/>
        <v>3</v>
      </c>
      <c r="K68" s="12">
        <f t="shared" si="23"/>
        <v>2.8</v>
      </c>
      <c r="L68" s="78"/>
      <c r="M68" s="78"/>
      <c r="N68" s="78"/>
      <c r="O68" s="36"/>
      <c r="P68" s="24" t="str">
        <f t="shared" si="30"/>
        <v xml:space="preserve"> </v>
      </c>
      <c r="Q68" s="25" t="str">
        <f t="shared" si="30"/>
        <v xml:space="preserve"> </v>
      </c>
      <c r="R68" s="25" t="str">
        <f t="shared" si="30"/>
        <v xml:space="preserve"> </v>
      </c>
      <c r="S68" s="26" t="str">
        <f t="shared" si="25"/>
        <v xml:space="preserve"> </v>
      </c>
      <c r="T68" s="7" t="str">
        <f t="shared" si="26"/>
        <v xml:space="preserve"> </v>
      </c>
      <c r="U68" s="8" t="str">
        <f t="shared" si="27"/>
        <v xml:space="preserve"> </v>
      </c>
      <c r="V68" s="9" t="str">
        <f t="shared" si="28"/>
        <v xml:space="preserve"> </v>
      </c>
      <c r="W68" s="9" t="str">
        <f t="shared" si="29"/>
        <v/>
      </c>
      <c r="X68" s="32"/>
      <c r="Y68" s="36"/>
    </row>
    <row r="69" spans="1:25" s="4" customFormat="1" ht="18" customHeight="1">
      <c r="A69" s="36"/>
      <c r="B69" s="69">
        <v>44</v>
      </c>
      <c r="C69" s="69"/>
      <c r="D69" s="31" t="s">
        <v>319</v>
      </c>
      <c r="E69" s="29" t="s">
        <v>34</v>
      </c>
      <c r="F69" s="28">
        <v>4.4000000000000004</v>
      </c>
      <c r="G69" s="29">
        <v>0.1</v>
      </c>
      <c r="H69" s="29">
        <v>-0.1</v>
      </c>
      <c r="I69" s="30" t="s">
        <v>39</v>
      </c>
      <c r="J69" s="12">
        <f t="shared" si="22"/>
        <v>4.5</v>
      </c>
      <c r="K69" s="12">
        <f t="shared" si="23"/>
        <v>4.3000000000000007</v>
      </c>
      <c r="L69" s="78"/>
      <c r="M69" s="78"/>
      <c r="N69" s="78"/>
      <c r="O69" s="36"/>
      <c r="P69" s="24" t="str">
        <f t="shared" si="30"/>
        <v xml:space="preserve"> </v>
      </c>
      <c r="Q69" s="25" t="str">
        <f t="shared" si="30"/>
        <v xml:space="preserve"> </v>
      </c>
      <c r="R69" s="25" t="str">
        <f t="shared" si="30"/>
        <v xml:space="preserve"> </v>
      </c>
      <c r="S69" s="26" t="str">
        <f t="shared" si="25"/>
        <v xml:space="preserve"> </v>
      </c>
      <c r="T69" s="7" t="str">
        <f t="shared" si="26"/>
        <v xml:space="preserve"> </v>
      </c>
      <c r="U69" s="8" t="str">
        <f t="shared" si="27"/>
        <v xml:space="preserve"> </v>
      </c>
      <c r="V69" s="9" t="str">
        <f t="shared" si="28"/>
        <v xml:space="preserve"> </v>
      </c>
      <c r="W69" s="9" t="str">
        <f t="shared" si="29"/>
        <v/>
      </c>
      <c r="X69" s="32"/>
      <c r="Y69" s="36"/>
    </row>
    <row r="70" spans="1:25" s="4" customFormat="1" ht="18" customHeight="1">
      <c r="A70" s="36"/>
      <c r="B70" s="79">
        <v>45.01</v>
      </c>
      <c r="C70" s="69"/>
      <c r="D70" s="31" t="s">
        <v>325</v>
      </c>
      <c r="E70" s="29" t="s">
        <v>34</v>
      </c>
      <c r="F70" s="28">
        <v>0.9</v>
      </c>
      <c r="G70" s="29">
        <v>0.1</v>
      </c>
      <c r="H70" s="29">
        <v>-0.1</v>
      </c>
      <c r="I70" s="30" t="s">
        <v>39</v>
      </c>
      <c r="J70" s="12">
        <f t="shared" si="22"/>
        <v>1</v>
      </c>
      <c r="K70" s="12">
        <f t="shared" si="23"/>
        <v>0.8</v>
      </c>
      <c r="L70" s="78"/>
      <c r="M70" s="78"/>
      <c r="N70" s="78"/>
      <c r="O70" s="36"/>
      <c r="P70" s="24" t="str">
        <f t="shared" si="30"/>
        <v xml:space="preserve"> </v>
      </c>
      <c r="Q70" s="25" t="str">
        <f t="shared" si="30"/>
        <v xml:space="preserve"> </v>
      </c>
      <c r="R70" s="25" t="str">
        <f t="shared" si="30"/>
        <v xml:space="preserve"> </v>
      </c>
      <c r="S70" s="26" t="str">
        <f t="shared" si="25"/>
        <v xml:space="preserve"> </v>
      </c>
      <c r="T70" s="7" t="str">
        <f t="shared" si="26"/>
        <v xml:space="preserve"> </v>
      </c>
      <c r="U70" s="8" t="str">
        <f t="shared" si="27"/>
        <v xml:space="preserve"> </v>
      </c>
      <c r="V70" s="9" t="str">
        <f t="shared" si="28"/>
        <v xml:space="preserve"> </v>
      </c>
      <c r="W70" s="9" t="str">
        <f t="shared" si="29"/>
        <v/>
      </c>
      <c r="X70" s="32"/>
      <c r="Y70" s="36"/>
    </row>
    <row r="71" spans="1:25" s="4" customFormat="1" ht="18" customHeight="1">
      <c r="A71" s="36"/>
      <c r="B71" s="79">
        <v>45.02</v>
      </c>
      <c r="C71" s="69"/>
      <c r="D71" s="31" t="s">
        <v>325</v>
      </c>
      <c r="E71" s="29" t="s">
        <v>34</v>
      </c>
      <c r="F71" s="28">
        <v>0.9</v>
      </c>
      <c r="G71" s="29">
        <v>0.1</v>
      </c>
      <c r="H71" s="29">
        <v>-0.1</v>
      </c>
      <c r="I71" s="30" t="s">
        <v>39</v>
      </c>
      <c r="J71" s="12">
        <f t="shared" si="22"/>
        <v>1</v>
      </c>
      <c r="K71" s="12">
        <f t="shared" si="23"/>
        <v>0.8</v>
      </c>
      <c r="L71" s="78"/>
      <c r="M71" s="78"/>
      <c r="N71" s="78"/>
      <c r="O71" s="36"/>
      <c r="P71" s="24" t="str">
        <f t="shared" si="30"/>
        <v xml:space="preserve"> </v>
      </c>
      <c r="Q71" s="25" t="str">
        <f t="shared" si="30"/>
        <v xml:space="preserve"> </v>
      </c>
      <c r="R71" s="25" t="str">
        <f t="shared" si="30"/>
        <v xml:space="preserve"> </v>
      </c>
      <c r="S71" s="26" t="str">
        <f t="shared" si="25"/>
        <v xml:space="preserve"> </v>
      </c>
      <c r="T71" s="7" t="str">
        <f t="shared" si="26"/>
        <v xml:space="preserve"> </v>
      </c>
      <c r="U71" s="8" t="str">
        <f t="shared" si="27"/>
        <v xml:space="preserve"> </v>
      </c>
      <c r="V71" s="9" t="str">
        <f t="shared" si="28"/>
        <v xml:space="preserve"> </v>
      </c>
      <c r="W71" s="9" t="str">
        <f t="shared" si="29"/>
        <v/>
      </c>
      <c r="X71" s="32"/>
      <c r="Y71" s="36"/>
    </row>
    <row r="72" spans="1:25" s="4" customFormat="1" ht="18" customHeight="1">
      <c r="A72" s="36"/>
      <c r="B72" s="79">
        <v>45.03</v>
      </c>
      <c r="C72" s="69"/>
      <c r="D72" s="31" t="s">
        <v>325</v>
      </c>
      <c r="E72" s="29" t="s">
        <v>34</v>
      </c>
      <c r="F72" s="28">
        <v>0.9</v>
      </c>
      <c r="G72" s="29">
        <v>0.1</v>
      </c>
      <c r="H72" s="29">
        <v>-0.1</v>
      </c>
      <c r="I72" s="30" t="s">
        <v>39</v>
      </c>
      <c r="J72" s="12">
        <f t="shared" si="22"/>
        <v>1</v>
      </c>
      <c r="K72" s="12">
        <f t="shared" si="23"/>
        <v>0.8</v>
      </c>
      <c r="L72" s="78"/>
      <c r="M72" s="78"/>
      <c r="N72" s="78"/>
      <c r="O72" s="36"/>
      <c r="P72" s="24" t="str">
        <f t="shared" si="30"/>
        <v xml:space="preserve"> </v>
      </c>
      <c r="Q72" s="25" t="str">
        <f t="shared" si="30"/>
        <v xml:space="preserve"> </v>
      </c>
      <c r="R72" s="25" t="str">
        <f t="shared" si="30"/>
        <v xml:space="preserve"> </v>
      </c>
      <c r="S72" s="26" t="str">
        <f t="shared" si="25"/>
        <v xml:space="preserve"> </v>
      </c>
      <c r="T72" s="7" t="str">
        <f t="shared" si="26"/>
        <v xml:space="preserve"> </v>
      </c>
      <c r="U72" s="8" t="str">
        <f t="shared" si="27"/>
        <v xml:space="preserve"> </v>
      </c>
      <c r="V72" s="9" t="str">
        <f t="shared" si="28"/>
        <v xml:space="preserve"> </v>
      </c>
      <c r="W72" s="9" t="str">
        <f t="shared" si="29"/>
        <v/>
      </c>
      <c r="X72" s="32"/>
      <c r="Y72" s="36"/>
    </row>
    <row r="73" spans="1:25" s="4" customFormat="1" ht="18" customHeight="1">
      <c r="A73" s="36"/>
      <c r="B73" s="69">
        <v>46</v>
      </c>
      <c r="C73" s="69"/>
      <c r="D73" s="31" t="s">
        <v>325</v>
      </c>
      <c r="E73" s="29" t="s">
        <v>34</v>
      </c>
      <c r="F73" s="28">
        <v>0.95</v>
      </c>
      <c r="G73" s="29">
        <v>0.1</v>
      </c>
      <c r="H73" s="29">
        <v>-0.1</v>
      </c>
      <c r="I73" s="30" t="s">
        <v>39</v>
      </c>
      <c r="J73" s="12">
        <f t="shared" si="22"/>
        <v>1.05</v>
      </c>
      <c r="K73" s="12">
        <f t="shared" si="23"/>
        <v>0.85</v>
      </c>
      <c r="L73" s="78"/>
      <c r="M73" s="78"/>
      <c r="N73" s="78"/>
      <c r="O73" s="36"/>
      <c r="P73" s="24" t="str">
        <f t="shared" si="30"/>
        <v xml:space="preserve"> </v>
      </c>
      <c r="Q73" s="25" t="str">
        <f t="shared" si="30"/>
        <v xml:space="preserve"> </v>
      </c>
      <c r="R73" s="25" t="str">
        <f t="shared" si="30"/>
        <v xml:space="preserve"> </v>
      </c>
      <c r="S73" s="26" t="str">
        <f t="shared" si="25"/>
        <v xml:space="preserve"> </v>
      </c>
      <c r="T73" s="7" t="str">
        <f t="shared" si="26"/>
        <v xml:space="preserve"> </v>
      </c>
      <c r="U73" s="8" t="str">
        <f t="shared" si="27"/>
        <v xml:space="preserve"> </v>
      </c>
      <c r="V73" s="9" t="str">
        <f t="shared" si="28"/>
        <v xml:space="preserve"> </v>
      </c>
      <c r="W73" s="9" t="str">
        <f t="shared" si="29"/>
        <v/>
      </c>
      <c r="X73" s="32"/>
      <c r="Y73" s="36"/>
    </row>
    <row r="74" spans="1:25" s="4" customFormat="1" ht="18" customHeight="1">
      <c r="A74" s="36"/>
      <c r="B74" s="69">
        <v>47</v>
      </c>
      <c r="C74" s="69"/>
      <c r="D74" s="31" t="s">
        <v>326</v>
      </c>
      <c r="E74" s="29" t="s">
        <v>34</v>
      </c>
      <c r="F74" s="28">
        <v>4.8899999999999997</v>
      </c>
      <c r="G74" s="29">
        <v>0.1</v>
      </c>
      <c r="H74" s="29">
        <v>-0.1</v>
      </c>
      <c r="I74" s="30" t="s">
        <v>39</v>
      </c>
      <c r="J74" s="12">
        <f t="shared" si="22"/>
        <v>4.9899999999999993</v>
      </c>
      <c r="K74" s="12">
        <f t="shared" si="23"/>
        <v>4.79</v>
      </c>
      <c r="L74" s="78"/>
      <c r="M74" s="78"/>
      <c r="N74" s="78"/>
      <c r="O74" s="36"/>
      <c r="P74" s="24" t="str">
        <f t="shared" si="30"/>
        <v xml:space="preserve"> </v>
      </c>
      <c r="Q74" s="25" t="str">
        <f t="shared" si="30"/>
        <v xml:space="preserve"> </v>
      </c>
      <c r="R74" s="25" t="str">
        <f t="shared" si="30"/>
        <v xml:space="preserve"> </v>
      </c>
      <c r="S74" s="26" t="str">
        <f t="shared" si="25"/>
        <v xml:space="preserve"> </v>
      </c>
      <c r="T74" s="7" t="str">
        <f t="shared" si="26"/>
        <v xml:space="preserve"> </v>
      </c>
      <c r="U74" s="8" t="str">
        <f t="shared" si="27"/>
        <v xml:space="preserve"> </v>
      </c>
      <c r="V74" s="9" t="str">
        <f t="shared" si="28"/>
        <v xml:space="preserve"> </v>
      </c>
      <c r="W74" s="9" t="str">
        <f t="shared" si="29"/>
        <v/>
      </c>
      <c r="X74" s="32"/>
      <c r="Y74" s="36"/>
    </row>
    <row r="75" spans="1:25" s="4" customFormat="1" ht="18" customHeight="1">
      <c r="A75" s="36"/>
      <c r="B75" s="69">
        <v>48.01</v>
      </c>
      <c r="C75" s="69"/>
      <c r="D75" s="31" t="s">
        <v>327</v>
      </c>
      <c r="E75" s="29" t="s">
        <v>34</v>
      </c>
      <c r="F75" s="28">
        <v>4.6900000000000004</v>
      </c>
      <c r="G75" s="29">
        <v>0.1</v>
      </c>
      <c r="H75" s="29">
        <v>-0.1</v>
      </c>
      <c r="I75" s="30" t="s">
        <v>39</v>
      </c>
      <c r="J75" s="12">
        <f t="shared" si="22"/>
        <v>4.79</v>
      </c>
      <c r="K75" s="12">
        <f t="shared" si="23"/>
        <v>4.5900000000000007</v>
      </c>
      <c r="L75" s="78"/>
      <c r="M75" s="78"/>
      <c r="N75" s="78"/>
      <c r="O75" s="36"/>
      <c r="P75" s="24" t="str">
        <f t="shared" si="30"/>
        <v xml:space="preserve"> </v>
      </c>
      <c r="Q75" s="25" t="str">
        <f t="shared" si="30"/>
        <v xml:space="preserve"> </v>
      </c>
      <c r="R75" s="25" t="str">
        <f t="shared" si="30"/>
        <v xml:space="preserve"> </v>
      </c>
      <c r="S75" s="26" t="str">
        <f t="shared" si="25"/>
        <v xml:space="preserve"> </v>
      </c>
      <c r="T75" s="7" t="str">
        <f t="shared" si="26"/>
        <v xml:space="preserve"> </v>
      </c>
      <c r="U75" s="8" t="str">
        <f t="shared" si="27"/>
        <v xml:space="preserve"> </v>
      </c>
      <c r="V75" s="9" t="str">
        <f t="shared" si="28"/>
        <v xml:space="preserve"> </v>
      </c>
      <c r="W75" s="9" t="str">
        <f t="shared" si="29"/>
        <v/>
      </c>
      <c r="X75" s="32"/>
      <c r="Y75" s="36"/>
    </row>
    <row r="76" spans="1:25" s="4" customFormat="1" ht="18" customHeight="1">
      <c r="A76" s="36"/>
      <c r="B76" s="69">
        <v>48.02</v>
      </c>
      <c r="C76" s="69"/>
      <c r="D76" s="31" t="s">
        <v>327</v>
      </c>
      <c r="E76" s="29" t="s">
        <v>34</v>
      </c>
      <c r="F76" s="28">
        <v>4.6900000000000004</v>
      </c>
      <c r="G76" s="29">
        <v>0.1</v>
      </c>
      <c r="H76" s="29">
        <v>-0.1</v>
      </c>
      <c r="I76" s="30" t="s">
        <v>39</v>
      </c>
      <c r="J76" s="12">
        <f t="shared" si="22"/>
        <v>4.79</v>
      </c>
      <c r="K76" s="12">
        <f t="shared" si="23"/>
        <v>4.5900000000000007</v>
      </c>
      <c r="L76" s="78"/>
      <c r="M76" s="78"/>
      <c r="N76" s="78"/>
      <c r="O76" s="36"/>
      <c r="P76" s="24" t="str">
        <f t="shared" si="30"/>
        <v xml:space="preserve"> </v>
      </c>
      <c r="Q76" s="25" t="str">
        <f t="shared" si="30"/>
        <v xml:space="preserve"> </v>
      </c>
      <c r="R76" s="25" t="str">
        <f t="shared" si="30"/>
        <v xml:space="preserve"> </v>
      </c>
      <c r="S76" s="26" t="str">
        <f t="shared" si="25"/>
        <v xml:space="preserve"> </v>
      </c>
      <c r="T76" s="7" t="str">
        <f t="shared" si="26"/>
        <v xml:space="preserve"> </v>
      </c>
      <c r="U76" s="8" t="str">
        <f t="shared" si="27"/>
        <v xml:space="preserve"> </v>
      </c>
      <c r="V76" s="9"/>
      <c r="W76" s="9"/>
      <c r="X76" s="32"/>
      <c r="Y76" s="36"/>
    </row>
    <row r="77" spans="1:25" s="4" customFormat="1" ht="18" customHeight="1">
      <c r="A77" s="36"/>
      <c r="B77" s="69">
        <v>49.01</v>
      </c>
      <c r="C77" s="69"/>
      <c r="D77" s="31" t="s">
        <v>327</v>
      </c>
      <c r="E77" s="29" t="s">
        <v>170</v>
      </c>
      <c r="F77" s="28">
        <v>1.01</v>
      </c>
      <c r="G77" s="29">
        <v>0.03</v>
      </c>
      <c r="H77" s="29">
        <v>-0.03</v>
      </c>
      <c r="I77" s="30" t="s">
        <v>39</v>
      </c>
      <c r="J77" s="12">
        <f t="shared" si="22"/>
        <v>1.04</v>
      </c>
      <c r="K77" s="12">
        <f t="shared" si="23"/>
        <v>0.98</v>
      </c>
      <c r="L77" s="78"/>
      <c r="M77" s="78"/>
      <c r="N77" s="78"/>
      <c r="O77" s="36"/>
      <c r="P77" s="24" t="str">
        <f t="shared" si="30"/>
        <v xml:space="preserve"> </v>
      </c>
      <c r="Q77" s="25" t="str">
        <f t="shared" si="30"/>
        <v xml:space="preserve"> </v>
      </c>
      <c r="R77" s="25" t="str">
        <f t="shared" si="30"/>
        <v xml:space="preserve"> </v>
      </c>
      <c r="S77" s="26" t="str">
        <f t="shared" si="25"/>
        <v xml:space="preserve"> </v>
      </c>
      <c r="T77" s="7" t="str">
        <f t="shared" si="26"/>
        <v xml:space="preserve"> </v>
      </c>
      <c r="U77" s="8" t="str">
        <f t="shared" si="27"/>
        <v xml:space="preserve"> </v>
      </c>
      <c r="V77" s="9" t="str">
        <f t="shared" si="28"/>
        <v xml:space="preserve"> </v>
      </c>
      <c r="W77" s="9" t="str">
        <f t="shared" si="29"/>
        <v/>
      </c>
      <c r="X77" s="32"/>
      <c r="Y77" s="36"/>
    </row>
    <row r="78" spans="1:25" s="4" customFormat="1" ht="18" customHeight="1">
      <c r="A78" s="36"/>
      <c r="B78" s="69">
        <v>49.02</v>
      </c>
      <c r="C78" s="69"/>
      <c r="D78" s="31" t="s">
        <v>327</v>
      </c>
      <c r="E78" s="29" t="s">
        <v>170</v>
      </c>
      <c r="F78" s="28">
        <v>1.03</v>
      </c>
      <c r="G78" s="29">
        <v>0.03</v>
      </c>
      <c r="H78" s="29">
        <v>-0.03</v>
      </c>
      <c r="I78" s="30" t="s">
        <v>39</v>
      </c>
      <c r="J78" s="12">
        <f t="shared" si="22"/>
        <v>1.06</v>
      </c>
      <c r="K78" s="12">
        <f t="shared" si="23"/>
        <v>1</v>
      </c>
      <c r="L78" s="78"/>
      <c r="M78" s="78"/>
      <c r="N78" s="78"/>
      <c r="O78" s="36"/>
      <c r="P78" s="24" t="str">
        <f t="shared" si="30"/>
        <v xml:space="preserve"> </v>
      </c>
      <c r="Q78" s="25" t="str">
        <f t="shared" si="30"/>
        <v xml:space="preserve"> </v>
      </c>
      <c r="R78" s="25" t="str">
        <f t="shared" si="30"/>
        <v xml:space="preserve"> </v>
      </c>
      <c r="S78" s="26" t="str">
        <f t="shared" si="25"/>
        <v xml:space="preserve"> </v>
      </c>
      <c r="T78" s="7" t="str">
        <f t="shared" si="26"/>
        <v xml:space="preserve"> </v>
      </c>
      <c r="U78" s="8" t="str">
        <f t="shared" si="27"/>
        <v xml:space="preserve"> </v>
      </c>
      <c r="V78" s="9" t="str">
        <f t="shared" si="28"/>
        <v xml:space="preserve"> </v>
      </c>
      <c r="W78" s="9" t="str">
        <f t="shared" si="29"/>
        <v/>
      </c>
      <c r="X78" s="32"/>
      <c r="Y78" s="36"/>
    </row>
    <row r="79" spans="1:25" s="4" customFormat="1" ht="18" customHeight="1">
      <c r="A79" s="36"/>
      <c r="B79" s="69">
        <v>50.01</v>
      </c>
      <c r="C79" s="69"/>
      <c r="D79" s="31" t="s">
        <v>328</v>
      </c>
      <c r="E79" s="29" t="s">
        <v>34</v>
      </c>
      <c r="F79" s="28">
        <v>0.96</v>
      </c>
      <c r="G79" s="29">
        <v>0.1</v>
      </c>
      <c r="H79" s="29">
        <v>-0.1</v>
      </c>
      <c r="I79" s="30" t="s">
        <v>39</v>
      </c>
      <c r="J79" s="12">
        <f t="shared" si="22"/>
        <v>1.06</v>
      </c>
      <c r="K79" s="12">
        <f t="shared" si="23"/>
        <v>0.86</v>
      </c>
      <c r="L79" s="78"/>
      <c r="M79" s="78"/>
      <c r="N79" s="78"/>
      <c r="O79" s="36"/>
      <c r="P79" s="24" t="str">
        <f t="shared" si="30"/>
        <v xml:space="preserve"> </v>
      </c>
      <c r="Q79" s="25" t="str">
        <f t="shared" si="30"/>
        <v xml:space="preserve"> </v>
      </c>
      <c r="R79" s="25" t="str">
        <f t="shared" si="30"/>
        <v xml:space="preserve"> </v>
      </c>
      <c r="S79" s="26" t="str">
        <f t="shared" si="25"/>
        <v xml:space="preserve"> </v>
      </c>
      <c r="T79" s="7" t="str">
        <f t="shared" si="26"/>
        <v xml:space="preserve"> </v>
      </c>
      <c r="U79" s="8" t="str">
        <f t="shared" si="27"/>
        <v xml:space="preserve"> </v>
      </c>
      <c r="V79" s="9" t="str">
        <f t="shared" si="28"/>
        <v xml:space="preserve"> </v>
      </c>
      <c r="W79" s="9" t="str">
        <f t="shared" si="29"/>
        <v/>
      </c>
      <c r="X79" s="32"/>
      <c r="Y79" s="36"/>
    </row>
    <row r="80" spans="1:25" s="4" customFormat="1" ht="18" customHeight="1">
      <c r="A80" s="36"/>
      <c r="B80" s="69">
        <v>50.02</v>
      </c>
      <c r="C80" s="69"/>
      <c r="D80" s="31" t="s">
        <v>328</v>
      </c>
      <c r="E80" s="29" t="s">
        <v>34</v>
      </c>
      <c r="F80" s="28">
        <v>0.96</v>
      </c>
      <c r="G80" s="29">
        <v>0.1</v>
      </c>
      <c r="H80" s="29">
        <v>-0.1</v>
      </c>
      <c r="I80" s="30" t="s">
        <v>39</v>
      </c>
      <c r="J80" s="12">
        <f t="shared" si="22"/>
        <v>1.06</v>
      </c>
      <c r="K80" s="12">
        <f t="shared" si="23"/>
        <v>0.86</v>
      </c>
      <c r="L80" s="78"/>
      <c r="M80" s="78"/>
      <c r="N80" s="78"/>
      <c r="O80" s="36"/>
      <c r="P80" s="24" t="str">
        <f t="shared" si="30"/>
        <v xml:space="preserve"> </v>
      </c>
      <c r="Q80" s="25" t="str">
        <f t="shared" si="30"/>
        <v xml:space="preserve"> </v>
      </c>
      <c r="R80" s="25" t="str">
        <f t="shared" si="30"/>
        <v xml:space="preserve"> </v>
      </c>
      <c r="S80" s="26" t="str">
        <f t="shared" si="25"/>
        <v xml:space="preserve"> </v>
      </c>
      <c r="T80" s="7" t="str">
        <f t="shared" si="26"/>
        <v xml:space="preserve"> </v>
      </c>
      <c r="U80" s="8" t="str">
        <f t="shared" si="27"/>
        <v xml:space="preserve"> </v>
      </c>
      <c r="V80" s="9" t="str">
        <f t="shared" si="28"/>
        <v xml:space="preserve"> </v>
      </c>
      <c r="W80" s="9" t="str">
        <f t="shared" si="29"/>
        <v/>
      </c>
      <c r="X80" s="32"/>
      <c r="Y80" s="36"/>
    </row>
    <row r="81" spans="1:25" s="4" customFormat="1" ht="18" customHeight="1">
      <c r="A81" s="36"/>
      <c r="B81" s="69">
        <v>51.01</v>
      </c>
      <c r="C81" s="69" t="s">
        <v>290</v>
      </c>
      <c r="D81" s="31" t="s">
        <v>326</v>
      </c>
      <c r="E81" s="29" t="s">
        <v>34</v>
      </c>
      <c r="F81" s="28">
        <v>2.96</v>
      </c>
      <c r="G81" s="29">
        <v>0.05</v>
      </c>
      <c r="H81" s="29">
        <v>-0.05</v>
      </c>
      <c r="I81" s="30" t="s">
        <v>39</v>
      </c>
      <c r="J81" s="12">
        <f t="shared" si="22"/>
        <v>3.01</v>
      </c>
      <c r="K81" s="12">
        <f t="shared" si="23"/>
        <v>2.91</v>
      </c>
      <c r="L81" s="78"/>
      <c r="M81" s="78"/>
      <c r="N81" s="78"/>
      <c r="O81" s="36"/>
      <c r="P81" s="24" t="str">
        <f t="shared" si="30"/>
        <v xml:space="preserve"> </v>
      </c>
      <c r="Q81" s="25" t="str">
        <f t="shared" si="30"/>
        <v xml:space="preserve"> </v>
      </c>
      <c r="R81" s="25" t="str">
        <f t="shared" si="30"/>
        <v xml:space="preserve"> </v>
      </c>
      <c r="S81" s="26" t="str">
        <f t="shared" si="25"/>
        <v xml:space="preserve"> </v>
      </c>
      <c r="T81" s="7" t="str">
        <f t="shared" si="26"/>
        <v xml:space="preserve"> </v>
      </c>
      <c r="U81" s="8" t="str">
        <f t="shared" si="27"/>
        <v xml:space="preserve"> </v>
      </c>
      <c r="V81" s="9" t="str">
        <f t="shared" si="28"/>
        <v xml:space="preserve"> </v>
      </c>
      <c r="W81" s="9" t="str">
        <f t="shared" si="29"/>
        <v/>
      </c>
      <c r="X81" s="32"/>
      <c r="Y81" s="36"/>
    </row>
    <row r="82" spans="1:25" s="4" customFormat="1" ht="18" customHeight="1">
      <c r="A82" s="36"/>
      <c r="B82" s="69">
        <v>51.02</v>
      </c>
      <c r="C82" s="69" t="s">
        <v>291</v>
      </c>
      <c r="D82" s="31" t="s">
        <v>326</v>
      </c>
      <c r="E82" s="29" t="s">
        <v>34</v>
      </c>
      <c r="F82" s="28">
        <v>2.96</v>
      </c>
      <c r="G82" s="29">
        <v>0.05</v>
      </c>
      <c r="H82" s="29">
        <v>-0.05</v>
      </c>
      <c r="I82" s="30" t="s">
        <v>39</v>
      </c>
      <c r="J82" s="12">
        <f t="shared" si="22"/>
        <v>3.01</v>
      </c>
      <c r="K82" s="12">
        <f t="shared" si="23"/>
        <v>2.91</v>
      </c>
      <c r="L82" s="78"/>
      <c r="M82" s="78"/>
      <c r="N82" s="78"/>
      <c r="O82" s="36"/>
      <c r="P82" s="24" t="str">
        <f t="shared" si="30"/>
        <v xml:space="preserve"> </v>
      </c>
      <c r="Q82" s="25" t="str">
        <f t="shared" si="30"/>
        <v xml:space="preserve"> </v>
      </c>
      <c r="R82" s="25" t="str">
        <f t="shared" si="30"/>
        <v xml:space="preserve"> </v>
      </c>
      <c r="S82" s="26" t="str">
        <f t="shared" si="25"/>
        <v xml:space="preserve"> </v>
      </c>
      <c r="T82" s="7" t="str">
        <f t="shared" si="26"/>
        <v xml:space="preserve"> </v>
      </c>
      <c r="U82" s="8" t="str">
        <f t="shared" si="27"/>
        <v xml:space="preserve"> </v>
      </c>
      <c r="V82" s="9" t="str">
        <f t="shared" si="28"/>
        <v xml:space="preserve"> </v>
      </c>
      <c r="W82" s="9" t="str">
        <f t="shared" si="29"/>
        <v/>
      </c>
      <c r="X82" s="32"/>
      <c r="Y82" s="36"/>
    </row>
    <row r="83" spans="1:25" s="4" customFormat="1" ht="18" customHeight="1">
      <c r="A83" s="36"/>
      <c r="B83" s="69">
        <v>52.01</v>
      </c>
      <c r="C83" s="69"/>
      <c r="D83" s="31" t="s">
        <v>328</v>
      </c>
      <c r="E83" s="29" t="s">
        <v>34</v>
      </c>
      <c r="F83" s="28">
        <v>4.42</v>
      </c>
      <c r="G83" s="29">
        <v>0.1</v>
      </c>
      <c r="H83" s="29">
        <v>-0.1</v>
      </c>
      <c r="I83" s="30" t="s">
        <v>39</v>
      </c>
      <c r="J83" s="12">
        <f t="shared" ref="J83:J146" si="31">IF(AND(F83="",G83=""),"",IF(F83="",G83,F83+G83))</f>
        <v>4.5199999999999996</v>
      </c>
      <c r="K83" s="12">
        <f t="shared" ref="K83:K146" si="32">IF(AND(F83="",H83=""),"",IF(F83="",H83,F83+H83))</f>
        <v>4.32</v>
      </c>
      <c r="L83" s="78"/>
      <c r="M83" s="78"/>
      <c r="N83" s="78"/>
      <c r="O83" s="36"/>
      <c r="P83" s="24" t="str">
        <f t="shared" si="30"/>
        <v xml:space="preserve"> </v>
      </c>
      <c r="Q83" s="25" t="str">
        <f t="shared" si="30"/>
        <v xml:space="preserve"> </v>
      </c>
      <c r="R83" s="25" t="str">
        <f t="shared" si="30"/>
        <v xml:space="preserve"> </v>
      </c>
      <c r="S83" s="26" t="str">
        <f t="shared" ref="S83:S146" si="33">IF(ISERR(L83/L83)=TRUE," ",AVERAGE(L83:N83))</f>
        <v xml:space="preserve"> </v>
      </c>
      <c r="T83" s="7" t="str">
        <f t="shared" ref="T83:T146" si="34">IF(ISERR(G83/G83)=TRUE," ",IF(ISERR(L83/L83)=TRUE," ",IF(ISNUMBER($L83)=FALSE," ",IF(MAX($L83:$N83)&lt;$F83,0,(MAX($L83:$N83)-$F83)/$G83))))</f>
        <v xml:space="preserve"> </v>
      </c>
      <c r="U83" s="8" t="str">
        <f t="shared" ref="U83:U146" si="35">IF(ISERR(H83/F83)=TRUE," ",IF(ISERR(H83/H83)=TRUE," ",IF(ISERR(L83/L83)=TRUE," ",IF(ISNUMBER(L83)=FALSE," ",IF(MIN(L83:N83)&gt;$F83,0,($F83-MIN(L83:N83))/-H83)))))</f>
        <v xml:space="preserve"> </v>
      </c>
      <c r="V83" s="9" t="str">
        <f t="shared" ref="V83:V146" si="36">IF(ISNUMBER($T83)=TRUE,IF($T83&gt;0.651,IF($T83&gt;1.001,"Reject","Alert")," ")," ")</f>
        <v xml:space="preserve"> </v>
      </c>
      <c r="W83" s="9" t="str">
        <f t="shared" ref="W83:W146" si="37">IF(L83="","",IF(ISERR(H83/H83)=TRUE," ",IF(ISERR(H83/F83)=TRUE,IF((H83-MIN(L83:N83))&gt;0.001,"Reject",""),IF(ISNUMBER($U83)=TRUE,IF($U83&gt;0.651,IF($U83&gt;1.001,"Reject","Alert")," ")," "))))</f>
        <v/>
      </c>
      <c r="X83" s="32"/>
      <c r="Y83" s="36"/>
    </row>
    <row r="84" spans="1:25" s="4" customFormat="1" ht="18" customHeight="1">
      <c r="A84" s="36"/>
      <c r="B84" s="69">
        <v>52.02</v>
      </c>
      <c r="C84" s="69"/>
      <c r="D84" s="31" t="s">
        <v>328</v>
      </c>
      <c r="E84" s="29" t="s">
        <v>34</v>
      </c>
      <c r="F84" s="28">
        <v>4.42</v>
      </c>
      <c r="G84" s="29">
        <v>0.1</v>
      </c>
      <c r="H84" s="29">
        <v>-0.1</v>
      </c>
      <c r="I84" s="30" t="s">
        <v>39</v>
      </c>
      <c r="J84" s="12">
        <f t="shared" si="31"/>
        <v>4.5199999999999996</v>
      </c>
      <c r="K84" s="12">
        <f t="shared" si="32"/>
        <v>4.32</v>
      </c>
      <c r="L84" s="78"/>
      <c r="M84" s="78"/>
      <c r="N84" s="78"/>
      <c r="O84" s="36"/>
      <c r="P84" s="24" t="str">
        <f t="shared" si="30"/>
        <v xml:space="preserve"> </v>
      </c>
      <c r="Q84" s="25" t="str">
        <f t="shared" si="30"/>
        <v xml:space="preserve"> </v>
      </c>
      <c r="R84" s="25" t="str">
        <f t="shared" si="30"/>
        <v xml:space="preserve"> </v>
      </c>
      <c r="S84" s="26" t="str">
        <f t="shared" si="33"/>
        <v xml:space="preserve"> </v>
      </c>
      <c r="T84" s="7" t="str">
        <f t="shared" si="34"/>
        <v xml:space="preserve"> </v>
      </c>
      <c r="U84" s="8" t="str">
        <f t="shared" si="35"/>
        <v xml:space="preserve"> </v>
      </c>
      <c r="V84" s="9" t="str">
        <f t="shared" si="36"/>
        <v xml:space="preserve"> </v>
      </c>
      <c r="W84" s="9" t="str">
        <f t="shared" si="37"/>
        <v/>
      </c>
      <c r="X84" s="32"/>
      <c r="Y84" s="36"/>
    </row>
    <row r="85" spans="1:25" s="4" customFormat="1" ht="18" customHeight="1">
      <c r="A85" s="36"/>
      <c r="B85" s="69">
        <v>53.01</v>
      </c>
      <c r="C85" s="69" t="s">
        <v>292</v>
      </c>
      <c r="D85" s="31" t="s">
        <v>330</v>
      </c>
      <c r="E85" s="29" t="s">
        <v>34</v>
      </c>
      <c r="F85" s="28">
        <v>9.99</v>
      </c>
      <c r="G85" s="29">
        <v>0.05</v>
      </c>
      <c r="H85" s="29">
        <v>-0.05</v>
      </c>
      <c r="I85" s="30" t="s">
        <v>39</v>
      </c>
      <c r="J85" s="12">
        <f t="shared" si="31"/>
        <v>10.040000000000001</v>
      </c>
      <c r="K85" s="12">
        <f t="shared" si="32"/>
        <v>9.94</v>
      </c>
      <c r="L85" s="78"/>
      <c r="M85" s="78"/>
      <c r="N85" s="78"/>
      <c r="O85" s="36"/>
      <c r="P85" s="24" t="str">
        <f t="shared" si="30"/>
        <v xml:space="preserve"> </v>
      </c>
      <c r="Q85" s="25" t="str">
        <f t="shared" si="30"/>
        <v xml:space="preserve"> </v>
      </c>
      <c r="R85" s="25" t="str">
        <f t="shared" si="30"/>
        <v xml:space="preserve"> </v>
      </c>
      <c r="S85" s="26" t="str">
        <f t="shared" si="33"/>
        <v xml:space="preserve"> </v>
      </c>
      <c r="T85" s="7" t="str">
        <f t="shared" si="34"/>
        <v xml:space="preserve"> </v>
      </c>
      <c r="U85" s="8" t="str">
        <f t="shared" si="35"/>
        <v xml:space="preserve"> </v>
      </c>
      <c r="V85" s="9" t="str">
        <f t="shared" si="36"/>
        <v xml:space="preserve"> </v>
      </c>
      <c r="W85" s="9" t="str">
        <f t="shared" si="37"/>
        <v/>
      </c>
      <c r="X85" s="32"/>
      <c r="Y85" s="36"/>
    </row>
    <row r="86" spans="1:25" s="4" customFormat="1" ht="18" customHeight="1">
      <c r="A86" s="36"/>
      <c r="B86" s="69">
        <v>53.02</v>
      </c>
      <c r="C86" s="69" t="s">
        <v>293</v>
      </c>
      <c r="D86" s="31" t="s">
        <v>330</v>
      </c>
      <c r="E86" s="29" t="s">
        <v>34</v>
      </c>
      <c r="F86" s="28">
        <v>9.99</v>
      </c>
      <c r="G86" s="29">
        <v>0.05</v>
      </c>
      <c r="H86" s="29">
        <v>-0.05</v>
      </c>
      <c r="I86" s="30" t="s">
        <v>39</v>
      </c>
      <c r="J86" s="12">
        <f t="shared" si="31"/>
        <v>10.040000000000001</v>
      </c>
      <c r="K86" s="12">
        <f t="shared" si="32"/>
        <v>9.94</v>
      </c>
      <c r="L86" s="78"/>
      <c r="M86" s="78"/>
      <c r="N86" s="78"/>
      <c r="O86" s="36"/>
      <c r="P86" s="24" t="str">
        <f t="shared" si="30"/>
        <v xml:space="preserve"> </v>
      </c>
      <c r="Q86" s="25" t="str">
        <f t="shared" si="30"/>
        <v xml:space="preserve"> </v>
      </c>
      <c r="R86" s="25" t="str">
        <f t="shared" si="30"/>
        <v xml:space="preserve"> </v>
      </c>
      <c r="S86" s="26" t="str">
        <f t="shared" si="33"/>
        <v xml:space="preserve"> </v>
      </c>
      <c r="T86" s="7" t="str">
        <f t="shared" si="34"/>
        <v xml:space="preserve"> </v>
      </c>
      <c r="U86" s="8" t="str">
        <f t="shared" si="35"/>
        <v xml:space="preserve"> </v>
      </c>
      <c r="V86" s="9" t="str">
        <f t="shared" si="36"/>
        <v xml:space="preserve"> </v>
      </c>
      <c r="W86" s="9" t="str">
        <f t="shared" si="37"/>
        <v/>
      </c>
      <c r="X86" s="32"/>
      <c r="Y86" s="36"/>
    </row>
    <row r="87" spans="1:25" s="4" customFormat="1" ht="18" customHeight="1">
      <c r="A87" s="36"/>
      <c r="B87" s="69">
        <v>54.01</v>
      </c>
      <c r="C87" s="69"/>
      <c r="D87" s="31" t="s">
        <v>331</v>
      </c>
      <c r="E87" s="29" t="s">
        <v>34</v>
      </c>
      <c r="F87" s="28">
        <v>1.53</v>
      </c>
      <c r="G87" s="29">
        <v>0.05</v>
      </c>
      <c r="H87" s="29">
        <v>-0.05</v>
      </c>
      <c r="I87" s="30" t="s">
        <v>39</v>
      </c>
      <c r="J87" s="12">
        <f t="shared" si="31"/>
        <v>1.58</v>
      </c>
      <c r="K87" s="12">
        <f t="shared" si="32"/>
        <v>1.48</v>
      </c>
      <c r="L87" s="78"/>
      <c r="M87" s="78"/>
      <c r="N87" s="78"/>
      <c r="O87" s="36"/>
      <c r="P87" s="24" t="str">
        <f t="shared" si="30"/>
        <v xml:space="preserve"> </v>
      </c>
      <c r="Q87" s="25" t="str">
        <f t="shared" si="30"/>
        <v xml:space="preserve"> </v>
      </c>
      <c r="R87" s="25" t="str">
        <f t="shared" si="30"/>
        <v xml:space="preserve"> </v>
      </c>
      <c r="S87" s="26" t="str">
        <f t="shared" si="33"/>
        <v xml:space="preserve"> </v>
      </c>
      <c r="T87" s="7" t="str">
        <f t="shared" si="34"/>
        <v xml:space="preserve"> </v>
      </c>
      <c r="U87" s="8" t="str">
        <f t="shared" si="35"/>
        <v xml:space="preserve"> </v>
      </c>
      <c r="V87" s="9" t="str">
        <f t="shared" si="36"/>
        <v xml:space="preserve"> </v>
      </c>
      <c r="W87" s="9" t="str">
        <f t="shared" si="37"/>
        <v/>
      </c>
      <c r="X87" s="32"/>
      <c r="Y87" s="36"/>
    </row>
    <row r="88" spans="1:25" s="4" customFormat="1" ht="18" customHeight="1">
      <c r="A88" s="36"/>
      <c r="B88" s="69">
        <v>54.02</v>
      </c>
      <c r="C88" s="69"/>
      <c r="D88" s="31" t="s">
        <v>331</v>
      </c>
      <c r="E88" s="29" t="s">
        <v>34</v>
      </c>
      <c r="F88" s="28">
        <v>1.53</v>
      </c>
      <c r="G88" s="29">
        <v>0.05</v>
      </c>
      <c r="H88" s="29">
        <v>-0.05</v>
      </c>
      <c r="I88" s="30" t="s">
        <v>39</v>
      </c>
      <c r="J88" s="12">
        <f t="shared" si="31"/>
        <v>1.58</v>
      </c>
      <c r="K88" s="12">
        <f t="shared" si="32"/>
        <v>1.48</v>
      </c>
      <c r="L88" s="78"/>
      <c r="M88" s="78"/>
      <c r="N88" s="78"/>
      <c r="O88" s="36"/>
      <c r="P88" s="24" t="str">
        <f t="shared" si="30"/>
        <v xml:space="preserve"> </v>
      </c>
      <c r="Q88" s="25" t="str">
        <f t="shared" si="30"/>
        <v xml:space="preserve"> </v>
      </c>
      <c r="R88" s="25" t="str">
        <f t="shared" si="30"/>
        <v xml:space="preserve"> </v>
      </c>
      <c r="S88" s="26" t="str">
        <f t="shared" si="33"/>
        <v xml:space="preserve"> </v>
      </c>
      <c r="T88" s="7" t="str">
        <f t="shared" si="34"/>
        <v xml:space="preserve"> </v>
      </c>
      <c r="U88" s="8" t="str">
        <f t="shared" si="35"/>
        <v xml:space="preserve"> </v>
      </c>
      <c r="V88" s="9" t="str">
        <f t="shared" si="36"/>
        <v xml:space="preserve"> </v>
      </c>
      <c r="W88" s="9" t="str">
        <f t="shared" si="37"/>
        <v/>
      </c>
      <c r="X88" s="32"/>
      <c r="Y88" s="36"/>
    </row>
    <row r="89" spans="1:25" s="4" customFormat="1" ht="18" customHeight="1">
      <c r="A89" s="36"/>
      <c r="B89" s="69">
        <v>55.01</v>
      </c>
      <c r="C89" s="69"/>
      <c r="D89" s="31" t="s">
        <v>331</v>
      </c>
      <c r="E89" s="29" t="s">
        <v>34</v>
      </c>
      <c r="F89" s="28">
        <v>4.67</v>
      </c>
      <c r="G89" s="29">
        <v>0.1</v>
      </c>
      <c r="H89" s="29">
        <v>-0.1</v>
      </c>
      <c r="I89" s="30" t="s">
        <v>39</v>
      </c>
      <c r="J89" s="12">
        <f t="shared" si="31"/>
        <v>4.7699999999999996</v>
      </c>
      <c r="K89" s="12">
        <f t="shared" si="32"/>
        <v>4.57</v>
      </c>
      <c r="L89" s="78"/>
      <c r="M89" s="78"/>
      <c r="N89" s="78"/>
      <c r="O89" s="36"/>
      <c r="P89" s="24" t="str">
        <f t="shared" si="30"/>
        <v xml:space="preserve"> </v>
      </c>
      <c r="Q89" s="25" t="str">
        <f t="shared" si="30"/>
        <v xml:space="preserve"> </v>
      </c>
      <c r="R89" s="25" t="str">
        <f t="shared" si="30"/>
        <v xml:space="preserve"> </v>
      </c>
      <c r="S89" s="26" t="str">
        <f t="shared" si="33"/>
        <v xml:space="preserve"> </v>
      </c>
      <c r="T89" s="7" t="str">
        <f t="shared" si="34"/>
        <v xml:space="preserve"> </v>
      </c>
      <c r="U89" s="8" t="str">
        <f t="shared" si="35"/>
        <v xml:space="preserve"> </v>
      </c>
      <c r="V89" s="9" t="str">
        <f t="shared" si="36"/>
        <v xml:space="preserve"> </v>
      </c>
      <c r="W89" s="9" t="str">
        <f t="shared" si="37"/>
        <v/>
      </c>
      <c r="X89" s="32"/>
      <c r="Y89" s="36"/>
    </row>
    <row r="90" spans="1:25" s="4" customFormat="1" ht="18" customHeight="1">
      <c r="A90" s="36"/>
      <c r="B90" s="69">
        <v>55.02</v>
      </c>
      <c r="C90" s="69"/>
      <c r="D90" s="31" t="s">
        <v>331</v>
      </c>
      <c r="E90" s="29" t="s">
        <v>34</v>
      </c>
      <c r="F90" s="28">
        <v>4.67</v>
      </c>
      <c r="G90" s="29">
        <v>0.1</v>
      </c>
      <c r="H90" s="29">
        <v>-0.1</v>
      </c>
      <c r="I90" s="30" t="s">
        <v>39</v>
      </c>
      <c r="J90" s="12">
        <f t="shared" si="31"/>
        <v>4.7699999999999996</v>
      </c>
      <c r="K90" s="12">
        <f t="shared" si="32"/>
        <v>4.57</v>
      </c>
      <c r="L90" s="78"/>
      <c r="M90" s="78"/>
      <c r="N90" s="78"/>
      <c r="O90" s="36"/>
      <c r="P90" s="24" t="str">
        <f t="shared" si="30"/>
        <v xml:space="preserve"> </v>
      </c>
      <c r="Q90" s="25" t="str">
        <f t="shared" si="30"/>
        <v xml:space="preserve"> </v>
      </c>
      <c r="R90" s="25" t="str">
        <f t="shared" si="30"/>
        <v xml:space="preserve"> </v>
      </c>
      <c r="S90" s="26" t="str">
        <f t="shared" si="33"/>
        <v xml:space="preserve"> </v>
      </c>
      <c r="T90" s="7" t="str">
        <f t="shared" si="34"/>
        <v xml:space="preserve"> </v>
      </c>
      <c r="U90" s="8" t="str">
        <f t="shared" si="35"/>
        <v xml:space="preserve"> </v>
      </c>
      <c r="V90" s="9" t="str">
        <f t="shared" si="36"/>
        <v xml:space="preserve"> </v>
      </c>
      <c r="W90" s="9" t="str">
        <f t="shared" si="37"/>
        <v/>
      </c>
      <c r="X90" s="32"/>
      <c r="Y90" s="36"/>
    </row>
    <row r="91" spans="1:25" s="4" customFormat="1" ht="18" customHeight="1">
      <c r="A91" s="36"/>
      <c r="B91" s="79">
        <v>56</v>
      </c>
      <c r="C91" s="69"/>
      <c r="D91" s="31" t="s">
        <v>320</v>
      </c>
      <c r="E91" s="29" t="s">
        <v>36</v>
      </c>
      <c r="F91" s="28"/>
      <c r="G91" s="29">
        <v>0.1</v>
      </c>
      <c r="H91" s="29"/>
      <c r="I91" s="30" t="s">
        <v>39</v>
      </c>
      <c r="J91" s="12">
        <f t="shared" si="31"/>
        <v>0.1</v>
      </c>
      <c r="K91" s="12" t="str">
        <f t="shared" si="32"/>
        <v/>
      </c>
      <c r="L91" s="78"/>
      <c r="M91" s="78"/>
      <c r="N91" s="78"/>
      <c r="O91" s="36"/>
      <c r="P91" s="24" t="str">
        <f t="shared" si="30"/>
        <v xml:space="preserve"> </v>
      </c>
      <c r="Q91" s="25" t="str">
        <f t="shared" si="30"/>
        <v xml:space="preserve"> </v>
      </c>
      <c r="R91" s="25" t="str">
        <f t="shared" si="30"/>
        <v xml:space="preserve"> </v>
      </c>
      <c r="S91" s="26" t="str">
        <f t="shared" si="33"/>
        <v xml:space="preserve"> </v>
      </c>
      <c r="T91" s="7" t="str">
        <f t="shared" si="34"/>
        <v xml:space="preserve"> </v>
      </c>
      <c r="U91" s="8" t="str">
        <f t="shared" si="35"/>
        <v xml:space="preserve"> </v>
      </c>
      <c r="V91" s="9" t="str">
        <f t="shared" si="36"/>
        <v xml:space="preserve"> </v>
      </c>
      <c r="W91" s="9" t="str">
        <f t="shared" si="37"/>
        <v/>
      </c>
      <c r="X91" s="32"/>
      <c r="Y91" s="36"/>
    </row>
    <row r="92" spans="1:25" s="4" customFormat="1" ht="18" customHeight="1">
      <c r="A92" s="36"/>
      <c r="B92" s="79">
        <v>57</v>
      </c>
      <c r="C92" s="69"/>
      <c r="D92" s="31" t="s">
        <v>319</v>
      </c>
      <c r="E92" s="29" t="s">
        <v>36</v>
      </c>
      <c r="F92" s="28"/>
      <c r="G92" s="29">
        <v>0.1</v>
      </c>
      <c r="H92" s="29"/>
      <c r="I92" s="30" t="s">
        <v>39</v>
      </c>
      <c r="J92" s="12">
        <f t="shared" si="31"/>
        <v>0.1</v>
      </c>
      <c r="K92" s="12" t="str">
        <f t="shared" si="32"/>
        <v/>
      </c>
      <c r="L92" s="78"/>
      <c r="M92" s="78"/>
      <c r="N92" s="78"/>
      <c r="O92" s="36"/>
      <c r="P92" s="24" t="str">
        <f t="shared" si="30"/>
        <v xml:space="preserve"> </v>
      </c>
      <c r="Q92" s="25" t="str">
        <f t="shared" si="30"/>
        <v xml:space="preserve"> </v>
      </c>
      <c r="R92" s="25" t="str">
        <f t="shared" si="30"/>
        <v xml:space="preserve"> </v>
      </c>
      <c r="S92" s="26" t="str">
        <f t="shared" si="33"/>
        <v xml:space="preserve"> </v>
      </c>
      <c r="T92" s="7" t="str">
        <f t="shared" si="34"/>
        <v xml:space="preserve"> </v>
      </c>
      <c r="U92" s="8" t="str">
        <f t="shared" si="35"/>
        <v xml:space="preserve"> </v>
      </c>
      <c r="V92" s="9" t="str">
        <f t="shared" si="36"/>
        <v xml:space="preserve"> </v>
      </c>
      <c r="W92" s="9" t="str">
        <f t="shared" si="37"/>
        <v/>
      </c>
      <c r="X92" s="32"/>
      <c r="Y92" s="36"/>
    </row>
    <row r="93" spans="1:25" s="4" customFormat="1" ht="18" customHeight="1">
      <c r="A93" s="36"/>
      <c r="B93" s="79">
        <v>65.010000000000005</v>
      </c>
      <c r="C93" s="69"/>
      <c r="D93" s="31" t="s">
        <v>322</v>
      </c>
      <c r="E93" s="29" t="s">
        <v>34</v>
      </c>
      <c r="F93" s="28">
        <v>0.9</v>
      </c>
      <c r="G93" s="29">
        <v>0.1</v>
      </c>
      <c r="H93" s="29">
        <v>-0.1</v>
      </c>
      <c r="I93" s="30" t="s">
        <v>39</v>
      </c>
      <c r="J93" s="12">
        <f t="shared" si="31"/>
        <v>1</v>
      </c>
      <c r="K93" s="12">
        <f t="shared" si="32"/>
        <v>0.8</v>
      </c>
      <c r="L93" s="78"/>
      <c r="M93" s="78"/>
      <c r="N93" s="78"/>
      <c r="O93" s="36"/>
      <c r="P93" s="24" t="str">
        <f t="shared" si="30"/>
        <v xml:space="preserve"> </v>
      </c>
      <c r="Q93" s="25" t="str">
        <f t="shared" si="30"/>
        <v xml:space="preserve"> </v>
      </c>
      <c r="R93" s="25" t="str">
        <f t="shared" si="30"/>
        <v xml:space="preserve"> </v>
      </c>
      <c r="S93" s="26" t="str">
        <f t="shared" si="33"/>
        <v xml:space="preserve"> </v>
      </c>
      <c r="T93" s="7" t="str">
        <f t="shared" si="34"/>
        <v xml:space="preserve"> </v>
      </c>
      <c r="U93" s="8" t="str">
        <f t="shared" si="35"/>
        <v xml:space="preserve"> </v>
      </c>
      <c r="V93" s="9" t="str">
        <f t="shared" si="36"/>
        <v xml:space="preserve"> </v>
      </c>
      <c r="W93" s="9" t="str">
        <f t="shared" si="37"/>
        <v/>
      </c>
      <c r="X93" s="32"/>
      <c r="Y93" s="36"/>
    </row>
    <row r="94" spans="1:25" s="4" customFormat="1" ht="18" customHeight="1">
      <c r="A94" s="36"/>
      <c r="B94" s="79">
        <v>65.02</v>
      </c>
      <c r="C94" s="69"/>
      <c r="D94" s="31" t="s">
        <v>322</v>
      </c>
      <c r="E94" s="29" t="s">
        <v>34</v>
      </c>
      <c r="F94" s="28">
        <v>0.9</v>
      </c>
      <c r="G94" s="29">
        <v>0.1</v>
      </c>
      <c r="H94" s="29">
        <v>-0.1</v>
      </c>
      <c r="I94" s="30" t="s">
        <v>39</v>
      </c>
      <c r="J94" s="12">
        <f t="shared" si="31"/>
        <v>1</v>
      </c>
      <c r="K94" s="12">
        <f t="shared" si="32"/>
        <v>0.8</v>
      </c>
      <c r="L94" s="78"/>
      <c r="M94" s="78"/>
      <c r="N94" s="78"/>
      <c r="O94" s="36"/>
      <c r="P94" s="24" t="str">
        <f t="shared" si="30"/>
        <v xml:space="preserve"> </v>
      </c>
      <c r="Q94" s="25" t="str">
        <f t="shared" si="30"/>
        <v xml:space="preserve"> </v>
      </c>
      <c r="R94" s="25" t="str">
        <f t="shared" si="30"/>
        <v xml:space="preserve"> </v>
      </c>
      <c r="S94" s="26" t="str">
        <f t="shared" si="33"/>
        <v xml:space="preserve"> </v>
      </c>
      <c r="T94" s="7" t="str">
        <f t="shared" si="34"/>
        <v xml:space="preserve"> </v>
      </c>
      <c r="U94" s="8" t="str">
        <f t="shared" si="35"/>
        <v xml:space="preserve"> </v>
      </c>
      <c r="V94" s="9" t="str">
        <f t="shared" si="36"/>
        <v xml:space="preserve"> </v>
      </c>
      <c r="W94" s="9" t="str">
        <f t="shared" si="37"/>
        <v/>
      </c>
      <c r="X94" s="32"/>
      <c r="Y94" s="36"/>
    </row>
    <row r="95" spans="1:25" s="4" customFormat="1" ht="18" customHeight="1">
      <c r="A95" s="36"/>
      <c r="B95" s="79">
        <v>65.03</v>
      </c>
      <c r="C95" s="69"/>
      <c r="D95" s="31" t="s">
        <v>322</v>
      </c>
      <c r="E95" s="29" t="s">
        <v>34</v>
      </c>
      <c r="F95" s="28">
        <v>0.9</v>
      </c>
      <c r="G95" s="29">
        <v>0.1</v>
      </c>
      <c r="H95" s="29">
        <v>-0.1</v>
      </c>
      <c r="I95" s="30" t="s">
        <v>39</v>
      </c>
      <c r="J95" s="12">
        <f t="shared" si="31"/>
        <v>1</v>
      </c>
      <c r="K95" s="12">
        <f t="shared" si="32"/>
        <v>0.8</v>
      </c>
      <c r="L95" s="78"/>
      <c r="M95" s="78"/>
      <c r="N95" s="78"/>
      <c r="O95" s="36"/>
      <c r="P95" s="24" t="str">
        <f t="shared" si="30"/>
        <v xml:space="preserve"> </v>
      </c>
      <c r="Q95" s="25" t="str">
        <f t="shared" si="30"/>
        <v xml:space="preserve"> </v>
      </c>
      <c r="R95" s="25" t="str">
        <f t="shared" si="30"/>
        <v xml:space="preserve"> </v>
      </c>
      <c r="S95" s="26" t="str">
        <f t="shared" si="33"/>
        <v xml:space="preserve"> </v>
      </c>
      <c r="T95" s="7" t="str">
        <f t="shared" si="34"/>
        <v xml:space="preserve"> </v>
      </c>
      <c r="U95" s="8" t="str">
        <f t="shared" si="35"/>
        <v xml:space="preserve"> </v>
      </c>
      <c r="V95" s="9" t="str">
        <f t="shared" si="36"/>
        <v xml:space="preserve"> </v>
      </c>
      <c r="W95" s="9" t="str">
        <f t="shared" si="37"/>
        <v/>
      </c>
      <c r="X95" s="32"/>
      <c r="Y95" s="36"/>
    </row>
    <row r="96" spans="1:25" s="4" customFormat="1" ht="18" customHeight="1">
      <c r="A96" s="36"/>
      <c r="B96" s="79">
        <v>65.040000000000006</v>
      </c>
      <c r="C96" s="69"/>
      <c r="D96" s="31" t="s">
        <v>322</v>
      </c>
      <c r="E96" s="29" t="s">
        <v>34</v>
      </c>
      <c r="F96" s="28">
        <v>0.9</v>
      </c>
      <c r="G96" s="29">
        <v>0.1</v>
      </c>
      <c r="H96" s="29">
        <v>-0.1</v>
      </c>
      <c r="I96" s="30" t="s">
        <v>39</v>
      </c>
      <c r="J96" s="12">
        <f t="shared" si="31"/>
        <v>1</v>
      </c>
      <c r="K96" s="12">
        <f t="shared" si="32"/>
        <v>0.8</v>
      </c>
      <c r="L96" s="78"/>
      <c r="M96" s="78"/>
      <c r="N96" s="78"/>
      <c r="O96" s="36"/>
      <c r="P96" s="24" t="str">
        <f t="shared" ref="P96:R111" si="38">IF(ISERR(L96/L96)=TRUE," ",L96-$F96)</f>
        <v xml:space="preserve"> </v>
      </c>
      <c r="Q96" s="25" t="str">
        <f t="shared" si="38"/>
        <v xml:space="preserve"> </v>
      </c>
      <c r="R96" s="25" t="str">
        <f t="shared" si="38"/>
        <v xml:space="preserve"> </v>
      </c>
      <c r="S96" s="26" t="str">
        <f t="shared" si="33"/>
        <v xml:space="preserve"> </v>
      </c>
      <c r="T96" s="7" t="str">
        <f t="shared" si="34"/>
        <v xml:space="preserve"> </v>
      </c>
      <c r="U96" s="8" t="str">
        <f t="shared" si="35"/>
        <v xml:space="preserve"> </v>
      </c>
      <c r="V96" s="9" t="str">
        <f t="shared" si="36"/>
        <v xml:space="preserve"> </v>
      </c>
      <c r="W96" s="9" t="str">
        <f t="shared" si="37"/>
        <v/>
      </c>
      <c r="X96" s="32"/>
      <c r="Y96" s="36"/>
    </row>
    <row r="97" spans="1:25" s="4" customFormat="1" ht="18" customHeight="1">
      <c r="A97" s="36"/>
      <c r="B97" s="79">
        <v>66.010000000000005</v>
      </c>
      <c r="C97" s="69"/>
      <c r="D97" s="31" t="s">
        <v>323</v>
      </c>
      <c r="E97" s="29" t="s">
        <v>34</v>
      </c>
      <c r="F97" s="28">
        <v>0.9</v>
      </c>
      <c r="G97" s="29">
        <v>0.1</v>
      </c>
      <c r="H97" s="29">
        <v>-0.1</v>
      </c>
      <c r="I97" s="30" t="s">
        <v>39</v>
      </c>
      <c r="J97" s="12">
        <f t="shared" si="31"/>
        <v>1</v>
      </c>
      <c r="K97" s="12">
        <f t="shared" si="32"/>
        <v>0.8</v>
      </c>
      <c r="L97" s="78"/>
      <c r="M97" s="78"/>
      <c r="N97" s="78"/>
      <c r="O97" s="36"/>
      <c r="P97" s="24" t="str">
        <f t="shared" si="38"/>
        <v xml:space="preserve"> </v>
      </c>
      <c r="Q97" s="25" t="str">
        <f t="shared" si="38"/>
        <v xml:space="preserve"> </v>
      </c>
      <c r="R97" s="25" t="str">
        <f t="shared" si="38"/>
        <v xml:space="preserve"> </v>
      </c>
      <c r="S97" s="26" t="str">
        <f t="shared" si="33"/>
        <v xml:space="preserve"> </v>
      </c>
      <c r="T97" s="7" t="str">
        <f t="shared" si="34"/>
        <v xml:space="preserve"> </v>
      </c>
      <c r="U97" s="8" t="str">
        <f t="shared" si="35"/>
        <v xml:space="preserve"> </v>
      </c>
      <c r="V97" s="9" t="str">
        <f t="shared" si="36"/>
        <v xml:space="preserve"> </v>
      </c>
      <c r="W97" s="9" t="str">
        <f t="shared" si="37"/>
        <v/>
      </c>
      <c r="X97" s="32"/>
      <c r="Y97" s="36"/>
    </row>
    <row r="98" spans="1:25" s="4" customFormat="1" ht="18" customHeight="1">
      <c r="A98" s="36"/>
      <c r="B98" s="79">
        <v>66.02</v>
      </c>
      <c r="C98" s="69"/>
      <c r="D98" s="31" t="s">
        <v>323</v>
      </c>
      <c r="E98" s="29" t="s">
        <v>34</v>
      </c>
      <c r="F98" s="28">
        <v>0.9</v>
      </c>
      <c r="G98" s="29">
        <v>0.1</v>
      </c>
      <c r="H98" s="29">
        <v>-0.1</v>
      </c>
      <c r="I98" s="30" t="s">
        <v>39</v>
      </c>
      <c r="J98" s="12">
        <f t="shared" si="31"/>
        <v>1</v>
      </c>
      <c r="K98" s="12">
        <f t="shared" si="32"/>
        <v>0.8</v>
      </c>
      <c r="L98" s="78"/>
      <c r="M98" s="78"/>
      <c r="N98" s="78"/>
      <c r="O98" s="36"/>
      <c r="P98" s="24" t="str">
        <f t="shared" si="38"/>
        <v xml:space="preserve"> </v>
      </c>
      <c r="Q98" s="25" t="str">
        <f t="shared" si="38"/>
        <v xml:space="preserve"> </v>
      </c>
      <c r="R98" s="25" t="str">
        <f t="shared" si="38"/>
        <v xml:space="preserve"> </v>
      </c>
      <c r="S98" s="26" t="str">
        <f t="shared" si="33"/>
        <v xml:space="preserve"> </v>
      </c>
      <c r="T98" s="7" t="str">
        <f t="shared" si="34"/>
        <v xml:space="preserve"> </v>
      </c>
      <c r="U98" s="8" t="str">
        <f t="shared" si="35"/>
        <v xml:space="preserve"> </v>
      </c>
      <c r="V98" s="9" t="str">
        <f t="shared" si="36"/>
        <v xml:space="preserve"> </v>
      </c>
      <c r="W98" s="9" t="str">
        <f t="shared" si="37"/>
        <v/>
      </c>
      <c r="X98" s="32"/>
      <c r="Y98" s="36"/>
    </row>
    <row r="99" spans="1:25" s="4" customFormat="1" ht="18" customHeight="1">
      <c r="A99" s="36"/>
      <c r="B99" s="69">
        <v>66.03</v>
      </c>
      <c r="C99" s="69"/>
      <c r="D99" s="31" t="s">
        <v>323</v>
      </c>
      <c r="E99" s="29" t="s">
        <v>34</v>
      </c>
      <c r="F99" s="28">
        <v>0.9</v>
      </c>
      <c r="G99" s="29">
        <v>0.1</v>
      </c>
      <c r="H99" s="29">
        <v>-0.1</v>
      </c>
      <c r="I99" s="30" t="s">
        <v>39</v>
      </c>
      <c r="J99" s="12">
        <f t="shared" si="31"/>
        <v>1</v>
      </c>
      <c r="K99" s="12">
        <f t="shared" si="32"/>
        <v>0.8</v>
      </c>
      <c r="L99" s="78"/>
      <c r="M99" s="78"/>
      <c r="N99" s="78"/>
      <c r="O99" s="36"/>
      <c r="P99" s="24" t="str">
        <f t="shared" si="38"/>
        <v xml:space="preserve"> </v>
      </c>
      <c r="Q99" s="25" t="str">
        <f t="shared" si="38"/>
        <v xml:space="preserve"> </v>
      </c>
      <c r="R99" s="25" t="str">
        <f t="shared" si="38"/>
        <v xml:space="preserve"> </v>
      </c>
      <c r="S99" s="26" t="str">
        <f t="shared" si="33"/>
        <v xml:space="preserve"> </v>
      </c>
      <c r="T99" s="7" t="str">
        <f t="shared" si="34"/>
        <v xml:space="preserve"> </v>
      </c>
      <c r="U99" s="8" t="str">
        <f t="shared" si="35"/>
        <v xml:space="preserve"> </v>
      </c>
      <c r="V99" s="9" t="str">
        <f t="shared" si="36"/>
        <v xml:space="preserve"> </v>
      </c>
      <c r="W99" s="9" t="str">
        <f t="shared" si="37"/>
        <v/>
      </c>
      <c r="X99" s="32"/>
      <c r="Y99" s="36"/>
    </row>
    <row r="100" spans="1:25" s="4" customFormat="1" ht="18" customHeight="1">
      <c r="A100" s="36"/>
      <c r="B100" s="79">
        <v>66.040000000000006</v>
      </c>
      <c r="C100" s="69"/>
      <c r="D100" s="31" t="s">
        <v>323</v>
      </c>
      <c r="E100" s="29" t="s">
        <v>34</v>
      </c>
      <c r="F100" s="28">
        <v>0.9</v>
      </c>
      <c r="G100" s="29">
        <v>0.1</v>
      </c>
      <c r="H100" s="29">
        <v>-0.1</v>
      </c>
      <c r="I100" s="30" t="s">
        <v>39</v>
      </c>
      <c r="J100" s="12">
        <f t="shared" si="31"/>
        <v>1</v>
      </c>
      <c r="K100" s="12">
        <f t="shared" si="32"/>
        <v>0.8</v>
      </c>
      <c r="L100" s="78"/>
      <c r="M100" s="78"/>
      <c r="N100" s="78"/>
      <c r="O100" s="36"/>
      <c r="P100" s="24" t="str">
        <f t="shared" si="38"/>
        <v xml:space="preserve"> </v>
      </c>
      <c r="Q100" s="25" t="str">
        <f t="shared" si="38"/>
        <v xml:space="preserve"> </v>
      </c>
      <c r="R100" s="25" t="str">
        <f t="shared" si="38"/>
        <v xml:space="preserve"> </v>
      </c>
      <c r="S100" s="26" t="str">
        <f t="shared" si="33"/>
        <v xml:space="preserve"> </v>
      </c>
      <c r="T100" s="7" t="str">
        <f t="shared" si="34"/>
        <v xml:space="preserve"> </v>
      </c>
      <c r="U100" s="8" t="str">
        <f t="shared" si="35"/>
        <v xml:space="preserve"> </v>
      </c>
      <c r="V100" s="9" t="str">
        <f t="shared" si="36"/>
        <v xml:space="preserve"> </v>
      </c>
      <c r="W100" s="9" t="str">
        <f t="shared" si="37"/>
        <v/>
      </c>
      <c r="X100" s="32"/>
      <c r="Y100" s="36"/>
    </row>
    <row r="101" spans="1:25" s="4" customFormat="1" ht="18" customHeight="1">
      <c r="A101" s="36"/>
      <c r="B101" s="79">
        <v>67</v>
      </c>
      <c r="C101" s="69" t="s">
        <v>341</v>
      </c>
      <c r="D101" s="31" t="s">
        <v>315</v>
      </c>
      <c r="E101" s="29" t="s">
        <v>34</v>
      </c>
      <c r="F101" s="28">
        <v>12.88</v>
      </c>
      <c r="G101" s="29">
        <v>0.1</v>
      </c>
      <c r="H101" s="29">
        <v>-0.1</v>
      </c>
      <c r="I101" s="30" t="s">
        <v>39</v>
      </c>
      <c r="J101" s="12">
        <f t="shared" si="31"/>
        <v>12.98</v>
      </c>
      <c r="K101" s="12">
        <f t="shared" si="32"/>
        <v>12.780000000000001</v>
      </c>
      <c r="L101" s="78"/>
      <c r="M101" s="78"/>
      <c r="N101" s="78"/>
      <c r="O101" s="36"/>
      <c r="P101" s="24" t="str">
        <f t="shared" si="38"/>
        <v xml:space="preserve"> </v>
      </c>
      <c r="Q101" s="25" t="str">
        <f t="shared" si="38"/>
        <v xml:space="preserve"> </v>
      </c>
      <c r="R101" s="25" t="str">
        <f t="shared" si="38"/>
        <v xml:space="preserve"> </v>
      </c>
      <c r="S101" s="26" t="str">
        <f t="shared" si="33"/>
        <v xml:space="preserve"> </v>
      </c>
      <c r="T101" s="7" t="str">
        <f t="shared" si="34"/>
        <v xml:space="preserve"> </v>
      </c>
      <c r="U101" s="8" t="str">
        <f t="shared" si="35"/>
        <v xml:space="preserve"> </v>
      </c>
      <c r="V101" s="9" t="str">
        <f t="shared" si="36"/>
        <v xml:space="preserve"> </v>
      </c>
      <c r="W101" s="9" t="str">
        <f t="shared" si="37"/>
        <v/>
      </c>
      <c r="X101" s="32"/>
      <c r="Y101" s="36"/>
    </row>
    <row r="102" spans="1:25" s="4" customFormat="1" ht="18" customHeight="1">
      <c r="A102" s="36"/>
      <c r="B102" s="79">
        <v>69</v>
      </c>
      <c r="C102" s="27"/>
      <c r="D102" s="31" t="s">
        <v>709</v>
      </c>
      <c r="E102" s="29" t="s">
        <v>34</v>
      </c>
      <c r="F102" s="28">
        <v>8.17</v>
      </c>
      <c r="G102" s="29">
        <v>0.1</v>
      </c>
      <c r="H102" s="29">
        <v>-0.1</v>
      </c>
      <c r="I102" s="30" t="s">
        <v>39</v>
      </c>
      <c r="J102" s="12">
        <f t="shared" si="31"/>
        <v>8.27</v>
      </c>
      <c r="K102" s="12">
        <f t="shared" si="32"/>
        <v>8.07</v>
      </c>
      <c r="L102" s="78"/>
      <c r="M102" s="78"/>
      <c r="N102" s="78"/>
      <c r="O102" s="36"/>
      <c r="P102" s="24" t="str">
        <f t="shared" si="38"/>
        <v xml:space="preserve"> </v>
      </c>
      <c r="Q102" s="25" t="str">
        <f t="shared" si="38"/>
        <v xml:space="preserve"> </v>
      </c>
      <c r="R102" s="25" t="str">
        <f t="shared" si="38"/>
        <v xml:space="preserve"> </v>
      </c>
      <c r="S102" s="26" t="str">
        <f t="shared" si="33"/>
        <v xml:space="preserve"> </v>
      </c>
      <c r="T102" s="7" t="str">
        <f t="shared" si="34"/>
        <v xml:space="preserve"> </v>
      </c>
      <c r="U102" s="8" t="str">
        <f t="shared" si="35"/>
        <v xml:space="preserve"> </v>
      </c>
      <c r="V102" s="9" t="str">
        <f t="shared" si="36"/>
        <v xml:space="preserve"> </v>
      </c>
      <c r="W102" s="9" t="str">
        <f t="shared" si="37"/>
        <v/>
      </c>
      <c r="X102" s="32"/>
      <c r="Y102" s="36"/>
    </row>
    <row r="103" spans="1:25" s="4" customFormat="1" ht="18" customHeight="1">
      <c r="A103" s="36"/>
      <c r="B103" s="79">
        <v>70.010000000000005</v>
      </c>
      <c r="C103" s="27"/>
      <c r="D103" s="31" t="s">
        <v>307</v>
      </c>
      <c r="E103" s="29" t="s">
        <v>34</v>
      </c>
      <c r="F103" s="28">
        <v>4.29</v>
      </c>
      <c r="G103" s="29">
        <v>0.1</v>
      </c>
      <c r="H103" s="29">
        <v>-0.1</v>
      </c>
      <c r="I103" s="30" t="s">
        <v>39</v>
      </c>
      <c r="J103" s="12">
        <f t="shared" si="31"/>
        <v>4.3899999999999997</v>
      </c>
      <c r="K103" s="12">
        <f t="shared" si="32"/>
        <v>4.1900000000000004</v>
      </c>
      <c r="L103" s="78"/>
      <c r="M103" s="78"/>
      <c r="N103" s="78"/>
      <c r="O103" s="36"/>
      <c r="P103" s="24" t="str">
        <f t="shared" si="38"/>
        <v xml:space="preserve"> </v>
      </c>
      <c r="Q103" s="25" t="str">
        <f t="shared" si="38"/>
        <v xml:space="preserve"> </v>
      </c>
      <c r="R103" s="25" t="str">
        <f t="shared" si="38"/>
        <v xml:space="preserve"> </v>
      </c>
      <c r="S103" s="26" t="str">
        <f t="shared" si="33"/>
        <v xml:space="preserve"> </v>
      </c>
      <c r="T103" s="7" t="str">
        <f t="shared" si="34"/>
        <v xml:space="preserve"> </v>
      </c>
      <c r="U103" s="8" t="str">
        <f t="shared" si="35"/>
        <v xml:space="preserve"> </v>
      </c>
      <c r="V103" s="9" t="str">
        <f t="shared" si="36"/>
        <v xml:space="preserve"> </v>
      </c>
      <c r="W103" s="9" t="str">
        <f t="shared" si="37"/>
        <v/>
      </c>
      <c r="X103" s="32"/>
      <c r="Y103" s="36"/>
    </row>
    <row r="104" spans="1:25" s="4" customFormat="1" ht="18" customHeight="1">
      <c r="A104" s="36"/>
      <c r="B104" s="79">
        <v>70.02</v>
      </c>
      <c r="C104" s="27"/>
      <c r="D104" s="31" t="s">
        <v>307</v>
      </c>
      <c r="E104" s="29" t="s">
        <v>34</v>
      </c>
      <c r="F104" s="28">
        <v>4.29</v>
      </c>
      <c r="G104" s="29">
        <v>0.1</v>
      </c>
      <c r="H104" s="29">
        <v>-0.1</v>
      </c>
      <c r="I104" s="30" t="s">
        <v>39</v>
      </c>
      <c r="J104" s="12">
        <f t="shared" si="31"/>
        <v>4.3899999999999997</v>
      </c>
      <c r="K104" s="12">
        <f t="shared" si="32"/>
        <v>4.1900000000000004</v>
      </c>
      <c r="L104" s="78"/>
      <c r="M104" s="78"/>
      <c r="N104" s="78"/>
      <c r="O104" s="36"/>
      <c r="P104" s="24" t="str">
        <f t="shared" si="38"/>
        <v xml:space="preserve"> </v>
      </c>
      <c r="Q104" s="25" t="str">
        <f t="shared" si="38"/>
        <v xml:space="preserve"> </v>
      </c>
      <c r="R104" s="25" t="str">
        <f t="shared" si="38"/>
        <v xml:space="preserve"> </v>
      </c>
      <c r="S104" s="26" t="str">
        <f t="shared" si="33"/>
        <v xml:space="preserve"> </v>
      </c>
      <c r="T104" s="7" t="str">
        <f t="shared" si="34"/>
        <v xml:space="preserve"> </v>
      </c>
      <c r="U104" s="8" t="str">
        <f t="shared" si="35"/>
        <v xml:space="preserve"> </v>
      </c>
      <c r="V104" s="9" t="str">
        <f t="shared" si="36"/>
        <v xml:space="preserve"> </v>
      </c>
      <c r="W104" s="9" t="str">
        <f t="shared" si="37"/>
        <v/>
      </c>
      <c r="X104" s="32"/>
      <c r="Y104" s="36"/>
    </row>
    <row r="105" spans="1:25" s="4" customFormat="1" ht="18" customHeight="1">
      <c r="A105" s="36"/>
      <c r="B105" s="69">
        <v>78.010000000000005</v>
      </c>
      <c r="C105" s="69" t="s">
        <v>343</v>
      </c>
      <c r="D105" s="31" t="s">
        <v>331</v>
      </c>
      <c r="E105" s="29" t="s">
        <v>34</v>
      </c>
      <c r="F105" s="28">
        <v>7.1</v>
      </c>
      <c r="G105" s="29">
        <v>0.05</v>
      </c>
      <c r="H105" s="29">
        <v>-0.05</v>
      </c>
      <c r="I105" s="30" t="s">
        <v>39</v>
      </c>
      <c r="J105" s="12">
        <f t="shared" si="31"/>
        <v>7.1499999999999995</v>
      </c>
      <c r="K105" s="12">
        <f t="shared" si="32"/>
        <v>7.05</v>
      </c>
      <c r="L105" s="78"/>
      <c r="M105" s="78"/>
      <c r="N105" s="78"/>
      <c r="O105" s="36"/>
      <c r="P105" s="24" t="str">
        <f t="shared" si="38"/>
        <v xml:space="preserve"> </v>
      </c>
      <c r="Q105" s="25" t="str">
        <f t="shared" si="38"/>
        <v xml:space="preserve"> </v>
      </c>
      <c r="R105" s="25" t="str">
        <f t="shared" si="38"/>
        <v xml:space="preserve"> </v>
      </c>
      <c r="S105" s="26" t="str">
        <f t="shared" si="33"/>
        <v xml:space="preserve"> </v>
      </c>
      <c r="T105" s="7" t="str">
        <f t="shared" si="34"/>
        <v xml:space="preserve"> </v>
      </c>
      <c r="U105" s="8" t="str">
        <f t="shared" si="35"/>
        <v xml:space="preserve"> </v>
      </c>
      <c r="V105" s="9" t="str">
        <f t="shared" si="36"/>
        <v xml:space="preserve"> </v>
      </c>
      <c r="W105" s="9" t="str">
        <f t="shared" si="37"/>
        <v/>
      </c>
      <c r="X105" s="32"/>
      <c r="Y105" s="36"/>
    </row>
    <row r="106" spans="1:25" s="4" customFormat="1" ht="18" customHeight="1">
      <c r="A106" s="36"/>
      <c r="B106" s="69">
        <v>78.02</v>
      </c>
      <c r="C106" s="69" t="s">
        <v>344</v>
      </c>
      <c r="D106" s="31" t="s">
        <v>331</v>
      </c>
      <c r="E106" s="29" t="s">
        <v>34</v>
      </c>
      <c r="F106" s="28">
        <v>7.1</v>
      </c>
      <c r="G106" s="29">
        <v>0.05</v>
      </c>
      <c r="H106" s="29">
        <v>-0.05</v>
      </c>
      <c r="I106" s="30" t="s">
        <v>39</v>
      </c>
      <c r="J106" s="12">
        <f t="shared" si="31"/>
        <v>7.1499999999999995</v>
      </c>
      <c r="K106" s="12">
        <f t="shared" si="32"/>
        <v>7.05</v>
      </c>
      <c r="L106" s="78"/>
      <c r="M106" s="78"/>
      <c r="N106" s="78"/>
      <c r="O106" s="36"/>
      <c r="P106" s="24" t="str">
        <f t="shared" si="38"/>
        <v xml:space="preserve"> </v>
      </c>
      <c r="Q106" s="25" t="str">
        <f t="shared" si="38"/>
        <v xml:space="preserve"> </v>
      </c>
      <c r="R106" s="25" t="str">
        <f t="shared" si="38"/>
        <v xml:space="preserve"> </v>
      </c>
      <c r="S106" s="26" t="str">
        <f t="shared" si="33"/>
        <v xml:space="preserve"> </v>
      </c>
      <c r="T106" s="7" t="str">
        <f t="shared" si="34"/>
        <v xml:space="preserve"> </v>
      </c>
      <c r="U106" s="8" t="str">
        <f t="shared" si="35"/>
        <v xml:space="preserve"> </v>
      </c>
      <c r="V106" s="9" t="str">
        <f t="shared" si="36"/>
        <v xml:space="preserve"> </v>
      </c>
      <c r="W106" s="9" t="str">
        <f t="shared" si="37"/>
        <v/>
      </c>
      <c r="X106" s="32"/>
      <c r="Y106" s="36"/>
    </row>
    <row r="107" spans="1:25" s="4" customFormat="1" ht="18" customHeight="1">
      <c r="A107" s="36"/>
      <c r="B107" s="69">
        <v>79.010000000000005</v>
      </c>
      <c r="C107" s="69" t="s">
        <v>345</v>
      </c>
      <c r="D107" s="31" t="s">
        <v>331</v>
      </c>
      <c r="E107" s="29" t="s">
        <v>34</v>
      </c>
      <c r="F107" s="28">
        <v>7.1</v>
      </c>
      <c r="G107" s="29">
        <v>0.05</v>
      </c>
      <c r="H107" s="29">
        <v>-0.05</v>
      </c>
      <c r="I107" s="30" t="s">
        <v>39</v>
      </c>
      <c r="J107" s="12">
        <f t="shared" si="31"/>
        <v>7.1499999999999995</v>
      </c>
      <c r="K107" s="12">
        <f t="shared" si="32"/>
        <v>7.05</v>
      </c>
      <c r="L107" s="78"/>
      <c r="M107" s="78"/>
      <c r="N107" s="78"/>
      <c r="O107" s="36"/>
      <c r="P107" s="24" t="str">
        <f t="shared" si="38"/>
        <v xml:space="preserve"> </v>
      </c>
      <c r="Q107" s="25" t="str">
        <f t="shared" si="38"/>
        <v xml:space="preserve"> </v>
      </c>
      <c r="R107" s="25" t="str">
        <f t="shared" si="38"/>
        <v xml:space="preserve"> </v>
      </c>
      <c r="S107" s="26" t="str">
        <f t="shared" si="33"/>
        <v xml:space="preserve"> </v>
      </c>
      <c r="T107" s="7" t="str">
        <f t="shared" si="34"/>
        <v xml:space="preserve"> </v>
      </c>
      <c r="U107" s="8" t="str">
        <f t="shared" si="35"/>
        <v xml:space="preserve"> </v>
      </c>
      <c r="V107" s="9" t="str">
        <f t="shared" si="36"/>
        <v xml:space="preserve"> </v>
      </c>
      <c r="W107" s="9" t="str">
        <f t="shared" si="37"/>
        <v/>
      </c>
      <c r="X107" s="32"/>
      <c r="Y107" s="36"/>
    </row>
    <row r="108" spans="1:25" s="4" customFormat="1" ht="18" customHeight="1">
      <c r="A108" s="36"/>
      <c r="B108" s="69">
        <v>79.02</v>
      </c>
      <c r="C108" s="69" t="s">
        <v>346</v>
      </c>
      <c r="D108" s="31" t="s">
        <v>331</v>
      </c>
      <c r="E108" s="29" t="s">
        <v>34</v>
      </c>
      <c r="F108" s="28">
        <v>7.1</v>
      </c>
      <c r="G108" s="29">
        <v>0.05</v>
      </c>
      <c r="H108" s="29">
        <v>-0.05</v>
      </c>
      <c r="I108" s="30" t="s">
        <v>39</v>
      </c>
      <c r="J108" s="12">
        <f t="shared" si="31"/>
        <v>7.1499999999999995</v>
      </c>
      <c r="K108" s="12">
        <f t="shared" si="32"/>
        <v>7.05</v>
      </c>
      <c r="L108" s="78"/>
      <c r="M108" s="78"/>
      <c r="N108" s="78"/>
      <c r="O108" s="36"/>
      <c r="P108" s="24" t="str">
        <f t="shared" si="38"/>
        <v xml:space="preserve"> </v>
      </c>
      <c r="Q108" s="25" t="str">
        <f t="shared" si="38"/>
        <v xml:space="preserve"> </v>
      </c>
      <c r="R108" s="25" t="str">
        <f t="shared" si="38"/>
        <v xml:space="preserve"> </v>
      </c>
      <c r="S108" s="26" t="str">
        <f t="shared" si="33"/>
        <v xml:space="preserve"> </v>
      </c>
      <c r="T108" s="7" t="str">
        <f t="shared" si="34"/>
        <v xml:space="preserve"> </v>
      </c>
      <c r="U108" s="8" t="str">
        <f t="shared" si="35"/>
        <v xml:space="preserve"> </v>
      </c>
      <c r="V108" s="9" t="str">
        <f t="shared" si="36"/>
        <v xml:space="preserve"> </v>
      </c>
      <c r="W108" s="9" t="str">
        <f t="shared" si="37"/>
        <v/>
      </c>
      <c r="X108" s="32"/>
      <c r="Y108" s="36"/>
    </row>
    <row r="109" spans="1:25" s="4" customFormat="1" ht="18" customHeight="1">
      <c r="A109" s="36"/>
      <c r="B109" s="69">
        <v>85</v>
      </c>
      <c r="C109" s="69" t="s">
        <v>404</v>
      </c>
      <c r="D109" s="31" t="s">
        <v>406</v>
      </c>
      <c r="E109" s="29" t="s">
        <v>36</v>
      </c>
      <c r="F109" s="28"/>
      <c r="G109" s="29">
        <v>0.03</v>
      </c>
      <c r="H109" s="29"/>
      <c r="I109" s="30" t="s">
        <v>39</v>
      </c>
      <c r="J109" s="12">
        <f t="shared" si="31"/>
        <v>0.03</v>
      </c>
      <c r="K109" s="12" t="str">
        <f t="shared" si="32"/>
        <v/>
      </c>
      <c r="L109" s="78"/>
      <c r="M109" s="78"/>
      <c r="N109" s="78"/>
      <c r="O109" s="36"/>
      <c r="P109" s="24" t="str">
        <f t="shared" si="38"/>
        <v xml:space="preserve"> </v>
      </c>
      <c r="Q109" s="25" t="str">
        <f t="shared" si="38"/>
        <v xml:space="preserve"> </v>
      </c>
      <c r="R109" s="25" t="str">
        <f t="shared" si="38"/>
        <v xml:space="preserve"> </v>
      </c>
      <c r="S109" s="26" t="str">
        <f t="shared" si="33"/>
        <v xml:space="preserve"> </v>
      </c>
      <c r="T109" s="7" t="str">
        <f t="shared" si="34"/>
        <v xml:space="preserve"> </v>
      </c>
      <c r="U109" s="8" t="str">
        <f t="shared" si="35"/>
        <v xml:space="preserve"> </v>
      </c>
      <c r="V109" s="9" t="str">
        <f t="shared" si="36"/>
        <v xml:space="preserve"> </v>
      </c>
      <c r="W109" s="9" t="str">
        <f t="shared" si="37"/>
        <v/>
      </c>
      <c r="X109" s="32"/>
      <c r="Y109" s="36"/>
    </row>
    <row r="110" spans="1:25" s="4" customFormat="1" ht="18" customHeight="1">
      <c r="A110" s="36"/>
      <c r="B110" s="69">
        <v>87.01</v>
      </c>
      <c r="C110" s="69" t="s">
        <v>334</v>
      </c>
      <c r="D110" s="31" t="s">
        <v>778</v>
      </c>
      <c r="E110" s="29" t="s">
        <v>34</v>
      </c>
      <c r="F110" s="28">
        <v>0.49</v>
      </c>
      <c r="G110" s="29">
        <v>0.03</v>
      </c>
      <c r="H110" s="29">
        <v>-0.03</v>
      </c>
      <c r="I110" s="30" t="s">
        <v>39</v>
      </c>
      <c r="J110" s="12">
        <f t="shared" si="31"/>
        <v>0.52</v>
      </c>
      <c r="K110" s="12">
        <f t="shared" si="32"/>
        <v>0.45999999999999996</v>
      </c>
      <c r="L110" s="78"/>
      <c r="M110" s="78"/>
      <c r="N110" s="78"/>
      <c r="O110" s="36"/>
      <c r="P110" s="24" t="str">
        <f t="shared" si="38"/>
        <v xml:space="preserve"> </v>
      </c>
      <c r="Q110" s="25" t="str">
        <f t="shared" si="38"/>
        <v xml:space="preserve"> </v>
      </c>
      <c r="R110" s="25" t="str">
        <f t="shared" si="38"/>
        <v xml:space="preserve"> </v>
      </c>
      <c r="S110" s="26" t="str">
        <f t="shared" si="33"/>
        <v xml:space="preserve"> </v>
      </c>
      <c r="T110" s="7" t="str">
        <f t="shared" si="34"/>
        <v xml:space="preserve"> </v>
      </c>
      <c r="U110" s="8" t="str">
        <f t="shared" si="35"/>
        <v xml:space="preserve"> </v>
      </c>
      <c r="V110" s="9" t="str">
        <f t="shared" si="36"/>
        <v xml:space="preserve"> </v>
      </c>
      <c r="W110" s="9" t="str">
        <f t="shared" si="37"/>
        <v/>
      </c>
      <c r="X110" s="32"/>
      <c r="Y110" s="36"/>
    </row>
    <row r="111" spans="1:25" s="4" customFormat="1" ht="18" customHeight="1">
      <c r="A111" s="36"/>
      <c r="B111" s="69">
        <v>87.02</v>
      </c>
      <c r="C111" s="69" t="s">
        <v>335</v>
      </c>
      <c r="D111" s="31" t="s">
        <v>778</v>
      </c>
      <c r="E111" s="29" t="s">
        <v>34</v>
      </c>
      <c r="F111" s="28">
        <v>0.49</v>
      </c>
      <c r="G111" s="29">
        <v>0.1</v>
      </c>
      <c r="H111" s="29">
        <v>-0.1</v>
      </c>
      <c r="I111" s="30" t="s">
        <v>39</v>
      </c>
      <c r="J111" s="12">
        <f t="shared" si="31"/>
        <v>0.59</v>
      </c>
      <c r="K111" s="12">
        <f t="shared" si="32"/>
        <v>0.39</v>
      </c>
      <c r="L111" s="78"/>
      <c r="M111" s="78"/>
      <c r="N111" s="78"/>
      <c r="O111" s="36"/>
      <c r="P111" s="24" t="str">
        <f t="shared" si="38"/>
        <v xml:space="preserve"> </v>
      </c>
      <c r="Q111" s="25" t="str">
        <f t="shared" si="38"/>
        <v xml:space="preserve"> </v>
      </c>
      <c r="R111" s="25" t="str">
        <f t="shared" si="38"/>
        <v xml:space="preserve"> </v>
      </c>
      <c r="S111" s="26" t="str">
        <f t="shared" si="33"/>
        <v xml:space="preserve"> </v>
      </c>
      <c r="T111" s="7" t="str">
        <f t="shared" si="34"/>
        <v xml:space="preserve"> </v>
      </c>
      <c r="U111" s="8" t="str">
        <f t="shared" si="35"/>
        <v xml:space="preserve"> </v>
      </c>
      <c r="V111" s="9" t="str">
        <f t="shared" si="36"/>
        <v xml:space="preserve"> </v>
      </c>
      <c r="W111" s="9" t="str">
        <f t="shared" si="37"/>
        <v/>
      </c>
      <c r="X111" s="32"/>
      <c r="Y111" s="36"/>
    </row>
    <row r="112" spans="1:25" s="4" customFormat="1" ht="18" customHeight="1">
      <c r="A112" s="36"/>
      <c r="B112" s="69">
        <v>88.01</v>
      </c>
      <c r="C112" s="69" t="s">
        <v>408</v>
      </c>
      <c r="D112" s="31" t="s">
        <v>778</v>
      </c>
      <c r="E112" s="29" t="s">
        <v>34</v>
      </c>
      <c r="F112" s="28">
        <v>0.49</v>
      </c>
      <c r="G112" s="29">
        <v>0.1</v>
      </c>
      <c r="H112" s="29">
        <v>-0.1</v>
      </c>
      <c r="I112" s="30" t="s">
        <v>39</v>
      </c>
      <c r="J112" s="12">
        <f t="shared" si="31"/>
        <v>0.59</v>
      </c>
      <c r="K112" s="12">
        <f t="shared" si="32"/>
        <v>0.39</v>
      </c>
      <c r="L112" s="78"/>
      <c r="M112" s="78"/>
      <c r="N112" s="78"/>
      <c r="O112" s="36"/>
      <c r="P112" s="24" t="str">
        <f t="shared" ref="P112:R196" si="39">IF(ISERR(L112/L112)=TRUE," ",L112-$F112)</f>
        <v xml:space="preserve"> </v>
      </c>
      <c r="Q112" s="25" t="str">
        <f t="shared" si="39"/>
        <v xml:space="preserve"> </v>
      </c>
      <c r="R112" s="25" t="str">
        <f t="shared" si="39"/>
        <v xml:space="preserve"> </v>
      </c>
      <c r="S112" s="26" t="str">
        <f t="shared" si="33"/>
        <v xml:space="preserve"> </v>
      </c>
      <c r="T112" s="7" t="str">
        <f t="shared" si="34"/>
        <v xml:space="preserve"> </v>
      </c>
      <c r="U112" s="8" t="str">
        <f t="shared" si="35"/>
        <v xml:space="preserve"> </v>
      </c>
      <c r="V112" s="9" t="str">
        <f t="shared" si="36"/>
        <v xml:space="preserve"> </v>
      </c>
      <c r="W112" s="9" t="str">
        <f t="shared" si="37"/>
        <v/>
      </c>
      <c r="X112" s="32"/>
      <c r="Y112" s="36"/>
    </row>
    <row r="113" spans="1:25" s="4" customFormat="1" ht="18" customHeight="1">
      <c r="A113" s="36"/>
      <c r="B113" s="69">
        <v>88.02</v>
      </c>
      <c r="C113" s="69" t="s">
        <v>409</v>
      </c>
      <c r="D113" s="31" t="s">
        <v>778</v>
      </c>
      <c r="E113" s="29" t="s">
        <v>34</v>
      </c>
      <c r="F113" s="28">
        <v>0.49</v>
      </c>
      <c r="G113" s="29">
        <v>0.1</v>
      </c>
      <c r="H113" s="29">
        <v>-0.1</v>
      </c>
      <c r="I113" s="30" t="s">
        <v>39</v>
      </c>
      <c r="J113" s="12">
        <f t="shared" si="31"/>
        <v>0.59</v>
      </c>
      <c r="K113" s="12">
        <f t="shared" si="32"/>
        <v>0.39</v>
      </c>
      <c r="L113" s="78"/>
      <c r="M113" s="78"/>
      <c r="N113" s="78"/>
      <c r="O113" s="36"/>
      <c r="P113" s="24" t="str">
        <f t="shared" si="39"/>
        <v xml:space="preserve"> </v>
      </c>
      <c r="Q113" s="25" t="str">
        <f t="shared" si="39"/>
        <v xml:space="preserve"> </v>
      </c>
      <c r="R113" s="25" t="str">
        <f t="shared" si="39"/>
        <v xml:space="preserve"> </v>
      </c>
      <c r="S113" s="26" t="str">
        <f t="shared" si="33"/>
        <v xml:space="preserve"> </v>
      </c>
      <c r="T113" s="7" t="str">
        <f t="shared" si="34"/>
        <v xml:space="preserve"> </v>
      </c>
      <c r="U113" s="8" t="str">
        <f t="shared" si="35"/>
        <v xml:space="preserve"> </v>
      </c>
      <c r="V113" s="9" t="str">
        <f t="shared" si="36"/>
        <v xml:space="preserve"> </v>
      </c>
      <c r="W113" s="9" t="str">
        <f t="shared" si="37"/>
        <v/>
      </c>
      <c r="X113" s="32"/>
      <c r="Y113" s="36"/>
    </row>
    <row r="114" spans="1:25" s="4" customFormat="1" ht="18" customHeight="1">
      <c r="A114" s="36"/>
      <c r="B114" s="69">
        <v>89.01</v>
      </c>
      <c r="C114" s="69" t="s">
        <v>410</v>
      </c>
      <c r="D114" s="31" t="s">
        <v>778</v>
      </c>
      <c r="E114" s="29" t="s">
        <v>34</v>
      </c>
      <c r="F114" s="28">
        <v>0.49</v>
      </c>
      <c r="G114" s="29">
        <v>0.1</v>
      </c>
      <c r="H114" s="29">
        <v>-0.1</v>
      </c>
      <c r="I114" s="30" t="s">
        <v>39</v>
      </c>
      <c r="J114" s="12">
        <f t="shared" si="31"/>
        <v>0.59</v>
      </c>
      <c r="K114" s="12">
        <f t="shared" si="32"/>
        <v>0.39</v>
      </c>
      <c r="L114" s="78"/>
      <c r="M114" s="78"/>
      <c r="N114" s="78"/>
      <c r="O114" s="36"/>
      <c r="P114" s="24" t="str">
        <f t="shared" si="39"/>
        <v xml:space="preserve"> </v>
      </c>
      <c r="Q114" s="25" t="str">
        <f t="shared" si="39"/>
        <v xml:space="preserve"> </v>
      </c>
      <c r="R114" s="25" t="str">
        <f t="shared" si="39"/>
        <v xml:space="preserve"> </v>
      </c>
      <c r="S114" s="26" t="str">
        <f t="shared" si="33"/>
        <v xml:space="preserve"> </v>
      </c>
      <c r="T114" s="7" t="str">
        <f t="shared" si="34"/>
        <v xml:space="preserve"> </v>
      </c>
      <c r="U114" s="8" t="str">
        <f t="shared" si="35"/>
        <v xml:space="preserve"> </v>
      </c>
      <c r="V114" s="9" t="str">
        <f t="shared" si="36"/>
        <v xml:space="preserve"> </v>
      </c>
      <c r="W114" s="9" t="str">
        <f t="shared" si="37"/>
        <v/>
      </c>
      <c r="X114" s="32"/>
      <c r="Y114" s="36"/>
    </row>
    <row r="115" spans="1:25" s="4" customFormat="1" ht="18" customHeight="1">
      <c r="A115" s="36"/>
      <c r="B115" s="69">
        <v>89.02</v>
      </c>
      <c r="C115" s="69" t="s">
        <v>411</v>
      </c>
      <c r="D115" s="31" t="s">
        <v>778</v>
      </c>
      <c r="E115" s="29" t="s">
        <v>34</v>
      </c>
      <c r="F115" s="28">
        <v>0.49</v>
      </c>
      <c r="G115" s="29">
        <v>0.08</v>
      </c>
      <c r="H115" s="29"/>
      <c r="I115" s="30" t="s">
        <v>39</v>
      </c>
      <c r="J115" s="12">
        <f t="shared" si="31"/>
        <v>0.56999999999999995</v>
      </c>
      <c r="K115" s="12">
        <f t="shared" si="32"/>
        <v>0.49</v>
      </c>
      <c r="L115" s="78"/>
      <c r="M115" s="78"/>
      <c r="N115" s="78"/>
      <c r="O115" s="36"/>
      <c r="P115" s="24" t="str">
        <f t="shared" si="39"/>
        <v xml:space="preserve"> </v>
      </c>
      <c r="Q115" s="25" t="str">
        <f t="shared" si="39"/>
        <v xml:space="preserve"> </v>
      </c>
      <c r="R115" s="25" t="str">
        <f t="shared" si="39"/>
        <v xml:space="preserve"> </v>
      </c>
      <c r="S115" s="26" t="str">
        <f t="shared" si="33"/>
        <v xml:space="preserve"> </v>
      </c>
      <c r="T115" s="7" t="str">
        <f t="shared" si="34"/>
        <v xml:space="preserve"> </v>
      </c>
      <c r="U115" s="8" t="str">
        <f t="shared" si="35"/>
        <v xml:space="preserve"> </v>
      </c>
      <c r="V115" s="9" t="str">
        <f t="shared" si="36"/>
        <v xml:space="preserve"> </v>
      </c>
      <c r="W115" s="9" t="str">
        <f t="shared" si="37"/>
        <v/>
      </c>
      <c r="X115" s="32"/>
      <c r="Y115" s="36"/>
    </row>
    <row r="116" spans="1:25" s="4" customFormat="1" ht="18" customHeight="1">
      <c r="A116" s="36"/>
      <c r="B116" s="69">
        <v>90.01</v>
      </c>
      <c r="C116" s="69" t="s">
        <v>710</v>
      </c>
      <c r="D116" s="31" t="s">
        <v>776</v>
      </c>
      <c r="E116" s="29" t="s">
        <v>34</v>
      </c>
      <c r="F116" s="28">
        <v>0.49</v>
      </c>
      <c r="G116" s="29">
        <v>0.04</v>
      </c>
      <c r="H116" s="29">
        <v>-0.04</v>
      </c>
      <c r="I116" s="30" t="s">
        <v>39</v>
      </c>
      <c r="J116" s="12">
        <f t="shared" si="31"/>
        <v>0.53</v>
      </c>
      <c r="K116" s="12">
        <f t="shared" si="32"/>
        <v>0.45</v>
      </c>
      <c r="L116" s="78"/>
      <c r="M116" s="78"/>
      <c r="N116" s="78"/>
      <c r="O116" s="36"/>
      <c r="P116" s="24" t="str">
        <f t="shared" si="39"/>
        <v xml:space="preserve"> </v>
      </c>
      <c r="Q116" s="25" t="str">
        <f t="shared" si="39"/>
        <v xml:space="preserve"> </v>
      </c>
      <c r="R116" s="25" t="str">
        <f t="shared" si="39"/>
        <v xml:space="preserve"> </v>
      </c>
      <c r="S116" s="26" t="str">
        <f t="shared" si="33"/>
        <v xml:space="preserve"> </v>
      </c>
      <c r="T116" s="7" t="str">
        <f t="shared" si="34"/>
        <v xml:space="preserve"> </v>
      </c>
      <c r="U116" s="8" t="str">
        <f t="shared" si="35"/>
        <v xml:space="preserve"> </v>
      </c>
      <c r="V116" s="9" t="str">
        <f t="shared" si="36"/>
        <v xml:space="preserve"> </v>
      </c>
      <c r="W116" s="9" t="str">
        <f t="shared" si="37"/>
        <v/>
      </c>
      <c r="X116" s="32"/>
      <c r="Y116" s="36"/>
    </row>
    <row r="117" spans="1:25" s="4" customFormat="1" ht="18" customHeight="1">
      <c r="A117" s="36"/>
      <c r="B117" s="69">
        <v>90.02</v>
      </c>
      <c r="C117" s="69" t="s">
        <v>711</v>
      </c>
      <c r="D117" s="31" t="s">
        <v>776</v>
      </c>
      <c r="E117" s="29" t="s">
        <v>34</v>
      </c>
      <c r="F117" s="28">
        <v>0.49</v>
      </c>
      <c r="G117" s="29">
        <v>0.04</v>
      </c>
      <c r="H117" s="29">
        <v>-0.04</v>
      </c>
      <c r="I117" s="30" t="s">
        <v>39</v>
      </c>
      <c r="J117" s="12">
        <f t="shared" si="31"/>
        <v>0.53</v>
      </c>
      <c r="K117" s="12">
        <f t="shared" si="32"/>
        <v>0.45</v>
      </c>
      <c r="L117" s="78"/>
      <c r="M117" s="78"/>
      <c r="N117" s="78"/>
      <c r="O117" s="36"/>
      <c r="P117" s="24" t="str">
        <f t="shared" si="39"/>
        <v xml:space="preserve"> </v>
      </c>
      <c r="Q117" s="25" t="str">
        <f t="shared" si="39"/>
        <v xml:space="preserve"> </v>
      </c>
      <c r="R117" s="25" t="str">
        <f t="shared" si="39"/>
        <v xml:space="preserve"> </v>
      </c>
      <c r="S117" s="26" t="str">
        <f t="shared" si="33"/>
        <v xml:space="preserve"> </v>
      </c>
      <c r="T117" s="7" t="str">
        <f t="shared" si="34"/>
        <v xml:space="preserve"> </v>
      </c>
      <c r="U117" s="8" t="str">
        <f t="shared" si="35"/>
        <v xml:space="preserve"> </v>
      </c>
      <c r="V117" s="9" t="str">
        <f t="shared" si="36"/>
        <v xml:space="preserve"> </v>
      </c>
      <c r="W117" s="9" t="str">
        <f t="shared" si="37"/>
        <v/>
      </c>
      <c r="X117" s="32"/>
      <c r="Y117" s="36"/>
    </row>
    <row r="118" spans="1:25" s="4" customFormat="1" ht="18" customHeight="1">
      <c r="A118" s="36"/>
      <c r="B118" s="69">
        <v>91.01</v>
      </c>
      <c r="C118" s="69" t="s">
        <v>412</v>
      </c>
      <c r="D118" s="31" t="s">
        <v>777</v>
      </c>
      <c r="E118" s="29" t="s">
        <v>34</v>
      </c>
      <c r="F118" s="28">
        <v>0.49</v>
      </c>
      <c r="G118" s="29">
        <v>0.04</v>
      </c>
      <c r="H118" s="29">
        <v>-0.04</v>
      </c>
      <c r="I118" s="30" t="s">
        <v>39</v>
      </c>
      <c r="J118" s="12">
        <f t="shared" si="31"/>
        <v>0.53</v>
      </c>
      <c r="K118" s="12">
        <f t="shared" si="32"/>
        <v>0.45</v>
      </c>
      <c r="L118" s="78"/>
      <c r="M118" s="78"/>
      <c r="N118" s="78"/>
      <c r="O118" s="36"/>
      <c r="P118" s="24" t="str">
        <f t="shared" si="39"/>
        <v xml:space="preserve"> </v>
      </c>
      <c r="Q118" s="25" t="str">
        <f t="shared" si="39"/>
        <v xml:space="preserve"> </v>
      </c>
      <c r="R118" s="25" t="str">
        <f t="shared" si="39"/>
        <v xml:space="preserve"> </v>
      </c>
      <c r="S118" s="26" t="str">
        <f t="shared" si="33"/>
        <v xml:space="preserve"> </v>
      </c>
      <c r="T118" s="7" t="str">
        <f t="shared" si="34"/>
        <v xml:space="preserve"> </v>
      </c>
      <c r="U118" s="8" t="str">
        <f t="shared" si="35"/>
        <v xml:space="preserve"> </v>
      </c>
      <c r="V118" s="9" t="str">
        <f t="shared" si="36"/>
        <v xml:space="preserve"> </v>
      </c>
      <c r="W118" s="9" t="str">
        <f t="shared" si="37"/>
        <v/>
      </c>
      <c r="X118" s="32"/>
      <c r="Y118" s="36"/>
    </row>
    <row r="119" spans="1:25" s="4" customFormat="1" ht="18" customHeight="1">
      <c r="A119" s="36"/>
      <c r="B119" s="69">
        <v>91.02</v>
      </c>
      <c r="C119" s="69" t="s">
        <v>413</v>
      </c>
      <c r="D119" s="31" t="s">
        <v>777</v>
      </c>
      <c r="E119" s="29" t="s">
        <v>34</v>
      </c>
      <c r="F119" s="28">
        <v>0.49</v>
      </c>
      <c r="G119" s="29">
        <v>0.04</v>
      </c>
      <c r="H119" s="29">
        <v>-0.04</v>
      </c>
      <c r="I119" s="30" t="s">
        <v>39</v>
      </c>
      <c r="J119" s="12">
        <f t="shared" si="31"/>
        <v>0.53</v>
      </c>
      <c r="K119" s="12">
        <f t="shared" si="32"/>
        <v>0.45</v>
      </c>
      <c r="L119" s="78"/>
      <c r="M119" s="78"/>
      <c r="N119" s="78"/>
      <c r="O119" s="36"/>
      <c r="P119" s="24" t="str">
        <f t="shared" si="39"/>
        <v xml:space="preserve"> </v>
      </c>
      <c r="Q119" s="25" t="str">
        <f t="shared" si="39"/>
        <v xml:space="preserve"> </v>
      </c>
      <c r="R119" s="25" t="str">
        <f t="shared" si="39"/>
        <v xml:space="preserve"> </v>
      </c>
      <c r="S119" s="26" t="str">
        <f t="shared" si="33"/>
        <v xml:space="preserve"> </v>
      </c>
      <c r="T119" s="7" t="str">
        <f t="shared" si="34"/>
        <v xml:space="preserve"> </v>
      </c>
      <c r="U119" s="8" t="str">
        <f t="shared" si="35"/>
        <v xml:space="preserve"> </v>
      </c>
      <c r="V119" s="9" t="str">
        <f t="shared" si="36"/>
        <v xml:space="preserve"> </v>
      </c>
      <c r="W119" s="9" t="str">
        <f t="shared" si="37"/>
        <v/>
      </c>
      <c r="X119" s="32"/>
      <c r="Y119" s="36"/>
    </row>
    <row r="120" spans="1:25" s="4" customFormat="1" ht="18" customHeight="1">
      <c r="A120" s="36"/>
      <c r="B120" s="69">
        <v>92.01</v>
      </c>
      <c r="C120" s="69" t="s">
        <v>345</v>
      </c>
      <c r="D120" s="31" t="s">
        <v>778</v>
      </c>
      <c r="E120" s="29" t="s">
        <v>34</v>
      </c>
      <c r="F120" s="28">
        <v>0.47</v>
      </c>
      <c r="G120" s="29">
        <v>0.04</v>
      </c>
      <c r="H120" s="29">
        <v>-0.04</v>
      </c>
      <c r="I120" s="30" t="s">
        <v>39</v>
      </c>
      <c r="J120" s="12">
        <f t="shared" si="31"/>
        <v>0.51</v>
      </c>
      <c r="K120" s="12">
        <f t="shared" si="32"/>
        <v>0.43</v>
      </c>
      <c r="L120" s="78"/>
      <c r="M120" s="78"/>
      <c r="N120" s="78"/>
      <c r="O120" s="36"/>
      <c r="P120" s="24" t="str">
        <f t="shared" si="39"/>
        <v xml:space="preserve"> </v>
      </c>
      <c r="Q120" s="25" t="str">
        <f t="shared" si="39"/>
        <v xml:space="preserve"> </v>
      </c>
      <c r="R120" s="25" t="str">
        <f t="shared" si="39"/>
        <v xml:space="preserve"> </v>
      </c>
      <c r="S120" s="26" t="str">
        <f t="shared" si="33"/>
        <v xml:space="preserve"> </v>
      </c>
      <c r="T120" s="7" t="str">
        <f t="shared" si="34"/>
        <v xml:space="preserve"> </v>
      </c>
      <c r="U120" s="8" t="str">
        <f t="shared" si="35"/>
        <v xml:space="preserve"> </v>
      </c>
      <c r="V120" s="9" t="str">
        <f t="shared" si="36"/>
        <v xml:space="preserve"> </v>
      </c>
      <c r="W120" s="9" t="str">
        <f t="shared" si="37"/>
        <v/>
      </c>
      <c r="X120" s="32"/>
      <c r="Y120" s="36"/>
    </row>
    <row r="121" spans="1:25" s="4" customFormat="1" ht="18" customHeight="1">
      <c r="A121" s="36"/>
      <c r="B121" s="69">
        <v>92.02</v>
      </c>
      <c r="C121" s="69" t="s">
        <v>346</v>
      </c>
      <c r="D121" s="31" t="s">
        <v>778</v>
      </c>
      <c r="E121" s="29" t="s">
        <v>34</v>
      </c>
      <c r="F121" s="28">
        <v>0.47</v>
      </c>
      <c r="G121" s="29">
        <v>0.04</v>
      </c>
      <c r="H121" s="29">
        <v>-0.04</v>
      </c>
      <c r="I121" s="30" t="s">
        <v>39</v>
      </c>
      <c r="J121" s="12">
        <f t="shared" si="31"/>
        <v>0.51</v>
      </c>
      <c r="K121" s="12">
        <f t="shared" si="32"/>
        <v>0.43</v>
      </c>
      <c r="L121" s="78"/>
      <c r="M121" s="78"/>
      <c r="N121" s="78"/>
      <c r="O121" s="36"/>
      <c r="P121" s="24" t="str">
        <f t="shared" si="39"/>
        <v xml:space="preserve"> </v>
      </c>
      <c r="Q121" s="25" t="str">
        <f t="shared" si="39"/>
        <v xml:space="preserve"> </v>
      </c>
      <c r="R121" s="25" t="str">
        <f t="shared" si="39"/>
        <v xml:space="preserve"> </v>
      </c>
      <c r="S121" s="26" t="str">
        <f t="shared" si="33"/>
        <v xml:space="preserve"> </v>
      </c>
      <c r="T121" s="7" t="str">
        <f t="shared" si="34"/>
        <v xml:space="preserve"> </v>
      </c>
      <c r="U121" s="8" t="str">
        <f t="shared" si="35"/>
        <v xml:space="preserve"> </v>
      </c>
      <c r="V121" s="9" t="str">
        <f t="shared" si="36"/>
        <v xml:space="preserve"> </v>
      </c>
      <c r="W121" s="9" t="str">
        <f t="shared" si="37"/>
        <v/>
      </c>
      <c r="X121" s="32"/>
      <c r="Y121" s="36"/>
    </row>
    <row r="122" spans="1:25" s="4" customFormat="1" ht="18" customHeight="1">
      <c r="A122" s="36"/>
      <c r="B122" s="69">
        <v>93.01</v>
      </c>
      <c r="C122" s="69" t="s">
        <v>416</v>
      </c>
      <c r="D122" s="31" t="s">
        <v>778</v>
      </c>
      <c r="E122" s="29" t="s">
        <v>34</v>
      </c>
      <c r="F122" s="28">
        <v>0.49</v>
      </c>
      <c r="G122" s="29">
        <v>0.04</v>
      </c>
      <c r="H122" s="29">
        <v>-0.04</v>
      </c>
      <c r="I122" s="30" t="s">
        <v>39</v>
      </c>
      <c r="J122" s="12">
        <f t="shared" si="31"/>
        <v>0.53</v>
      </c>
      <c r="K122" s="12">
        <f t="shared" si="32"/>
        <v>0.45</v>
      </c>
      <c r="L122" s="78"/>
      <c r="M122" s="78"/>
      <c r="N122" s="78"/>
      <c r="O122" s="36"/>
      <c r="P122" s="24" t="str">
        <f t="shared" si="39"/>
        <v xml:space="preserve"> </v>
      </c>
      <c r="Q122" s="25" t="str">
        <f t="shared" si="39"/>
        <v xml:space="preserve"> </v>
      </c>
      <c r="R122" s="25" t="str">
        <f t="shared" si="39"/>
        <v xml:space="preserve"> </v>
      </c>
      <c r="S122" s="26" t="str">
        <f t="shared" si="33"/>
        <v xml:space="preserve"> </v>
      </c>
      <c r="T122" s="7" t="str">
        <f t="shared" si="34"/>
        <v xml:space="preserve"> </v>
      </c>
      <c r="U122" s="8" t="str">
        <f t="shared" si="35"/>
        <v xml:space="preserve"> </v>
      </c>
      <c r="V122" s="9" t="str">
        <f t="shared" si="36"/>
        <v xml:space="preserve"> </v>
      </c>
      <c r="W122" s="9" t="str">
        <f t="shared" si="37"/>
        <v/>
      </c>
      <c r="X122" s="32"/>
      <c r="Y122" s="36"/>
    </row>
    <row r="123" spans="1:25" s="4" customFormat="1" ht="18" customHeight="1">
      <c r="A123" s="36"/>
      <c r="B123" s="69">
        <v>93.02</v>
      </c>
      <c r="C123" s="69" t="s">
        <v>417</v>
      </c>
      <c r="D123" s="31" t="s">
        <v>778</v>
      </c>
      <c r="E123" s="29" t="s">
        <v>34</v>
      </c>
      <c r="F123" s="28">
        <v>0.49</v>
      </c>
      <c r="G123" s="29">
        <v>0.04</v>
      </c>
      <c r="H123" s="29">
        <v>-0.04</v>
      </c>
      <c r="I123" s="30" t="s">
        <v>39</v>
      </c>
      <c r="J123" s="12">
        <f t="shared" si="31"/>
        <v>0.53</v>
      </c>
      <c r="K123" s="12">
        <f t="shared" si="32"/>
        <v>0.45</v>
      </c>
      <c r="L123" s="78"/>
      <c r="M123" s="78"/>
      <c r="N123" s="78"/>
      <c r="O123" s="36"/>
      <c r="P123" s="24" t="str">
        <f t="shared" si="39"/>
        <v xml:space="preserve"> </v>
      </c>
      <c r="Q123" s="25" t="str">
        <f t="shared" si="39"/>
        <v xml:space="preserve"> </v>
      </c>
      <c r="R123" s="25" t="str">
        <f t="shared" si="39"/>
        <v xml:space="preserve"> </v>
      </c>
      <c r="S123" s="26" t="str">
        <f t="shared" si="33"/>
        <v xml:space="preserve"> </v>
      </c>
      <c r="T123" s="7" t="str">
        <f t="shared" si="34"/>
        <v xml:space="preserve"> </v>
      </c>
      <c r="U123" s="8" t="str">
        <f t="shared" si="35"/>
        <v xml:space="preserve"> </v>
      </c>
      <c r="V123" s="9" t="str">
        <f t="shared" si="36"/>
        <v xml:space="preserve"> </v>
      </c>
      <c r="W123" s="9" t="str">
        <f t="shared" si="37"/>
        <v/>
      </c>
      <c r="X123" s="32"/>
      <c r="Y123" s="36"/>
    </row>
    <row r="124" spans="1:25" s="4" customFormat="1" ht="18" customHeight="1">
      <c r="A124" s="36"/>
      <c r="B124" s="69">
        <v>94.01</v>
      </c>
      <c r="C124" s="69" t="s">
        <v>418</v>
      </c>
      <c r="D124" s="31" t="s">
        <v>777</v>
      </c>
      <c r="E124" s="29" t="s">
        <v>34</v>
      </c>
      <c r="F124" s="28">
        <v>0.48</v>
      </c>
      <c r="G124" s="29">
        <v>0.04</v>
      </c>
      <c r="H124" s="29">
        <v>-0.04</v>
      </c>
      <c r="I124" s="30" t="s">
        <v>39</v>
      </c>
      <c r="J124" s="12">
        <f t="shared" si="31"/>
        <v>0.52</v>
      </c>
      <c r="K124" s="12">
        <f t="shared" si="32"/>
        <v>0.44</v>
      </c>
      <c r="L124" s="78"/>
      <c r="M124" s="78"/>
      <c r="N124" s="78"/>
      <c r="O124" s="36"/>
      <c r="P124" s="24" t="str">
        <f t="shared" si="39"/>
        <v xml:space="preserve"> </v>
      </c>
      <c r="Q124" s="25" t="str">
        <f t="shared" si="39"/>
        <v xml:space="preserve"> </v>
      </c>
      <c r="R124" s="25" t="str">
        <f t="shared" si="39"/>
        <v xml:space="preserve"> </v>
      </c>
      <c r="S124" s="26" t="str">
        <f t="shared" si="33"/>
        <v xml:space="preserve"> </v>
      </c>
      <c r="T124" s="7" t="str">
        <f t="shared" si="34"/>
        <v xml:space="preserve"> </v>
      </c>
      <c r="U124" s="8" t="str">
        <f t="shared" si="35"/>
        <v xml:space="preserve"> </v>
      </c>
      <c r="V124" s="9" t="str">
        <f t="shared" si="36"/>
        <v xml:space="preserve"> </v>
      </c>
      <c r="W124" s="9" t="str">
        <f t="shared" si="37"/>
        <v/>
      </c>
      <c r="X124" s="32"/>
      <c r="Y124" s="36"/>
    </row>
    <row r="125" spans="1:25" s="4" customFormat="1" ht="18" customHeight="1">
      <c r="A125" s="36"/>
      <c r="B125" s="69">
        <v>94.02</v>
      </c>
      <c r="C125" s="69" t="s">
        <v>419</v>
      </c>
      <c r="D125" s="31" t="s">
        <v>777</v>
      </c>
      <c r="E125" s="29" t="s">
        <v>34</v>
      </c>
      <c r="F125" s="28">
        <v>0.48</v>
      </c>
      <c r="G125" s="29">
        <v>0.04</v>
      </c>
      <c r="H125" s="29">
        <v>-0.04</v>
      </c>
      <c r="I125" s="30" t="s">
        <v>39</v>
      </c>
      <c r="J125" s="12">
        <f t="shared" si="31"/>
        <v>0.52</v>
      </c>
      <c r="K125" s="12">
        <f t="shared" si="32"/>
        <v>0.44</v>
      </c>
      <c r="L125" s="78"/>
      <c r="M125" s="78"/>
      <c r="N125" s="78"/>
      <c r="O125" s="36"/>
      <c r="P125" s="24" t="str">
        <f t="shared" si="39"/>
        <v xml:space="preserve"> </v>
      </c>
      <c r="Q125" s="25" t="str">
        <f t="shared" si="39"/>
        <v xml:space="preserve"> </v>
      </c>
      <c r="R125" s="25" t="str">
        <f t="shared" si="39"/>
        <v xml:space="preserve"> </v>
      </c>
      <c r="S125" s="26" t="str">
        <f t="shared" si="33"/>
        <v xml:space="preserve"> </v>
      </c>
      <c r="T125" s="7" t="str">
        <f t="shared" si="34"/>
        <v xml:space="preserve"> </v>
      </c>
      <c r="U125" s="8" t="str">
        <f t="shared" si="35"/>
        <v xml:space="preserve"> </v>
      </c>
      <c r="V125" s="9" t="str">
        <f t="shared" si="36"/>
        <v xml:space="preserve"> </v>
      </c>
      <c r="W125" s="9" t="str">
        <f t="shared" si="37"/>
        <v/>
      </c>
      <c r="X125" s="32"/>
      <c r="Y125" s="36"/>
    </row>
    <row r="126" spans="1:25" s="4" customFormat="1" ht="18" customHeight="1">
      <c r="A126" s="36"/>
      <c r="B126" s="69">
        <v>95.01</v>
      </c>
      <c r="C126" s="69" t="s">
        <v>420</v>
      </c>
      <c r="D126" s="31" t="s">
        <v>307</v>
      </c>
      <c r="E126" s="29" t="s">
        <v>34</v>
      </c>
      <c r="F126" s="28">
        <v>0.49</v>
      </c>
      <c r="G126" s="29">
        <v>0.04</v>
      </c>
      <c r="H126" s="29">
        <v>-0.04</v>
      </c>
      <c r="I126" s="30" t="s">
        <v>39</v>
      </c>
      <c r="J126" s="12">
        <f t="shared" si="31"/>
        <v>0.53</v>
      </c>
      <c r="K126" s="12">
        <f t="shared" si="32"/>
        <v>0.45</v>
      </c>
      <c r="L126" s="78"/>
      <c r="M126" s="78"/>
      <c r="N126" s="78"/>
      <c r="O126" s="36"/>
      <c r="P126" s="24" t="str">
        <f t="shared" si="39"/>
        <v xml:space="preserve"> </v>
      </c>
      <c r="Q126" s="25" t="str">
        <f t="shared" si="39"/>
        <v xml:space="preserve"> </v>
      </c>
      <c r="R126" s="25" t="str">
        <f t="shared" si="39"/>
        <v xml:space="preserve"> </v>
      </c>
      <c r="S126" s="26" t="str">
        <f t="shared" si="33"/>
        <v xml:space="preserve"> </v>
      </c>
      <c r="T126" s="7" t="str">
        <f t="shared" si="34"/>
        <v xml:space="preserve"> </v>
      </c>
      <c r="U126" s="8" t="str">
        <f t="shared" si="35"/>
        <v xml:space="preserve"> </v>
      </c>
      <c r="V126" s="9" t="str">
        <f t="shared" si="36"/>
        <v xml:space="preserve"> </v>
      </c>
      <c r="W126" s="9" t="str">
        <f t="shared" si="37"/>
        <v/>
      </c>
      <c r="X126" s="32"/>
      <c r="Y126" s="36"/>
    </row>
    <row r="127" spans="1:25" s="4" customFormat="1" ht="18" customHeight="1">
      <c r="A127" s="36"/>
      <c r="B127" s="69">
        <v>95.02</v>
      </c>
      <c r="C127" s="69" t="s">
        <v>421</v>
      </c>
      <c r="D127" s="31" t="s">
        <v>307</v>
      </c>
      <c r="E127" s="29" t="s">
        <v>34</v>
      </c>
      <c r="F127" s="28">
        <v>0.49</v>
      </c>
      <c r="G127" s="29">
        <v>0.04</v>
      </c>
      <c r="H127" s="29">
        <v>-0.04</v>
      </c>
      <c r="I127" s="30" t="s">
        <v>39</v>
      </c>
      <c r="J127" s="12">
        <f t="shared" si="31"/>
        <v>0.53</v>
      </c>
      <c r="K127" s="12">
        <f t="shared" si="32"/>
        <v>0.45</v>
      </c>
      <c r="L127" s="78"/>
      <c r="M127" s="78"/>
      <c r="N127" s="78"/>
      <c r="O127" s="36"/>
      <c r="P127" s="24" t="str">
        <f t="shared" si="39"/>
        <v xml:space="preserve"> </v>
      </c>
      <c r="Q127" s="25" t="str">
        <f t="shared" si="39"/>
        <v xml:space="preserve"> </v>
      </c>
      <c r="R127" s="25" t="str">
        <f t="shared" si="39"/>
        <v xml:space="preserve"> </v>
      </c>
      <c r="S127" s="26" t="str">
        <f t="shared" si="33"/>
        <v xml:space="preserve"> </v>
      </c>
      <c r="T127" s="7" t="str">
        <f t="shared" si="34"/>
        <v xml:space="preserve"> </v>
      </c>
      <c r="U127" s="8" t="str">
        <f t="shared" si="35"/>
        <v xml:space="preserve"> </v>
      </c>
      <c r="V127" s="9" t="str">
        <f t="shared" si="36"/>
        <v xml:space="preserve"> </v>
      </c>
      <c r="W127" s="9" t="str">
        <f t="shared" si="37"/>
        <v/>
      </c>
      <c r="X127" s="32"/>
      <c r="Y127" s="36"/>
    </row>
    <row r="128" spans="1:25" s="4" customFormat="1" ht="18" customHeight="1">
      <c r="A128" s="36"/>
      <c r="B128" s="69">
        <v>96.01</v>
      </c>
      <c r="C128" s="69" t="s">
        <v>422</v>
      </c>
      <c r="D128" s="31" t="s">
        <v>307</v>
      </c>
      <c r="E128" s="29" t="s">
        <v>34</v>
      </c>
      <c r="F128" s="28">
        <v>0.49</v>
      </c>
      <c r="G128" s="29">
        <v>0.04</v>
      </c>
      <c r="H128" s="29">
        <v>-0.04</v>
      </c>
      <c r="I128" s="30" t="s">
        <v>39</v>
      </c>
      <c r="J128" s="12">
        <f t="shared" si="31"/>
        <v>0.53</v>
      </c>
      <c r="K128" s="12">
        <f t="shared" si="32"/>
        <v>0.45</v>
      </c>
      <c r="L128" s="78"/>
      <c r="M128" s="78"/>
      <c r="N128" s="78"/>
      <c r="O128" s="36"/>
      <c r="P128" s="24" t="str">
        <f t="shared" si="39"/>
        <v xml:space="preserve"> </v>
      </c>
      <c r="Q128" s="25" t="str">
        <f t="shared" si="39"/>
        <v xml:space="preserve"> </v>
      </c>
      <c r="R128" s="25" t="str">
        <f t="shared" si="39"/>
        <v xml:space="preserve"> </v>
      </c>
      <c r="S128" s="26" t="str">
        <f t="shared" si="33"/>
        <v xml:space="preserve"> </v>
      </c>
      <c r="T128" s="7" t="str">
        <f t="shared" si="34"/>
        <v xml:space="preserve"> </v>
      </c>
      <c r="U128" s="8" t="str">
        <f t="shared" si="35"/>
        <v xml:space="preserve"> </v>
      </c>
      <c r="V128" s="9" t="str">
        <f t="shared" si="36"/>
        <v xml:space="preserve"> </v>
      </c>
      <c r="W128" s="9" t="str">
        <f t="shared" si="37"/>
        <v/>
      </c>
      <c r="X128" s="32"/>
      <c r="Y128" s="36"/>
    </row>
    <row r="129" spans="1:25" s="4" customFormat="1" ht="18" customHeight="1">
      <c r="A129" s="36"/>
      <c r="B129" s="69">
        <v>96.02</v>
      </c>
      <c r="C129" s="69" t="s">
        <v>423</v>
      </c>
      <c r="D129" s="31" t="s">
        <v>307</v>
      </c>
      <c r="E129" s="29" t="s">
        <v>34</v>
      </c>
      <c r="F129" s="28">
        <v>0.49</v>
      </c>
      <c r="G129" s="29">
        <v>0.04</v>
      </c>
      <c r="H129" s="29">
        <v>-0.04</v>
      </c>
      <c r="I129" s="30" t="s">
        <v>39</v>
      </c>
      <c r="J129" s="12">
        <f t="shared" si="31"/>
        <v>0.53</v>
      </c>
      <c r="K129" s="12">
        <f t="shared" si="32"/>
        <v>0.45</v>
      </c>
      <c r="L129" s="78"/>
      <c r="M129" s="78"/>
      <c r="N129" s="78"/>
      <c r="O129" s="36"/>
      <c r="P129" s="24" t="str">
        <f t="shared" si="39"/>
        <v xml:space="preserve"> </v>
      </c>
      <c r="Q129" s="25" t="str">
        <f t="shared" si="39"/>
        <v xml:space="preserve"> </v>
      </c>
      <c r="R129" s="25" t="str">
        <f t="shared" si="39"/>
        <v xml:space="preserve"> </v>
      </c>
      <c r="S129" s="26" t="str">
        <f t="shared" si="33"/>
        <v xml:space="preserve"> </v>
      </c>
      <c r="T129" s="7" t="str">
        <f t="shared" si="34"/>
        <v xml:space="preserve"> </v>
      </c>
      <c r="U129" s="8" t="str">
        <f t="shared" si="35"/>
        <v xml:space="preserve"> </v>
      </c>
      <c r="V129" s="9" t="str">
        <f t="shared" si="36"/>
        <v xml:space="preserve"> </v>
      </c>
      <c r="W129" s="9" t="str">
        <f t="shared" si="37"/>
        <v/>
      </c>
      <c r="X129" s="32"/>
      <c r="Y129" s="36"/>
    </row>
    <row r="130" spans="1:25" s="4" customFormat="1" ht="18" customHeight="1">
      <c r="A130" s="36"/>
      <c r="B130" s="69">
        <v>97.01</v>
      </c>
      <c r="C130" s="69" t="s">
        <v>424</v>
      </c>
      <c r="D130" s="31" t="s">
        <v>777</v>
      </c>
      <c r="E130" s="29" t="s">
        <v>34</v>
      </c>
      <c r="F130" s="28">
        <v>0.48</v>
      </c>
      <c r="G130" s="29">
        <v>0.04</v>
      </c>
      <c r="H130" s="29">
        <v>-0.04</v>
      </c>
      <c r="I130" s="30" t="s">
        <v>39</v>
      </c>
      <c r="J130" s="12">
        <f t="shared" si="31"/>
        <v>0.52</v>
      </c>
      <c r="K130" s="12">
        <f t="shared" si="32"/>
        <v>0.44</v>
      </c>
      <c r="L130" s="78"/>
      <c r="M130" s="78"/>
      <c r="N130" s="78"/>
      <c r="O130" s="36"/>
      <c r="P130" s="24" t="str">
        <f t="shared" si="39"/>
        <v xml:space="preserve"> </v>
      </c>
      <c r="Q130" s="25" t="str">
        <f t="shared" si="39"/>
        <v xml:space="preserve"> </v>
      </c>
      <c r="R130" s="25" t="str">
        <f t="shared" si="39"/>
        <v xml:space="preserve"> </v>
      </c>
      <c r="S130" s="26" t="str">
        <f t="shared" si="33"/>
        <v xml:space="preserve"> </v>
      </c>
      <c r="T130" s="7" t="str">
        <f t="shared" si="34"/>
        <v xml:space="preserve"> </v>
      </c>
      <c r="U130" s="8" t="str">
        <f t="shared" si="35"/>
        <v xml:space="preserve"> </v>
      </c>
      <c r="V130" s="9" t="str">
        <f t="shared" si="36"/>
        <v xml:space="preserve"> </v>
      </c>
      <c r="W130" s="9" t="str">
        <f t="shared" si="37"/>
        <v/>
      </c>
      <c r="X130" s="32"/>
      <c r="Y130" s="36"/>
    </row>
    <row r="131" spans="1:25" s="4" customFormat="1" ht="18" customHeight="1">
      <c r="A131" s="36"/>
      <c r="B131" s="69">
        <v>97.02</v>
      </c>
      <c r="C131" s="69" t="s">
        <v>425</v>
      </c>
      <c r="D131" s="31" t="s">
        <v>777</v>
      </c>
      <c r="E131" s="29" t="s">
        <v>34</v>
      </c>
      <c r="F131" s="28">
        <v>0.48</v>
      </c>
      <c r="G131" s="29">
        <v>0.04</v>
      </c>
      <c r="H131" s="29">
        <v>-0.04</v>
      </c>
      <c r="I131" s="30" t="s">
        <v>39</v>
      </c>
      <c r="J131" s="12">
        <f t="shared" si="31"/>
        <v>0.52</v>
      </c>
      <c r="K131" s="12">
        <f t="shared" si="32"/>
        <v>0.44</v>
      </c>
      <c r="L131" s="78"/>
      <c r="M131" s="78"/>
      <c r="N131" s="78"/>
      <c r="O131" s="36"/>
      <c r="P131" s="24" t="str">
        <f t="shared" si="39"/>
        <v xml:space="preserve"> </v>
      </c>
      <c r="Q131" s="25" t="str">
        <f t="shared" si="39"/>
        <v xml:space="preserve"> </v>
      </c>
      <c r="R131" s="25" t="str">
        <f t="shared" si="39"/>
        <v xml:space="preserve"> </v>
      </c>
      <c r="S131" s="26" t="str">
        <f t="shared" si="33"/>
        <v xml:space="preserve"> </v>
      </c>
      <c r="T131" s="7" t="str">
        <f t="shared" si="34"/>
        <v xml:space="preserve"> </v>
      </c>
      <c r="U131" s="8" t="str">
        <f t="shared" si="35"/>
        <v xml:space="preserve"> </v>
      </c>
      <c r="V131" s="9" t="str">
        <f t="shared" si="36"/>
        <v xml:space="preserve"> </v>
      </c>
      <c r="W131" s="9" t="str">
        <f t="shared" si="37"/>
        <v/>
      </c>
      <c r="X131" s="32"/>
      <c r="Y131" s="36"/>
    </row>
    <row r="132" spans="1:25" s="4" customFormat="1" ht="18" customHeight="1">
      <c r="A132" s="36"/>
      <c r="B132" s="69">
        <v>98.01</v>
      </c>
      <c r="C132" s="69" t="s">
        <v>426</v>
      </c>
      <c r="D132" s="31" t="s">
        <v>776</v>
      </c>
      <c r="E132" s="29" t="s">
        <v>34</v>
      </c>
      <c r="F132" s="28">
        <v>0.48</v>
      </c>
      <c r="G132" s="29">
        <v>0.04</v>
      </c>
      <c r="H132" s="29">
        <v>-0.04</v>
      </c>
      <c r="I132" s="30" t="s">
        <v>39</v>
      </c>
      <c r="J132" s="12">
        <f t="shared" si="31"/>
        <v>0.52</v>
      </c>
      <c r="K132" s="12">
        <f t="shared" si="32"/>
        <v>0.44</v>
      </c>
      <c r="L132" s="78"/>
      <c r="M132" s="78"/>
      <c r="N132" s="78"/>
      <c r="O132" s="36"/>
      <c r="P132" s="24" t="str">
        <f t="shared" si="39"/>
        <v xml:space="preserve"> </v>
      </c>
      <c r="Q132" s="25" t="str">
        <f t="shared" si="39"/>
        <v xml:space="preserve"> </v>
      </c>
      <c r="R132" s="25" t="str">
        <f t="shared" si="39"/>
        <v xml:space="preserve"> </v>
      </c>
      <c r="S132" s="26" t="str">
        <f t="shared" si="33"/>
        <v xml:space="preserve"> </v>
      </c>
      <c r="T132" s="7" t="str">
        <f t="shared" si="34"/>
        <v xml:space="preserve"> </v>
      </c>
      <c r="U132" s="8" t="str">
        <f t="shared" si="35"/>
        <v xml:space="preserve"> </v>
      </c>
      <c r="V132" s="9" t="str">
        <f t="shared" si="36"/>
        <v xml:space="preserve"> </v>
      </c>
      <c r="W132" s="9" t="str">
        <f t="shared" si="37"/>
        <v/>
      </c>
      <c r="X132" s="32"/>
      <c r="Y132" s="36"/>
    </row>
    <row r="133" spans="1:25" s="4" customFormat="1" ht="18" customHeight="1">
      <c r="A133" s="36"/>
      <c r="B133" s="69">
        <v>98.02</v>
      </c>
      <c r="C133" s="69" t="s">
        <v>427</v>
      </c>
      <c r="D133" s="31" t="s">
        <v>776</v>
      </c>
      <c r="E133" s="29" t="s">
        <v>34</v>
      </c>
      <c r="F133" s="28">
        <v>0.49</v>
      </c>
      <c r="G133" s="29">
        <v>0.04</v>
      </c>
      <c r="H133" s="29">
        <v>-0.04</v>
      </c>
      <c r="I133" s="30" t="s">
        <v>39</v>
      </c>
      <c r="J133" s="12">
        <f t="shared" si="31"/>
        <v>0.53</v>
      </c>
      <c r="K133" s="12">
        <f t="shared" si="32"/>
        <v>0.45</v>
      </c>
      <c r="L133" s="78"/>
      <c r="M133" s="78"/>
      <c r="N133" s="78"/>
      <c r="O133" s="36"/>
      <c r="P133" s="24" t="str">
        <f t="shared" si="39"/>
        <v xml:space="preserve"> </v>
      </c>
      <c r="Q133" s="25" t="str">
        <f t="shared" si="39"/>
        <v xml:space="preserve"> </v>
      </c>
      <c r="R133" s="25" t="str">
        <f t="shared" si="39"/>
        <v xml:space="preserve"> </v>
      </c>
      <c r="S133" s="26" t="str">
        <f t="shared" si="33"/>
        <v xml:space="preserve"> </v>
      </c>
      <c r="T133" s="7" t="str">
        <f t="shared" si="34"/>
        <v xml:space="preserve"> </v>
      </c>
      <c r="U133" s="8" t="str">
        <f t="shared" si="35"/>
        <v xml:space="preserve"> </v>
      </c>
      <c r="V133" s="9" t="str">
        <f t="shared" si="36"/>
        <v xml:space="preserve"> </v>
      </c>
      <c r="W133" s="9" t="str">
        <f t="shared" si="37"/>
        <v/>
      </c>
      <c r="X133" s="32"/>
      <c r="Y133" s="36"/>
    </row>
    <row r="134" spans="1:25" s="4" customFormat="1" ht="18" customHeight="1">
      <c r="A134" s="36"/>
      <c r="B134" s="69">
        <v>99.01</v>
      </c>
      <c r="C134" s="69" t="s">
        <v>343</v>
      </c>
      <c r="D134" s="31" t="s">
        <v>778</v>
      </c>
      <c r="E134" s="29" t="s">
        <v>34</v>
      </c>
      <c r="F134" s="28">
        <v>0.46</v>
      </c>
      <c r="G134" s="29">
        <v>0.04</v>
      </c>
      <c r="H134" s="29">
        <v>-0.04</v>
      </c>
      <c r="I134" s="30" t="s">
        <v>39</v>
      </c>
      <c r="J134" s="12">
        <f t="shared" si="31"/>
        <v>0.5</v>
      </c>
      <c r="K134" s="12">
        <f t="shared" si="32"/>
        <v>0.42000000000000004</v>
      </c>
      <c r="L134" s="78"/>
      <c r="M134" s="78"/>
      <c r="N134" s="78"/>
      <c r="O134" s="36"/>
      <c r="P134" s="24" t="str">
        <f t="shared" si="39"/>
        <v xml:space="preserve"> </v>
      </c>
      <c r="Q134" s="25" t="str">
        <f t="shared" si="39"/>
        <v xml:space="preserve"> </v>
      </c>
      <c r="R134" s="25" t="str">
        <f t="shared" si="39"/>
        <v xml:space="preserve"> </v>
      </c>
      <c r="S134" s="26" t="str">
        <f t="shared" si="33"/>
        <v xml:space="preserve"> </v>
      </c>
      <c r="T134" s="7" t="str">
        <f t="shared" si="34"/>
        <v xml:space="preserve"> </v>
      </c>
      <c r="U134" s="8" t="str">
        <f t="shared" si="35"/>
        <v xml:space="preserve"> </v>
      </c>
      <c r="V134" s="9" t="str">
        <f t="shared" si="36"/>
        <v xml:space="preserve"> </v>
      </c>
      <c r="W134" s="9" t="str">
        <f t="shared" si="37"/>
        <v/>
      </c>
      <c r="X134" s="32"/>
      <c r="Y134" s="36"/>
    </row>
    <row r="135" spans="1:25" s="4" customFormat="1" ht="18" customHeight="1">
      <c r="A135" s="36"/>
      <c r="B135" s="69">
        <v>99.02</v>
      </c>
      <c r="C135" s="69" t="s">
        <v>344</v>
      </c>
      <c r="D135" s="31" t="s">
        <v>778</v>
      </c>
      <c r="E135" s="29" t="s">
        <v>34</v>
      </c>
      <c r="F135" s="28">
        <v>0.46</v>
      </c>
      <c r="G135" s="29">
        <v>0.04</v>
      </c>
      <c r="H135" s="29">
        <v>-0.04</v>
      </c>
      <c r="I135" s="30" t="s">
        <v>39</v>
      </c>
      <c r="J135" s="12">
        <f t="shared" si="31"/>
        <v>0.5</v>
      </c>
      <c r="K135" s="12">
        <f t="shared" si="32"/>
        <v>0.42000000000000004</v>
      </c>
      <c r="L135" s="78"/>
      <c r="M135" s="78"/>
      <c r="N135" s="78"/>
      <c r="O135" s="36"/>
      <c r="P135" s="24" t="str">
        <f t="shared" si="39"/>
        <v xml:space="preserve"> </v>
      </c>
      <c r="Q135" s="25" t="str">
        <f t="shared" si="39"/>
        <v xml:space="preserve"> </v>
      </c>
      <c r="R135" s="25" t="str">
        <f t="shared" si="39"/>
        <v xml:space="preserve"> </v>
      </c>
      <c r="S135" s="26" t="str">
        <f t="shared" si="33"/>
        <v xml:space="preserve"> </v>
      </c>
      <c r="T135" s="7" t="str">
        <f t="shared" si="34"/>
        <v xml:space="preserve"> </v>
      </c>
      <c r="U135" s="8" t="str">
        <f t="shared" si="35"/>
        <v xml:space="preserve"> </v>
      </c>
      <c r="V135" s="9" t="str">
        <f t="shared" si="36"/>
        <v xml:space="preserve"> </v>
      </c>
      <c r="W135" s="9" t="str">
        <f t="shared" si="37"/>
        <v/>
      </c>
      <c r="X135" s="32"/>
      <c r="Y135" s="36"/>
    </row>
    <row r="136" spans="1:25" s="4" customFormat="1" ht="18" customHeight="1">
      <c r="A136" s="36"/>
      <c r="B136" s="69">
        <v>100.01</v>
      </c>
      <c r="C136" s="69" t="s">
        <v>405</v>
      </c>
      <c r="D136" s="31" t="s">
        <v>776</v>
      </c>
      <c r="E136" s="29" t="s">
        <v>34</v>
      </c>
      <c r="F136" s="28">
        <v>0.49</v>
      </c>
      <c r="G136" s="29">
        <v>0.04</v>
      </c>
      <c r="H136" s="29">
        <v>-0.04</v>
      </c>
      <c r="I136" s="30" t="s">
        <v>39</v>
      </c>
      <c r="J136" s="12">
        <f t="shared" si="31"/>
        <v>0.53</v>
      </c>
      <c r="K136" s="12">
        <f t="shared" si="32"/>
        <v>0.45</v>
      </c>
      <c r="L136" s="78"/>
      <c r="M136" s="78"/>
      <c r="N136" s="78"/>
      <c r="O136" s="36"/>
      <c r="P136" s="24" t="str">
        <f t="shared" si="39"/>
        <v xml:space="preserve"> </v>
      </c>
      <c r="Q136" s="25" t="str">
        <f t="shared" si="39"/>
        <v xml:space="preserve"> </v>
      </c>
      <c r="R136" s="25" t="str">
        <f t="shared" si="39"/>
        <v xml:space="preserve"> </v>
      </c>
      <c r="S136" s="26" t="str">
        <f t="shared" si="33"/>
        <v xml:space="preserve"> </v>
      </c>
      <c r="T136" s="7" t="str">
        <f t="shared" si="34"/>
        <v xml:space="preserve"> </v>
      </c>
      <c r="U136" s="8" t="str">
        <f t="shared" si="35"/>
        <v xml:space="preserve"> </v>
      </c>
      <c r="V136" s="9" t="str">
        <f t="shared" si="36"/>
        <v xml:space="preserve"> </v>
      </c>
      <c r="W136" s="9" t="str">
        <f t="shared" si="37"/>
        <v/>
      </c>
      <c r="X136" s="32"/>
      <c r="Y136" s="36"/>
    </row>
    <row r="137" spans="1:25" s="4" customFormat="1" ht="18" customHeight="1">
      <c r="A137" s="36"/>
      <c r="B137" s="69">
        <v>100.02</v>
      </c>
      <c r="C137" s="69" t="s">
        <v>407</v>
      </c>
      <c r="D137" s="31" t="s">
        <v>776</v>
      </c>
      <c r="E137" s="29" t="s">
        <v>34</v>
      </c>
      <c r="F137" s="28">
        <v>0.49</v>
      </c>
      <c r="G137" s="29">
        <v>0.04</v>
      </c>
      <c r="H137" s="29">
        <v>-0.04</v>
      </c>
      <c r="I137" s="30" t="s">
        <v>39</v>
      </c>
      <c r="J137" s="12">
        <f t="shared" si="31"/>
        <v>0.53</v>
      </c>
      <c r="K137" s="12">
        <f t="shared" si="32"/>
        <v>0.45</v>
      </c>
      <c r="L137" s="78"/>
      <c r="M137" s="78"/>
      <c r="N137" s="78"/>
      <c r="O137" s="36"/>
      <c r="P137" s="24" t="str">
        <f t="shared" si="39"/>
        <v xml:space="preserve"> </v>
      </c>
      <c r="Q137" s="25" t="str">
        <f t="shared" si="39"/>
        <v xml:space="preserve"> </v>
      </c>
      <c r="R137" s="25" t="str">
        <f t="shared" si="39"/>
        <v xml:space="preserve"> </v>
      </c>
      <c r="S137" s="26" t="str">
        <f t="shared" si="33"/>
        <v xml:space="preserve"> </v>
      </c>
      <c r="T137" s="7" t="str">
        <f t="shared" si="34"/>
        <v xml:space="preserve"> </v>
      </c>
      <c r="U137" s="8" t="str">
        <f t="shared" si="35"/>
        <v xml:space="preserve"> </v>
      </c>
      <c r="V137" s="9" t="str">
        <f t="shared" si="36"/>
        <v xml:space="preserve"> </v>
      </c>
      <c r="W137" s="9" t="str">
        <f t="shared" si="37"/>
        <v/>
      </c>
      <c r="X137" s="32"/>
      <c r="Y137" s="36"/>
    </row>
    <row r="138" spans="1:25" s="4" customFormat="1" ht="18" customHeight="1">
      <c r="A138" s="36"/>
      <c r="B138" s="69">
        <v>101.01</v>
      </c>
      <c r="C138" s="69" t="s">
        <v>430</v>
      </c>
      <c r="D138" s="31" t="s">
        <v>777</v>
      </c>
      <c r="E138" s="29" t="s">
        <v>34</v>
      </c>
      <c r="F138" s="28">
        <v>0.47</v>
      </c>
      <c r="G138" s="29">
        <v>0.04</v>
      </c>
      <c r="H138" s="29">
        <v>-0.04</v>
      </c>
      <c r="I138" s="30" t="s">
        <v>39</v>
      </c>
      <c r="J138" s="12">
        <f t="shared" si="31"/>
        <v>0.51</v>
      </c>
      <c r="K138" s="12">
        <f t="shared" si="32"/>
        <v>0.43</v>
      </c>
      <c r="L138" s="78"/>
      <c r="M138" s="78"/>
      <c r="N138" s="78"/>
      <c r="O138" s="36"/>
      <c r="P138" s="24" t="str">
        <f t="shared" si="39"/>
        <v xml:space="preserve"> </v>
      </c>
      <c r="Q138" s="25" t="str">
        <f t="shared" si="39"/>
        <v xml:space="preserve"> </v>
      </c>
      <c r="R138" s="25" t="str">
        <f t="shared" si="39"/>
        <v xml:space="preserve"> </v>
      </c>
      <c r="S138" s="26" t="str">
        <f t="shared" si="33"/>
        <v xml:space="preserve"> </v>
      </c>
      <c r="T138" s="7" t="str">
        <f t="shared" si="34"/>
        <v xml:space="preserve"> </v>
      </c>
      <c r="U138" s="8" t="str">
        <f t="shared" si="35"/>
        <v xml:space="preserve"> </v>
      </c>
      <c r="V138" s="9" t="str">
        <f t="shared" si="36"/>
        <v xml:space="preserve"> </v>
      </c>
      <c r="W138" s="9" t="str">
        <f t="shared" si="37"/>
        <v/>
      </c>
      <c r="X138" s="32"/>
      <c r="Y138" s="36"/>
    </row>
    <row r="139" spans="1:25" s="4" customFormat="1" ht="18" customHeight="1">
      <c r="A139" s="36"/>
      <c r="B139" s="69">
        <v>101.02</v>
      </c>
      <c r="C139" s="69" t="s">
        <v>431</v>
      </c>
      <c r="D139" s="31" t="s">
        <v>777</v>
      </c>
      <c r="E139" s="29" t="s">
        <v>34</v>
      </c>
      <c r="F139" s="28">
        <v>0.47</v>
      </c>
      <c r="G139" s="29">
        <v>0.04</v>
      </c>
      <c r="H139" s="29">
        <v>-0.04</v>
      </c>
      <c r="I139" s="30" t="s">
        <v>39</v>
      </c>
      <c r="J139" s="12">
        <f t="shared" si="31"/>
        <v>0.51</v>
      </c>
      <c r="K139" s="12">
        <f t="shared" si="32"/>
        <v>0.43</v>
      </c>
      <c r="L139" s="78"/>
      <c r="M139" s="78"/>
      <c r="N139" s="78"/>
      <c r="O139" s="36"/>
      <c r="P139" s="24" t="str">
        <f t="shared" si="39"/>
        <v xml:space="preserve"> </v>
      </c>
      <c r="Q139" s="25" t="str">
        <f t="shared" si="39"/>
        <v xml:space="preserve"> </v>
      </c>
      <c r="R139" s="25" t="str">
        <f t="shared" si="39"/>
        <v xml:space="preserve"> </v>
      </c>
      <c r="S139" s="26" t="str">
        <f t="shared" si="33"/>
        <v xml:space="preserve"> </v>
      </c>
      <c r="T139" s="7" t="str">
        <f t="shared" si="34"/>
        <v xml:space="preserve"> </v>
      </c>
      <c r="U139" s="8" t="str">
        <f t="shared" si="35"/>
        <v xml:space="preserve"> </v>
      </c>
      <c r="V139" s="9" t="str">
        <f t="shared" si="36"/>
        <v xml:space="preserve"> </v>
      </c>
      <c r="W139" s="9" t="str">
        <f t="shared" si="37"/>
        <v/>
      </c>
      <c r="X139" s="32"/>
      <c r="Y139" s="36"/>
    </row>
    <row r="140" spans="1:25" s="4" customFormat="1" ht="18" customHeight="1">
      <c r="A140" s="36"/>
      <c r="B140" s="69">
        <v>102.01</v>
      </c>
      <c r="C140" s="69" t="s">
        <v>432</v>
      </c>
      <c r="D140" s="31" t="s">
        <v>778</v>
      </c>
      <c r="E140" s="29" t="s">
        <v>34</v>
      </c>
      <c r="F140" s="28">
        <v>0.46</v>
      </c>
      <c r="G140" s="29">
        <v>0.04</v>
      </c>
      <c r="H140" s="29">
        <v>-0.04</v>
      </c>
      <c r="I140" s="30" t="s">
        <v>39</v>
      </c>
      <c r="J140" s="12">
        <f t="shared" si="31"/>
        <v>0.5</v>
      </c>
      <c r="K140" s="12">
        <f t="shared" si="32"/>
        <v>0.42000000000000004</v>
      </c>
      <c r="L140" s="78"/>
      <c r="M140" s="78"/>
      <c r="N140" s="78"/>
      <c r="O140" s="36"/>
      <c r="P140" s="24" t="str">
        <f t="shared" si="39"/>
        <v xml:space="preserve"> </v>
      </c>
      <c r="Q140" s="25" t="str">
        <f t="shared" si="39"/>
        <v xml:space="preserve"> </v>
      </c>
      <c r="R140" s="25" t="str">
        <f t="shared" si="39"/>
        <v xml:space="preserve"> </v>
      </c>
      <c r="S140" s="26" t="str">
        <f t="shared" si="33"/>
        <v xml:space="preserve"> </v>
      </c>
      <c r="T140" s="7" t="str">
        <f t="shared" si="34"/>
        <v xml:space="preserve"> </v>
      </c>
      <c r="U140" s="8" t="str">
        <f t="shared" si="35"/>
        <v xml:space="preserve"> </v>
      </c>
      <c r="V140" s="9" t="str">
        <f t="shared" si="36"/>
        <v xml:space="preserve"> </v>
      </c>
      <c r="W140" s="9" t="str">
        <f t="shared" si="37"/>
        <v/>
      </c>
      <c r="X140" s="32"/>
      <c r="Y140" s="36"/>
    </row>
    <row r="141" spans="1:25" s="4" customFormat="1" ht="18" customHeight="1">
      <c r="A141" s="36"/>
      <c r="B141" s="69">
        <v>102.02</v>
      </c>
      <c r="C141" s="69" t="s">
        <v>433</v>
      </c>
      <c r="D141" s="31" t="s">
        <v>778</v>
      </c>
      <c r="E141" s="29" t="s">
        <v>34</v>
      </c>
      <c r="F141" s="28">
        <v>0.46</v>
      </c>
      <c r="G141" s="29">
        <v>0.04</v>
      </c>
      <c r="H141" s="29">
        <v>-0.04</v>
      </c>
      <c r="I141" s="30" t="s">
        <v>39</v>
      </c>
      <c r="J141" s="12">
        <f t="shared" si="31"/>
        <v>0.5</v>
      </c>
      <c r="K141" s="12">
        <f t="shared" si="32"/>
        <v>0.42000000000000004</v>
      </c>
      <c r="L141" s="78"/>
      <c r="M141" s="78"/>
      <c r="N141" s="78"/>
      <c r="O141" s="36"/>
      <c r="P141" s="24" t="str">
        <f t="shared" si="39"/>
        <v xml:space="preserve"> </v>
      </c>
      <c r="Q141" s="25" t="str">
        <f t="shared" si="39"/>
        <v xml:space="preserve"> </v>
      </c>
      <c r="R141" s="25" t="str">
        <f t="shared" si="39"/>
        <v xml:space="preserve"> </v>
      </c>
      <c r="S141" s="26" t="str">
        <f t="shared" si="33"/>
        <v xml:space="preserve"> </v>
      </c>
      <c r="T141" s="7" t="str">
        <f t="shared" si="34"/>
        <v xml:space="preserve"> </v>
      </c>
      <c r="U141" s="8" t="str">
        <f t="shared" si="35"/>
        <v xml:space="preserve"> </v>
      </c>
      <c r="V141" s="9" t="str">
        <f t="shared" si="36"/>
        <v xml:space="preserve"> </v>
      </c>
      <c r="W141" s="9" t="str">
        <f t="shared" si="37"/>
        <v/>
      </c>
      <c r="X141" s="32"/>
      <c r="Y141" s="36"/>
    </row>
    <row r="142" spans="1:25" s="4" customFormat="1" ht="18" customHeight="1">
      <c r="A142" s="36"/>
      <c r="B142" s="69">
        <v>103.01</v>
      </c>
      <c r="C142" s="69" t="s">
        <v>434</v>
      </c>
      <c r="D142" s="31" t="s">
        <v>777</v>
      </c>
      <c r="E142" s="29" t="s">
        <v>34</v>
      </c>
      <c r="F142" s="28">
        <v>0.46</v>
      </c>
      <c r="G142" s="29">
        <v>0.04</v>
      </c>
      <c r="H142" s="29">
        <v>-0.04</v>
      </c>
      <c r="I142" s="30" t="s">
        <v>39</v>
      </c>
      <c r="J142" s="12">
        <f t="shared" si="31"/>
        <v>0.5</v>
      </c>
      <c r="K142" s="12">
        <f t="shared" si="32"/>
        <v>0.42000000000000004</v>
      </c>
      <c r="L142" s="78"/>
      <c r="M142" s="78"/>
      <c r="N142" s="78"/>
      <c r="O142" s="36"/>
      <c r="P142" s="24" t="str">
        <f t="shared" si="39"/>
        <v xml:space="preserve"> </v>
      </c>
      <c r="Q142" s="25" t="str">
        <f t="shared" si="39"/>
        <v xml:space="preserve"> </v>
      </c>
      <c r="R142" s="25" t="str">
        <f t="shared" si="39"/>
        <v xml:space="preserve"> </v>
      </c>
      <c r="S142" s="26" t="str">
        <f t="shared" si="33"/>
        <v xml:space="preserve"> </v>
      </c>
      <c r="T142" s="7" t="str">
        <f t="shared" si="34"/>
        <v xml:space="preserve"> </v>
      </c>
      <c r="U142" s="8" t="str">
        <f t="shared" si="35"/>
        <v xml:space="preserve"> </v>
      </c>
      <c r="V142" s="9" t="str">
        <f t="shared" si="36"/>
        <v xml:space="preserve"> </v>
      </c>
      <c r="W142" s="9" t="str">
        <f t="shared" si="37"/>
        <v/>
      </c>
      <c r="X142" s="32"/>
      <c r="Y142" s="36"/>
    </row>
    <row r="143" spans="1:25" s="4" customFormat="1" ht="18" customHeight="1">
      <c r="A143" s="36"/>
      <c r="B143" s="69">
        <v>103.02</v>
      </c>
      <c r="C143" s="69" t="s">
        <v>435</v>
      </c>
      <c r="D143" s="31" t="s">
        <v>777</v>
      </c>
      <c r="E143" s="29" t="s">
        <v>34</v>
      </c>
      <c r="F143" s="28">
        <v>0.46</v>
      </c>
      <c r="G143" s="29">
        <v>0.04</v>
      </c>
      <c r="H143" s="29">
        <v>-0.04</v>
      </c>
      <c r="I143" s="30" t="s">
        <v>39</v>
      </c>
      <c r="J143" s="12">
        <f t="shared" si="31"/>
        <v>0.5</v>
      </c>
      <c r="K143" s="12">
        <f t="shared" si="32"/>
        <v>0.42000000000000004</v>
      </c>
      <c r="L143" s="78"/>
      <c r="M143" s="78"/>
      <c r="N143" s="78"/>
      <c r="O143" s="36"/>
      <c r="P143" s="24" t="str">
        <f t="shared" si="39"/>
        <v xml:space="preserve"> </v>
      </c>
      <c r="Q143" s="25" t="str">
        <f t="shared" si="39"/>
        <v xml:space="preserve"> </v>
      </c>
      <c r="R143" s="25" t="str">
        <f t="shared" si="39"/>
        <v xml:space="preserve"> </v>
      </c>
      <c r="S143" s="26" t="str">
        <f t="shared" si="33"/>
        <v xml:space="preserve"> </v>
      </c>
      <c r="T143" s="7" t="str">
        <f t="shared" si="34"/>
        <v xml:space="preserve"> </v>
      </c>
      <c r="U143" s="8" t="str">
        <f t="shared" si="35"/>
        <v xml:space="preserve"> </v>
      </c>
      <c r="V143" s="9" t="str">
        <f t="shared" si="36"/>
        <v xml:space="preserve"> </v>
      </c>
      <c r="W143" s="9" t="str">
        <f t="shared" si="37"/>
        <v/>
      </c>
      <c r="X143" s="32"/>
      <c r="Y143" s="36"/>
    </row>
    <row r="144" spans="1:25" s="4" customFormat="1" ht="18" customHeight="1">
      <c r="A144" s="36"/>
      <c r="B144" s="69">
        <v>104.01</v>
      </c>
      <c r="C144" s="69" t="s">
        <v>436</v>
      </c>
      <c r="D144" s="31" t="s">
        <v>776</v>
      </c>
      <c r="E144" s="29" t="s">
        <v>34</v>
      </c>
      <c r="F144" s="28">
        <v>0.49</v>
      </c>
      <c r="G144" s="29">
        <v>0.04</v>
      </c>
      <c r="H144" s="29">
        <v>-0.04</v>
      </c>
      <c r="I144" s="30" t="s">
        <v>39</v>
      </c>
      <c r="J144" s="12">
        <f t="shared" si="31"/>
        <v>0.53</v>
      </c>
      <c r="K144" s="12">
        <f t="shared" si="32"/>
        <v>0.45</v>
      </c>
      <c r="L144" s="78"/>
      <c r="M144" s="78"/>
      <c r="N144" s="78"/>
      <c r="O144" s="36"/>
      <c r="P144" s="24" t="str">
        <f t="shared" si="39"/>
        <v xml:space="preserve"> </v>
      </c>
      <c r="Q144" s="25" t="str">
        <f t="shared" si="39"/>
        <v xml:space="preserve"> </v>
      </c>
      <c r="R144" s="25" t="str">
        <f t="shared" si="39"/>
        <v xml:space="preserve"> </v>
      </c>
      <c r="S144" s="26" t="str">
        <f t="shared" si="33"/>
        <v xml:space="preserve"> </v>
      </c>
      <c r="T144" s="7" t="str">
        <f t="shared" si="34"/>
        <v xml:space="preserve"> </v>
      </c>
      <c r="U144" s="8" t="str">
        <f t="shared" si="35"/>
        <v xml:space="preserve"> </v>
      </c>
      <c r="V144" s="9" t="str">
        <f t="shared" si="36"/>
        <v xml:space="preserve"> </v>
      </c>
      <c r="W144" s="9" t="str">
        <f t="shared" si="37"/>
        <v/>
      </c>
      <c r="X144" s="32"/>
      <c r="Y144" s="36"/>
    </row>
    <row r="145" spans="1:25" s="4" customFormat="1" ht="18" customHeight="1">
      <c r="A145" s="36"/>
      <c r="B145" s="69">
        <v>104.02</v>
      </c>
      <c r="C145" s="69" t="s">
        <v>437</v>
      </c>
      <c r="D145" s="31" t="s">
        <v>776</v>
      </c>
      <c r="E145" s="29" t="s">
        <v>34</v>
      </c>
      <c r="F145" s="28">
        <v>0.49</v>
      </c>
      <c r="G145" s="29">
        <v>0.04</v>
      </c>
      <c r="H145" s="29">
        <v>-0.04</v>
      </c>
      <c r="I145" s="30" t="s">
        <v>39</v>
      </c>
      <c r="J145" s="12">
        <f t="shared" si="31"/>
        <v>0.53</v>
      </c>
      <c r="K145" s="12">
        <f t="shared" si="32"/>
        <v>0.45</v>
      </c>
      <c r="L145" s="78"/>
      <c r="M145" s="78"/>
      <c r="N145" s="78"/>
      <c r="O145" s="36"/>
      <c r="P145" s="24" t="str">
        <f t="shared" si="39"/>
        <v xml:space="preserve"> </v>
      </c>
      <c r="Q145" s="25" t="str">
        <f t="shared" si="39"/>
        <v xml:space="preserve"> </v>
      </c>
      <c r="R145" s="25" t="str">
        <f t="shared" si="39"/>
        <v xml:space="preserve"> </v>
      </c>
      <c r="S145" s="26" t="str">
        <f t="shared" si="33"/>
        <v xml:space="preserve"> </v>
      </c>
      <c r="T145" s="7" t="str">
        <f t="shared" si="34"/>
        <v xml:space="preserve"> </v>
      </c>
      <c r="U145" s="8" t="str">
        <f t="shared" si="35"/>
        <v xml:space="preserve"> </v>
      </c>
      <c r="V145" s="9" t="str">
        <f t="shared" si="36"/>
        <v xml:space="preserve"> </v>
      </c>
      <c r="W145" s="9" t="str">
        <f t="shared" si="37"/>
        <v/>
      </c>
      <c r="X145" s="32"/>
      <c r="Y145" s="36"/>
    </row>
    <row r="146" spans="1:25" s="4" customFormat="1" ht="18" customHeight="1">
      <c r="A146" s="36"/>
      <c r="B146" s="69">
        <v>105.01</v>
      </c>
      <c r="C146" s="69" t="s">
        <v>438</v>
      </c>
      <c r="D146" s="31" t="s">
        <v>709</v>
      </c>
      <c r="E146" s="29" t="s">
        <v>34</v>
      </c>
      <c r="F146" s="28">
        <v>0.48</v>
      </c>
      <c r="G146" s="29">
        <v>0.04</v>
      </c>
      <c r="H146" s="29">
        <v>-0.04</v>
      </c>
      <c r="I146" s="30" t="s">
        <v>39</v>
      </c>
      <c r="J146" s="12">
        <f t="shared" si="31"/>
        <v>0.52</v>
      </c>
      <c r="K146" s="12">
        <f t="shared" si="32"/>
        <v>0.44</v>
      </c>
      <c r="L146" s="78"/>
      <c r="M146" s="78"/>
      <c r="N146" s="78"/>
      <c r="O146" s="36"/>
      <c r="P146" s="24" t="str">
        <f t="shared" si="39"/>
        <v xml:space="preserve"> </v>
      </c>
      <c r="Q146" s="25" t="str">
        <f t="shared" si="39"/>
        <v xml:space="preserve"> </v>
      </c>
      <c r="R146" s="25" t="str">
        <f t="shared" si="39"/>
        <v xml:space="preserve"> </v>
      </c>
      <c r="S146" s="26" t="str">
        <f t="shared" si="33"/>
        <v xml:space="preserve"> </v>
      </c>
      <c r="T146" s="7" t="str">
        <f t="shared" si="34"/>
        <v xml:space="preserve"> </v>
      </c>
      <c r="U146" s="8" t="str">
        <f t="shared" si="35"/>
        <v xml:space="preserve"> </v>
      </c>
      <c r="V146" s="9" t="str">
        <f t="shared" si="36"/>
        <v xml:space="preserve"> </v>
      </c>
      <c r="W146" s="9" t="str">
        <f t="shared" si="37"/>
        <v/>
      </c>
      <c r="X146" s="32"/>
      <c r="Y146" s="36"/>
    </row>
    <row r="147" spans="1:25" s="4" customFormat="1" ht="18" customHeight="1">
      <c r="A147" s="36"/>
      <c r="B147" s="69">
        <v>105.02</v>
      </c>
      <c r="C147" s="69" t="s">
        <v>439</v>
      </c>
      <c r="D147" s="31" t="s">
        <v>709</v>
      </c>
      <c r="E147" s="29" t="s">
        <v>34</v>
      </c>
      <c r="F147" s="28">
        <v>0.48</v>
      </c>
      <c r="G147" s="29">
        <v>0.04</v>
      </c>
      <c r="H147" s="29">
        <v>-0.04</v>
      </c>
      <c r="I147" s="30" t="s">
        <v>39</v>
      </c>
      <c r="J147" s="12">
        <f t="shared" ref="J147:J210" si="40">IF(AND(F147="",G147=""),"",IF(F147="",G147,F147+G147))</f>
        <v>0.52</v>
      </c>
      <c r="K147" s="12">
        <f t="shared" ref="K147:K210" si="41">IF(AND(F147="",H147=""),"",IF(F147="",H147,F147+H147))</f>
        <v>0.44</v>
      </c>
      <c r="L147" s="78"/>
      <c r="M147" s="78"/>
      <c r="N147" s="78"/>
      <c r="O147" s="36"/>
      <c r="P147" s="24" t="str">
        <f t="shared" si="39"/>
        <v xml:space="preserve"> </v>
      </c>
      <c r="Q147" s="25" t="str">
        <f t="shared" si="39"/>
        <v xml:space="preserve"> </v>
      </c>
      <c r="R147" s="25" t="str">
        <f t="shared" si="39"/>
        <v xml:space="preserve"> </v>
      </c>
      <c r="S147" s="26" t="str">
        <f t="shared" ref="S147:S401" si="42">IF(ISERR(L147/L147)=TRUE," ",AVERAGE(L147:N147))</f>
        <v xml:space="preserve"> </v>
      </c>
      <c r="T147" s="7" t="str">
        <f t="shared" ref="T147:T401" si="43">IF(ISERR(G147/G147)=TRUE," ",IF(ISERR(L147/L147)=TRUE," ",IF(ISNUMBER($L147)=FALSE," ",IF(MAX($L147:$N147)&lt;$F147,0,(MAX($L147:$N147)-$F147)/$G147))))</f>
        <v xml:space="preserve"> </v>
      </c>
      <c r="U147" s="8" t="str">
        <f t="shared" ref="U147:U401" si="44">IF(ISERR(H147/F147)=TRUE," ",IF(ISERR(H147/H147)=TRUE," ",IF(ISERR(L147/L147)=TRUE," ",IF(ISNUMBER(L147)=FALSE," ",IF(MIN(L147:N147)&gt;$F147,0,($F147-MIN(L147:N147))/-H147)))))</f>
        <v xml:space="preserve"> </v>
      </c>
      <c r="V147" s="9" t="str">
        <f t="shared" ref="V147:V401" si="45">IF(ISNUMBER($T147)=TRUE,IF($T147&gt;0.651,IF($T147&gt;1.001,"Reject","Alert")," ")," ")</f>
        <v xml:space="preserve"> </v>
      </c>
      <c r="W147" s="9" t="str">
        <f t="shared" ref="W147:W401" si="46">IF(L147="","",IF(ISERR(H147/H147)=TRUE," ",IF(ISERR(H147/F147)=TRUE,IF((H147-MIN(L147:N147))&gt;0.001,"Reject",""),IF(ISNUMBER($U147)=TRUE,IF($U147&gt;0.651,IF($U147&gt;1.001,"Reject","Alert")," ")," "))))</f>
        <v/>
      </c>
      <c r="X147" s="32"/>
      <c r="Y147" s="36"/>
    </row>
    <row r="148" spans="1:25" s="4" customFormat="1" ht="18" customHeight="1">
      <c r="A148" s="36"/>
      <c r="B148" s="69">
        <v>106.01</v>
      </c>
      <c r="C148" s="69" t="s">
        <v>440</v>
      </c>
      <c r="D148" s="31" t="s">
        <v>776</v>
      </c>
      <c r="E148" s="29" t="s">
        <v>34</v>
      </c>
      <c r="F148" s="28">
        <v>0.48</v>
      </c>
      <c r="G148" s="29">
        <v>0.04</v>
      </c>
      <c r="H148" s="29">
        <v>-0.04</v>
      </c>
      <c r="I148" s="30" t="s">
        <v>39</v>
      </c>
      <c r="J148" s="12">
        <f t="shared" si="40"/>
        <v>0.52</v>
      </c>
      <c r="K148" s="12">
        <f t="shared" si="41"/>
        <v>0.44</v>
      </c>
      <c r="L148" s="78"/>
      <c r="M148" s="78"/>
      <c r="N148" s="78"/>
      <c r="O148" s="36"/>
      <c r="P148" s="24" t="str">
        <f t="shared" si="39"/>
        <v xml:space="preserve"> </v>
      </c>
      <c r="Q148" s="25" t="str">
        <f t="shared" si="39"/>
        <v xml:space="preserve"> </v>
      </c>
      <c r="R148" s="25" t="str">
        <f t="shared" si="39"/>
        <v xml:space="preserve"> </v>
      </c>
      <c r="S148" s="26" t="str">
        <f t="shared" si="42"/>
        <v xml:space="preserve"> </v>
      </c>
      <c r="T148" s="7" t="str">
        <f t="shared" si="43"/>
        <v xml:space="preserve"> </v>
      </c>
      <c r="U148" s="8" t="str">
        <f t="shared" si="44"/>
        <v xml:space="preserve"> </v>
      </c>
      <c r="V148" s="9" t="str">
        <f t="shared" si="45"/>
        <v xml:space="preserve"> </v>
      </c>
      <c r="W148" s="9" t="str">
        <f t="shared" si="46"/>
        <v/>
      </c>
      <c r="X148" s="32"/>
      <c r="Y148" s="36"/>
    </row>
    <row r="149" spans="1:25" s="4" customFormat="1" ht="18" customHeight="1">
      <c r="A149" s="36"/>
      <c r="B149" s="69">
        <v>106.02</v>
      </c>
      <c r="C149" s="69" t="s">
        <v>441</v>
      </c>
      <c r="D149" s="31" t="s">
        <v>776</v>
      </c>
      <c r="E149" s="29" t="s">
        <v>34</v>
      </c>
      <c r="F149" s="28">
        <v>0.48</v>
      </c>
      <c r="G149" s="29">
        <v>0.04</v>
      </c>
      <c r="H149" s="29">
        <v>-0.04</v>
      </c>
      <c r="I149" s="30" t="s">
        <v>39</v>
      </c>
      <c r="J149" s="12">
        <f t="shared" si="40"/>
        <v>0.52</v>
      </c>
      <c r="K149" s="12">
        <f t="shared" si="41"/>
        <v>0.44</v>
      </c>
      <c r="L149" s="78"/>
      <c r="M149" s="78"/>
      <c r="N149" s="78"/>
      <c r="O149" s="36"/>
      <c r="P149" s="24" t="str">
        <f t="shared" si="39"/>
        <v xml:space="preserve"> </v>
      </c>
      <c r="Q149" s="25" t="str">
        <f t="shared" si="39"/>
        <v xml:space="preserve"> </v>
      </c>
      <c r="R149" s="25" t="str">
        <f t="shared" si="39"/>
        <v xml:space="preserve"> </v>
      </c>
      <c r="S149" s="26" t="str">
        <f t="shared" si="42"/>
        <v xml:space="preserve"> </v>
      </c>
      <c r="T149" s="7" t="str">
        <f t="shared" si="43"/>
        <v xml:space="preserve"> </v>
      </c>
      <c r="U149" s="8" t="str">
        <f t="shared" si="44"/>
        <v xml:space="preserve"> </v>
      </c>
      <c r="V149" s="9" t="str">
        <f t="shared" si="45"/>
        <v xml:space="preserve"> </v>
      </c>
      <c r="W149" s="9" t="str">
        <f t="shared" si="46"/>
        <v/>
      </c>
      <c r="X149" s="32"/>
      <c r="Y149" s="36"/>
    </row>
    <row r="150" spans="1:25" s="4" customFormat="1" ht="18" customHeight="1">
      <c r="A150" s="36"/>
      <c r="B150" s="69">
        <v>107.01</v>
      </c>
      <c r="C150" s="69" t="s">
        <v>442</v>
      </c>
      <c r="D150" s="31" t="s">
        <v>775</v>
      </c>
      <c r="E150" s="29" t="s">
        <v>34</v>
      </c>
      <c r="F150" s="28">
        <v>0.49</v>
      </c>
      <c r="G150" s="29">
        <v>0.04</v>
      </c>
      <c r="H150" s="29">
        <v>-0.04</v>
      </c>
      <c r="I150" s="30" t="s">
        <v>39</v>
      </c>
      <c r="J150" s="12">
        <f t="shared" si="40"/>
        <v>0.53</v>
      </c>
      <c r="K150" s="12">
        <f t="shared" si="41"/>
        <v>0.45</v>
      </c>
      <c r="L150" s="78"/>
      <c r="M150" s="78"/>
      <c r="N150" s="78"/>
      <c r="O150" s="36"/>
      <c r="P150" s="24" t="str">
        <f t="shared" si="39"/>
        <v xml:space="preserve"> </v>
      </c>
      <c r="Q150" s="25" t="str">
        <f t="shared" si="39"/>
        <v xml:space="preserve"> </v>
      </c>
      <c r="R150" s="25" t="str">
        <f t="shared" si="39"/>
        <v xml:space="preserve"> </v>
      </c>
      <c r="S150" s="26" t="str">
        <f t="shared" si="42"/>
        <v xml:space="preserve"> </v>
      </c>
      <c r="T150" s="7" t="str">
        <f t="shared" si="43"/>
        <v xml:space="preserve"> </v>
      </c>
      <c r="U150" s="8" t="str">
        <f t="shared" si="44"/>
        <v xml:space="preserve"> </v>
      </c>
      <c r="V150" s="9" t="str">
        <f t="shared" si="45"/>
        <v xml:space="preserve"> </v>
      </c>
      <c r="W150" s="9" t="str">
        <f t="shared" si="46"/>
        <v/>
      </c>
      <c r="X150" s="32"/>
      <c r="Y150" s="36"/>
    </row>
    <row r="151" spans="1:25" s="4" customFormat="1" ht="18" customHeight="1">
      <c r="A151" s="36"/>
      <c r="B151" s="69">
        <v>107.02</v>
      </c>
      <c r="C151" s="69" t="s">
        <v>443</v>
      </c>
      <c r="D151" s="31" t="s">
        <v>775</v>
      </c>
      <c r="E151" s="29" t="s">
        <v>34</v>
      </c>
      <c r="F151" s="28">
        <v>0.49</v>
      </c>
      <c r="G151" s="29">
        <v>0.04</v>
      </c>
      <c r="H151" s="29">
        <v>-0.04</v>
      </c>
      <c r="I151" s="30" t="s">
        <v>39</v>
      </c>
      <c r="J151" s="12">
        <f t="shared" si="40"/>
        <v>0.53</v>
      </c>
      <c r="K151" s="12">
        <f t="shared" si="41"/>
        <v>0.45</v>
      </c>
      <c r="L151" s="78"/>
      <c r="M151" s="78"/>
      <c r="N151" s="78"/>
      <c r="O151" s="36"/>
      <c r="P151" s="24" t="str">
        <f t="shared" si="39"/>
        <v xml:space="preserve"> </v>
      </c>
      <c r="Q151" s="25" t="str">
        <f t="shared" si="39"/>
        <v xml:space="preserve"> </v>
      </c>
      <c r="R151" s="25" t="str">
        <f t="shared" si="39"/>
        <v xml:space="preserve"> </v>
      </c>
      <c r="S151" s="26" t="str">
        <f t="shared" si="42"/>
        <v xml:space="preserve"> </v>
      </c>
      <c r="T151" s="7" t="str">
        <f t="shared" si="43"/>
        <v xml:space="preserve"> </v>
      </c>
      <c r="U151" s="8" t="str">
        <f t="shared" si="44"/>
        <v xml:space="preserve"> </v>
      </c>
      <c r="V151" s="9" t="str">
        <f t="shared" si="45"/>
        <v xml:space="preserve"> </v>
      </c>
      <c r="W151" s="9" t="str">
        <f t="shared" si="46"/>
        <v/>
      </c>
      <c r="X151" s="32"/>
      <c r="Y151" s="36"/>
    </row>
    <row r="152" spans="1:25" s="4" customFormat="1" ht="18" customHeight="1">
      <c r="A152" s="36"/>
      <c r="B152" s="69">
        <v>108.01</v>
      </c>
      <c r="C152" s="69" t="s">
        <v>444</v>
      </c>
      <c r="D152" s="31" t="s">
        <v>709</v>
      </c>
      <c r="E152" s="29" t="s">
        <v>34</v>
      </c>
      <c r="F152" s="28">
        <v>0.49</v>
      </c>
      <c r="G152" s="29">
        <v>0.04</v>
      </c>
      <c r="H152" s="29">
        <v>-0.04</v>
      </c>
      <c r="I152" s="30" t="s">
        <v>39</v>
      </c>
      <c r="J152" s="12">
        <f t="shared" si="40"/>
        <v>0.53</v>
      </c>
      <c r="K152" s="12">
        <f t="shared" si="41"/>
        <v>0.45</v>
      </c>
      <c r="L152" s="78"/>
      <c r="M152" s="78"/>
      <c r="N152" s="78"/>
      <c r="O152" s="36"/>
      <c r="P152" s="24" t="str">
        <f t="shared" si="39"/>
        <v xml:space="preserve"> </v>
      </c>
      <c r="Q152" s="25" t="str">
        <f t="shared" si="39"/>
        <v xml:space="preserve"> </v>
      </c>
      <c r="R152" s="25" t="str">
        <f t="shared" si="39"/>
        <v xml:space="preserve"> </v>
      </c>
      <c r="S152" s="26" t="str">
        <f t="shared" si="42"/>
        <v xml:space="preserve"> </v>
      </c>
      <c r="T152" s="7" t="str">
        <f t="shared" si="43"/>
        <v xml:space="preserve"> </v>
      </c>
      <c r="U152" s="8" t="str">
        <f t="shared" si="44"/>
        <v xml:space="preserve"> </v>
      </c>
      <c r="V152" s="9" t="str">
        <f t="shared" si="45"/>
        <v xml:space="preserve"> </v>
      </c>
      <c r="W152" s="9" t="str">
        <f t="shared" si="46"/>
        <v/>
      </c>
      <c r="X152" s="32"/>
      <c r="Y152" s="36"/>
    </row>
    <row r="153" spans="1:25" s="4" customFormat="1" ht="18" customHeight="1">
      <c r="A153" s="36"/>
      <c r="B153" s="69">
        <v>108.02</v>
      </c>
      <c r="C153" s="69" t="s">
        <v>445</v>
      </c>
      <c r="D153" s="31" t="s">
        <v>709</v>
      </c>
      <c r="E153" s="29" t="s">
        <v>34</v>
      </c>
      <c r="F153" s="28">
        <v>0.49</v>
      </c>
      <c r="G153" s="29">
        <v>0.04</v>
      </c>
      <c r="H153" s="29">
        <v>-0.04</v>
      </c>
      <c r="I153" s="30" t="s">
        <v>39</v>
      </c>
      <c r="J153" s="12">
        <f t="shared" si="40"/>
        <v>0.53</v>
      </c>
      <c r="K153" s="12">
        <f t="shared" si="41"/>
        <v>0.45</v>
      </c>
      <c r="L153" s="78"/>
      <c r="M153" s="78"/>
      <c r="N153" s="78"/>
      <c r="O153" s="36"/>
      <c r="P153" s="24" t="str">
        <f t="shared" si="39"/>
        <v xml:space="preserve"> </v>
      </c>
      <c r="Q153" s="25" t="str">
        <f t="shared" si="39"/>
        <v xml:space="preserve"> </v>
      </c>
      <c r="R153" s="25" t="str">
        <f t="shared" si="39"/>
        <v xml:space="preserve"> </v>
      </c>
      <c r="S153" s="26" t="str">
        <f t="shared" si="42"/>
        <v xml:space="preserve"> </v>
      </c>
      <c r="T153" s="7" t="str">
        <f t="shared" si="43"/>
        <v xml:space="preserve"> </v>
      </c>
      <c r="U153" s="8" t="str">
        <f t="shared" si="44"/>
        <v xml:space="preserve"> </v>
      </c>
      <c r="V153" s="9" t="str">
        <f t="shared" si="45"/>
        <v xml:space="preserve"> </v>
      </c>
      <c r="W153" s="9" t="str">
        <f t="shared" si="46"/>
        <v/>
      </c>
      <c r="X153" s="32"/>
      <c r="Y153" s="36"/>
    </row>
    <row r="154" spans="1:25" s="4" customFormat="1" ht="18" customHeight="1">
      <c r="A154" s="36"/>
      <c r="B154" s="69">
        <v>109.01</v>
      </c>
      <c r="C154" s="69" t="s">
        <v>446</v>
      </c>
      <c r="D154" s="31" t="s">
        <v>775</v>
      </c>
      <c r="E154" s="29" t="s">
        <v>34</v>
      </c>
      <c r="F154" s="28">
        <v>0.47</v>
      </c>
      <c r="G154" s="29">
        <v>0.04</v>
      </c>
      <c r="H154" s="29">
        <v>-0.04</v>
      </c>
      <c r="I154" s="30" t="s">
        <v>39</v>
      </c>
      <c r="J154" s="12">
        <f t="shared" si="40"/>
        <v>0.51</v>
      </c>
      <c r="K154" s="12">
        <f t="shared" si="41"/>
        <v>0.43</v>
      </c>
      <c r="L154" s="78"/>
      <c r="M154" s="78"/>
      <c r="N154" s="78"/>
      <c r="O154" s="36"/>
      <c r="P154" s="24" t="str">
        <f t="shared" si="39"/>
        <v xml:space="preserve"> </v>
      </c>
      <c r="Q154" s="25" t="str">
        <f t="shared" si="39"/>
        <v xml:space="preserve"> </v>
      </c>
      <c r="R154" s="25" t="str">
        <f t="shared" si="39"/>
        <v xml:space="preserve"> </v>
      </c>
      <c r="S154" s="26" t="str">
        <f t="shared" si="42"/>
        <v xml:space="preserve"> </v>
      </c>
      <c r="T154" s="7" t="str">
        <f t="shared" si="43"/>
        <v xml:space="preserve"> </v>
      </c>
      <c r="U154" s="8" t="str">
        <f t="shared" si="44"/>
        <v xml:space="preserve"> </v>
      </c>
      <c r="V154" s="9" t="str">
        <f t="shared" si="45"/>
        <v xml:space="preserve"> </v>
      </c>
      <c r="W154" s="9" t="str">
        <f t="shared" si="46"/>
        <v/>
      </c>
      <c r="X154" s="32"/>
      <c r="Y154" s="36"/>
    </row>
    <row r="155" spans="1:25" s="4" customFormat="1" ht="18" customHeight="1">
      <c r="A155" s="36"/>
      <c r="B155" s="69">
        <v>109.02</v>
      </c>
      <c r="C155" s="69" t="s">
        <v>447</v>
      </c>
      <c r="D155" s="31" t="s">
        <v>775</v>
      </c>
      <c r="E155" s="29" t="s">
        <v>34</v>
      </c>
      <c r="F155" s="28">
        <v>0.47</v>
      </c>
      <c r="G155" s="29">
        <v>0.04</v>
      </c>
      <c r="H155" s="29">
        <v>-0.04</v>
      </c>
      <c r="I155" s="30" t="s">
        <v>39</v>
      </c>
      <c r="J155" s="12">
        <f t="shared" si="40"/>
        <v>0.51</v>
      </c>
      <c r="K155" s="12">
        <f t="shared" si="41"/>
        <v>0.43</v>
      </c>
      <c r="L155" s="78"/>
      <c r="M155" s="78"/>
      <c r="N155" s="78"/>
      <c r="O155" s="36"/>
      <c r="P155" s="24" t="str">
        <f t="shared" si="39"/>
        <v xml:space="preserve"> </v>
      </c>
      <c r="Q155" s="25" t="str">
        <f t="shared" si="39"/>
        <v xml:space="preserve"> </v>
      </c>
      <c r="R155" s="25" t="str">
        <f t="shared" si="39"/>
        <v xml:space="preserve"> </v>
      </c>
      <c r="S155" s="26" t="str">
        <f t="shared" si="42"/>
        <v xml:space="preserve"> </v>
      </c>
      <c r="T155" s="7" t="str">
        <f t="shared" si="43"/>
        <v xml:space="preserve"> </v>
      </c>
      <c r="U155" s="8" t="str">
        <f t="shared" si="44"/>
        <v xml:space="preserve"> </v>
      </c>
      <c r="V155" s="9" t="str">
        <f t="shared" si="45"/>
        <v xml:space="preserve"> </v>
      </c>
      <c r="W155" s="9" t="str">
        <f t="shared" si="46"/>
        <v/>
      </c>
      <c r="X155" s="32"/>
      <c r="Y155" s="36"/>
    </row>
    <row r="156" spans="1:25" s="4" customFormat="1" ht="18" customHeight="1">
      <c r="A156" s="36"/>
      <c r="B156" s="69">
        <v>110.01</v>
      </c>
      <c r="C156" s="69" t="s">
        <v>448</v>
      </c>
      <c r="D156" s="31" t="s">
        <v>709</v>
      </c>
      <c r="E156" s="29" t="s">
        <v>34</v>
      </c>
      <c r="F156" s="28">
        <v>0.48</v>
      </c>
      <c r="G156" s="29">
        <v>0.04</v>
      </c>
      <c r="H156" s="29">
        <v>-0.04</v>
      </c>
      <c r="I156" s="30" t="s">
        <v>39</v>
      </c>
      <c r="J156" s="12">
        <f t="shared" si="40"/>
        <v>0.52</v>
      </c>
      <c r="K156" s="12">
        <f t="shared" si="41"/>
        <v>0.44</v>
      </c>
      <c r="L156" s="78"/>
      <c r="M156" s="78"/>
      <c r="N156" s="78"/>
      <c r="O156" s="36"/>
      <c r="P156" s="24" t="str">
        <f t="shared" si="39"/>
        <v xml:space="preserve"> </v>
      </c>
      <c r="Q156" s="25" t="str">
        <f t="shared" si="39"/>
        <v xml:space="preserve"> </v>
      </c>
      <c r="R156" s="25" t="str">
        <f t="shared" si="39"/>
        <v xml:space="preserve"> </v>
      </c>
      <c r="S156" s="26" t="str">
        <f t="shared" si="42"/>
        <v xml:space="preserve"> </v>
      </c>
      <c r="T156" s="7" t="str">
        <f t="shared" si="43"/>
        <v xml:space="preserve"> </v>
      </c>
      <c r="U156" s="8" t="str">
        <f t="shared" si="44"/>
        <v xml:space="preserve"> </v>
      </c>
      <c r="V156" s="9" t="str">
        <f t="shared" si="45"/>
        <v xml:space="preserve"> </v>
      </c>
      <c r="W156" s="9" t="str">
        <f t="shared" si="46"/>
        <v/>
      </c>
      <c r="X156" s="32"/>
      <c r="Y156" s="36"/>
    </row>
    <row r="157" spans="1:25" s="4" customFormat="1" ht="18" customHeight="1">
      <c r="A157" s="36"/>
      <c r="B157" s="69">
        <v>110.02</v>
      </c>
      <c r="C157" s="69" t="s">
        <v>449</v>
      </c>
      <c r="D157" s="31" t="s">
        <v>709</v>
      </c>
      <c r="E157" s="29" t="s">
        <v>34</v>
      </c>
      <c r="F157" s="28">
        <v>0.48</v>
      </c>
      <c r="G157" s="29">
        <v>0.04</v>
      </c>
      <c r="H157" s="29">
        <v>-0.04</v>
      </c>
      <c r="I157" s="30" t="s">
        <v>39</v>
      </c>
      <c r="J157" s="12">
        <f t="shared" si="40"/>
        <v>0.52</v>
      </c>
      <c r="K157" s="12">
        <f t="shared" si="41"/>
        <v>0.44</v>
      </c>
      <c r="L157" s="78"/>
      <c r="M157" s="78"/>
      <c r="N157" s="78"/>
      <c r="O157" s="36"/>
      <c r="P157" s="24" t="str">
        <f t="shared" si="39"/>
        <v xml:space="preserve"> </v>
      </c>
      <c r="Q157" s="25" t="str">
        <f t="shared" si="39"/>
        <v xml:space="preserve"> </v>
      </c>
      <c r="R157" s="25" t="str">
        <f t="shared" si="39"/>
        <v xml:space="preserve"> </v>
      </c>
      <c r="S157" s="26" t="str">
        <f t="shared" si="42"/>
        <v xml:space="preserve"> </v>
      </c>
      <c r="T157" s="7" t="str">
        <f t="shared" si="43"/>
        <v xml:space="preserve"> </v>
      </c>
      <c r="U157" s="8" t="str">
        <f t="shared" si="44"/>
        <v xml:space="preserve"> </v>
      </c>
      <c r="V157" s="9" t="str">
        <f t="shared" si="45"/>
        <v xml:space="preserve"> </v>
      </c>
      <c r="W157" s="9" t="str">
        <f t="shared" si="46"/>
        <v/>
      </c>
      <c r="X157" s="32"/>
      <c r="Y157" s="36"/>
    </row>
    <row r="158" spans="1:25" s="4" customFormat="1" ht="18" customHeight="1">
      <c r="A158" s="36"/>
      <c r="B158" s="69">
        <v>111.01</v>
      </c>
      <c r="C158" s="69" t="s">
        <v>450</v>
      </c>
      <c r="D158" s="31" t="s">
        <v>709</v>
      </c>
      <c r="E158" s="29" t="s">
        <v>34</v>
      </c>
      <c r="F158" s="28">
        <v>0.47</v>
      </c>
      <c r="G158" s="29">
        <v>0.04</v>
      </c>
      <c r="H158" s="29">
        <v>-0.04</v>
      </c>
      <c r="I158" s="30" t="s">
        <v>39</v>
      </c>
      <c r="J158" s="12">
        <f t="shared" si="40"/>
        <v>0.51</v>
      </c>
      <c r="K158" s="12">
        <f t="shared" si="41"/>
        <v>0.43</v>
      </c>
      <c r="L158" s="78"/>
      <c r="M158" s="78"/>
      <c r="N158" s="78"/>
      <c r="O158" s="36"/>
      <c r="P158" s="24" t="str">
        <f t="shared" si="39"/>
        <v xml:space="preserve"> </v>
      </c>
      <c r="Q158" s="25" t="str">
        <f t="shared" si="39"/>
        <v xml:space="preserve"> </v>
      </c>
      <c r="R158" s="25" t="str">
        <f t="shared" si="39"/>
        <v xml:space="preserve"> </v>
      </c>
      <c r="S158" s="26" t="str">
        <f t="shared" si="42"/>
        <v xml:space="preserve"> </v>
      </c>
      <c r="T158" s="7" t="str">
        <f t="shared" si="43"/>
        <v xml:space="preserve"> </v>
      </c>
      <c r="U158" s="8" t="str">
        <f t="shared" si="44"/>
        <v xml:space="preserve"> </v>
      </c>
      <c r="V158" s="9" t="str">
        <f t="shared" si="45"/>
        <v xml:space="preserve"> </v>
      </c>
      <c r="W158" s="9" t="str">
        <f t="shared" si="46"/>
        <v/>
      </c>
      <c r="X158" s="32"/>
      <c r="Y158" s="36"/>
    </row>
    <row r="159" spans="1:25" s="4" customFormat="1" ht="18" customHeight="1">
      <c r="A159" s="36"/>
      <c r="B159" s="69">
        <v>111.02</v>
      </c>
      <c r="C159" s="69" t="s">
        <v>451</v>
      </c>
      <c r="D159" s="31" t="s">
        <v>709</v>
      </c>
      <c r="E159" s="29" t="s">
        <v>34</v>
      </c>
      <c r="F159" s="28">
        <v>0.47</v>
      </c>
      <c r="G159" s="29">
        <v>0.04</v>
      </c>
      <c r="H159" s="29">
        <v>-0.04</v>
      </c>
      <c r="I159" s="30" t="s">
        <v>39</v>
      </c>
      <c r="J159" s="12">
        <f t="shared" si="40"/>
        <v>0.51</v>
      </c>
      <c r="K159" s="12">
        <f t="shared" si="41"/>
        <v>0.43</v>
      </c>
      <c r="L159" s="78"/>
      <c r="M159" s="78"/>
      <c r="N159" s="78"/>
      <c r="O159" s="36"/>
      <c r="P159" s="24" t="str">
        <f t="shared" si="39"/>
        <v xml:space="preserve"> </v>
      </c>
      <c r="Q159" s="25" t="str">
        <f t="shared" si="39"/>
        <v xml:space="preserve"> </v>
      </c>
      <c r="R159" s="25" t="str">
        <f t="shared" si="39"/>
        <v xml:space="preserve"> </v>
      </c>
      <c r="S159" s="26" t="str">
        <f t="shared" si="42"/>
        <v xml:space="preserve"> </v>
      </c>
      <c r="T159" s="7" t="str">
        <f t="shared" si="43"/>
        <v xml:space="preserve"> </v>
      </c>
      <c r="U159" s="8" t="str">
        <f t="shared" si="44"/>
        <v xml:space="preserve"> </v>
      </c>
      <c r="V159" s="9" t="str">
        <f t="shared" si="45"/>
        <v xml:space="preserve"> </v>
      </c>
      <c r="W159" s="9" t="str">
        <f t="shared" si="46"/>
        <v/>
      </c>
      <c r="X159" s="32"/>
      <c r="Y159" s="36"/>
    </row>
    <row r="160" spans="1:25" s="4" customFormat="1" ht="18" customHeight="1">
      <c r="A160" s="36"/>
      <c r="B160" s="69">
        <v>112.01</v>
      </c>
      <c r="C160" s="69" t="s">
        <v>452</v>
      </c>
      <c r="D160" s="31" t="s">
        <v>709</v>
      </c>
      <c r="E160" s="29" t="s">
        <v>34</v>
      </c>
      <c r="F160" s="28">
        <v>0.46</v>
      </c>
      <c r="G160" s="29">
        <v>0.04</v>
      </c>
      <c r="H160" s="29">
        <v>-0.04</v>
      </c>
      <c r="I160" s="30" t="s">
        <v>39</v>
      </c>
      <c r="J160" s="12">
        <f t="shared" si="40"/>
        <v>0.5</v>
      </c>
      <c r="K160" s="12">
        <f t="shared" si="41"/>
        <v>0.42000000000000004</v>
      </c>
      <c r="L160" s="78"/>
      <c r="M160" s="78"/>
      <c r="N160" s="78"/>
      <c r="O160" s="36"/>
      <c r="P160" s="24" t="str">
        <f t="shared" si="39"/>
        <v xml:space="preserve"> </v>
      </c>
      <c r="Q160" s="25" t="str">
        <f t="shared" si="39"/>
        <v xml:space="preserve"> </v>
      </c>
      <c r="R160" s="25" t="str">
        <f t="shared" si="39"/>
        <v xml:space="preserve"> </v>
      </c>
      <c r="S160" s="26" t="str">
        <f t="shared" si="42"/>
        <v xml:space="preserve"> </v>
      </c>
      <c r="T160" s="7" t="str">
        <f t="shared" si="43"/>
        <v xml:space="preserve"> </v>
      </c>
      <c r="U160" s="8" t="str">
        <f t="shared" si="44"/>
        <v xml:space="preserve"> </v>
      </c>
      <c r="V160" s="9" t="str">
        <f t="shared" si="45"/>
        <v xml:space="preserve"> </v>
      </c>
      <c r="W160" s="9" t="str">
        <f t="shared" si="46"/>
        <v/>
      </c>
      <c r="X160" s="32"/>
      <c r="Y160" s="36"/>
    </row>
    <row r="161" spans="1:25" s="4" customFormat="1" ht="18" customHeight="1">
      <c r="A161" s="36"/>
      <c r="B161" s="69">
        <v>112.02</v>
      </c>
      <c r="C161" s="69" t="s">
        <v>453</v>
      </c>
      <c r="D161" s="31" t="s">
        <v>709</v>
      </c>
      <c r="E161" s="29" t="s">
        <v>34</v>
      </c>
      <c r="F161" s="28">
        <v>0.46</v>
      </c>
      <c r="G161" s="29">
        <v>0.04</v>
      </c>
      <c r="H161" s="29">
        <v>-0.04</v>
      </c>
      <c r="I161" s="30" t="s">
        <v>39</v>
      </c>
      <c r="J161" s="12">
        <f t="shared" si="40"/>
        <v>0.5</v>
      </c>
      <c r="K161" s="12">
        <f t="shared" si="41"/>
        <v>0.42000000000000004</v>
      </c>
      <c r="L161" s="78"/>
      <c r="M161" s="78"/>
      <c r="N161" s="78"/>
      <c r="O161" s="36"/>
      <c r="P161" s="24" t="str">
        <f t="shared" si="39"/>
        <v xml:space="preserve"> </v>
      </c>
      <c r="Q161" s="25" t="str">
        <f t="shared" si="39"/>
        <v xml:space="preserve"> </v>
      </c>
      <c r="R161" s="25" t="str">
        <f t="shared" si="39"/>
        <v xml:space="preserve"> </v>
      </c>
      <c r="S161" s="26" t="str">
        <f t="shared" si="42"/>
        <v xml:space="preserve"> </v>
      </c>
      <c r="T161" s="7" t="str">
        <f t="shared" si="43"/>
        <v xml:space="preserve"> </v>
      </c>
      <c r="U161" s="8" t="str">
        <f t="shared" si="44"/>
        <v xml:space="preserve"> </v>
      </c>
      <c r="V161" s="9" t="str">
        <f t="shared" si="45"/>
        <v xml:space="preserve"> </v>
      </c>
      <c r="W161" s="9" t="str">
        <f t="shared" si="46"/>
        <v/>
      </c>
      <c r="X161" s="32"/>
      <c r="Y161" s="36"/>
    </row>
    <row r="162" spans="1:25" s="4" customFormat="1" ht="18" customHeight="1">
      <c r="A162" s="36"/>
      <c r="B162" s="69">
        <v>113.01</v>
      </c>
      <c r="C162" s="69" t="s">
        <v>454</v>
      </c>
      <c r="D162" s="31" t="s">
        <v>775</v>
      </c>
      <c r="E162" s="29" t="s">
        <v>34</v>
      </c>
      <c r="F162" s="28">
        <v>0.46</v>
      </c>
      <c r="G162" s="29">
        <v>0.04</v>
      </c>
      <c r="H162" s="29">
        <v>-0.04</v>
      </c>
      <c r="I162" s="30" t="s">
        <v>39</v>
      </c>
      <c r="J162" s="12">
        <f t="shared" si="40"/>
        <v>0.5</v>
      </c>
      <c r="K162" s="12">
        <f t="shared" si="41"/>
        <v>0.42000000000000004</v>
      </c>
      <c r="L162" s="78"/>
      <c r="M162" s="78"/>
      <c r="N162" s="78"/>
      <c r="O162" s="36"/>
      <c r="P162" s="24" t="str">
        <f t="shared" si="39"/>
        <v xml:space="preserve"> </v>
      </c>
      <c r="Q162" s="25" t="str">
        <f t="shared" si="39"/>
        <v xml:space="preserve"> </v>
      </c>
      <c r="R162" s="25" t="str">
        <f t="shared" si="39"/>
        <v xml:space="preserve"> </v>
      </c>
      <c r="S162" s="26" t="str">
        <f t="shared" si="42"/>
        <v xml:space="preserve"> </v>
      </c>
      <c r="T162" s="7" t="str">
        <f t="shared" si="43"/>
        <v xml:space="preserve"> </v>
      </c>
      <c r="U162" s="8" t="str">
        <f t="shared" si="44"/>
        <v xml:space="preserve"> </v>
      </c>
      <c r="V162" s="9" t="str">
        <f t="shared" si="45"/>
        <v xml:space="preserve"> </v>
      </c>
      <c r="W162" s="9" t="str">
        <f t="shared" si="46"/>
        <v/>
      </c>
      <c r="X162" s="32"/>
      <c r="Y162" s="36"/>
    </row>
    <row r="163" spans="1:25" s="4" customFormat="1" ht="18" customHeight="1">
      <c r="A163" s="36"/>
      <c r="B163" s="69">
        <v>113.02</v>
      </c>
      <c r="C163" s="69" t="s">
        <v>455</v>
      </c>
      <c r="D163" s="31" t="s">
        <v>775</v>
      </c>
      <c r="E163" s="29" t="s">
        <v>34</v>
      </c>
      <c r="F163" s="28">
        <v>0.46</v>
      </c>
      <c r="G163" s="29">
        <v>0.04</v>
      </c>
      <c r="H163" s="29">
        <v>-0.04</v>
      </c>
      <c r="I163" s="30" t="s">
        <v>39</v>
      </c>
      <c r="J163" s="12">
        <f t="shared" si="40"/>
        <v>0.5</v>
      </c>
      <c r="K163" s="12">
        <f t="shared" si="41"/>
        <v>0.42000000000000004</v>
      </c>
      <c r="L163" s="78"/>
      <c r="M163" s="78"/>
      <c r="N163" s="78"/>
      <c r="O163" s="36"/>
      <c r="P163" s="24" t="str">
        <f t="shared" si="39"/>
        <v xml:space="preserve"> </v>
      </c>
      <c r="Q163" s="25" t="str">
        <f t="shared" si="39"/>
        <v xml:space="preserve"> </v>
      </c>
      <c r="R163" s="25" t="str">
        <f t="shared" si="39"/>
        <v xml:space="preserve"> </v>
      </c>
      <c r="S163" s="26" t="str">
        <f t="shared" si="42"/>
        <v xml:space="preserve"> </v>
      </c>
      <c r="T163" s="7" t="str">
        <f t="shared" si="43"/>
        <v xml:space="preserve"> </v>
      </c>
      <c r="U163" s="8" t="str">
        <f t="shared" si="44"/>
        <v xml:space="preserve"> </v>
      </c>
      <c r="V163" s="9" t="str">
        <f t="shared" si="45"/>
        <v xml:space="preserve"> </v>
      </c>
      <c r="W163" s="9" t="str">
        <f t="shared" si="46"/>
        <v/>
      </c>
      <c r="X163" s="32"/>
      <c r="Y163" s="36"/>
    </row>
    <row r="164" spans="1:25" s="4" customFormat="1" ht="18" customHeight="1">
      <c r="A164" s="36"/>
      <c r="B164" s="69">
        <v>114.01</v>
      </c>
      <c r="C164" s="69" t="s">
        <v>292</v>
      </c>
      <c r="D164" s="31" t="s">
        <v>775</v>
      </c>
      <c r="E164" s="29" t="s">
        <v>34</v>
      </c>
      <c r="F164" s="28">
        <v>0.45</v>
      </c>
      <c r="G164" s="29">
        <v>0.04</v>
      </c>
      <c r="H164" s="29">
        <v>-0.04</v>
      </c>
      <c r="I164" s="30" t="s">
        <v>39</v>
      </c>
      <c r="J164" s="12">
        <f t="shared" si="40"/>
        <v>0.49</v>
      </c>
      <c r="K164" s="12">
        <f t="shared" si="41"/>
        <v>0.41000000000000003</v>
      </c>
      <c r="L164" s="78"/>
      <c r="M164" s="78"/>
      <c r="N164" s="78"/>
      <c r="O164" s="36"/>
      <c r="P164" s="24" t="str">
        <f t="shared" si="39"/>
        <v xml:space="preserve"> </v>
      </c>
      <c r="Q164" s="25" t="str">
        <f t="shared" si="39"/>
        <v xml:space="preserve"> </v>
      </c>
      <c r="R164" s="25" t="str">
        <f t="shared" si="39"/>
        <v xml:space="preserve"> </v>
      </c>
      <c r="S164" s="26" t="str">
        <f t="shared" si="42"/>
        <v xml:space="preserve"> </v>
      </c>
      <c r="T164" s="7" t="str">
        <f t="shared" si="43"/>
        <v xml:space="preserve"> </v>
      </c>
      <c r="U164" s="8" t="str">
        <f t="shared" si="44"/>
        <v xml:space="preserve"> </v>
      </c>
      <c r="V164" s="9" t="str">
        <f t="shared" si="45"/>
        <v xml:space="preserve"> </v>
      </c>
      <c r="W164" s="9" t="str">
        <f t="shared" si="46"/>
        <v/>
      </c>
      <c r="X164" s="32"/>
      <c r="Y164" s="36"/>
    </row>
    <row r="165" spans="1:25" s="4" customFormat="1" ht="18" customHeight="1">
      <c r="A165" s="36"/>
      <c r="B165" s="69">
        <v>114.02</v>
      </c>
      <c r="C165" s="69" t="s">
        <v>293</v>
      </c>
      <c r="D165" s="31" t="s">
        <v>775</v>
      </c>
      <c r="E165" s="29" t="s">
        <v>34</v>
      </c>
      <c r="F165" s="28">
        <v>0.45</v>
      </c>
      <c r="G165" s="29">
        <v>0.04</v>
      </c>
      <c r="H165" s="29">
        <v>-0.04</v>
      </c>
      <c r="I165" s="30" t="s">
        <v>39</v>
      </c>
      <c r="J165" s="12">
        <f t="shared" si="40"/>
        <v>0.49</v>
      </c>
      <c r="K165" s="12">
        <f t="shared" si="41"/>
        <v>0.41000000000000003</v>
      </c>
      <c r="L165" s="78"/>
      <c r="M165" s="78"/>
      <c r="N165" s="78"/>
      <c r="O165" s="36"/>
      <c r="P165" s="24" t="str">
        <f t="shared" si="39"/>
        <v xml:space="preserve"> </v>
      </c>
      <c r="Q165" s="25" t="str">
        <f t="shared" si="39"/>
        <v xml:space="preserve"> </v>
      </c>
      <c r="R165" s="25" t="str">
        <f t="shared" si="39"/>
        <v xml:space="preserve"> </v>
      </c>
      <c r="S165" s="26" t="str">
        <f t="shared" si="42"/>
        <v xml:space="preserve"> </v>
      </c>
      <c r="T165" s="7" t="str">
        <f t="shared" si="43"/>
        <v xml:space="preserve"> </v>
      </c>
      <c r="U165" s="8" t="str">
        <f t="shared" si="44"/>
        <v xml:space="preserve"> </v>
      </c>
      <c r="V165" s="9" t="str">
        <f t="shared" si="45"/>
        <v xml:space="preserve"> </v>
      </c>
      <c r="W165" s="9" t="str">
        <f t="shared" si="46"/>
        <v/>
      </c>
      <c r="X165" s="32"/>
      <c r="Y165" s="36"/>
    </row>
    <row r="166" spans="1:25" s="4" customFormat="1" ht="18" customHeight="1">
      <c r="A166" s="36"/>
      <c r="B166" s="69">
        <v>115.01</v>
      </c>
      <c r="C166" s="69" t="s">
        <v>458</v>
      </c>
      <c r="D166" s="31" t="s">
        <v>709</v>
      </c>
      <c r="E166" s="29" t="s">
        <v>34</v>
      </c>
      <c r="F166" s="28">
        <v>0.43</v>
      </c>
      <c r="G166" s="29">
        <v>0.04</v>
      </c>
      <c r="H166" s="29">
        <v>-0.04</v>
      </c>
      <c r="I166" s="30" t="s">
        <v>39</v>
      </c>
      <c r="J166" s="12">
        <f t="shared" si="40"/>
        <v>0.47</v>
      </c>
      <c r="K166" s="12">
        <f t="shared" si="41"/>
        <v>0.39</v>
      </c>
      <c r="L166" s="78"/>
      <c r="M166" s="78"/>
      <c r="N166" s="78"/>
      <c r="O166" s="36"/>
      <c r="P166" s="24" t="str">
        <f t="shared" si="39"/>
        <v xml:space="preserve"> </v>
      </c>
      <c r="Q166" s="25" t="str">
        <f t="shared" si="39"/>
        <v xml:space="preserve"> </v>
      </c>
      <c r="R166" s="25" t="str">
        <f t="shared" si="39"/>
        <v xml:space="preserve"> </v>
      </c>
      <c r="S166" s="26" t="str">
        <f t="shared" si="42"/>
        <v xml:space="preserve"> </v>
      </c>
      <c r="T166" s="7" t="str">
        <f t="shared" si="43"/>
        <v xml:space="preserve"> </v>
      </c>
      <c r="U166" s="8" t="str">
        <f t="shared" si="44"/>
        <v xml:space="preserve"> </v>
      </c>
      <c r="V166" s="9" t="str">
        <f t="shared" si="45"/>
        <v xml:space="preserve"> </v>
      </c>
      <c r="W166" s="9" t="str">
        <f t="shared" si="46"/>
        <v/>
      </c>
      <c r="X166" s="32"/>
      <c r="Y166" s="36"/>
    </row>
    <row r="167" spans="1:25" s="4" customFormat="1" ht="18" customHeight="1">
      <c r="A167" s="36"/>
      <c r="B167" s="69">
        <v>115.02</v>
      </c>
      <c r="C167" s="69" t="s">
        <v>459</v>
      </c>
      <c r="D167" s="31" t="s">
        <v>709</v>
      </c>
      <c r="E167" s="29" t="s">
        <v>34</v>
      </c>
      <c r="F167" s="28">
        <v>0.43</v>
      </c>
      <c r="G167" s="29">
        <v>0.04</v>
      </c>
      <c r="H167" s="29">
        <v>-0.04</v>
      </c>
      <c r="I167" s="30" t="s">
        <v>39</v>
      </c>
      <c r="J167" s="12">
        <f t="shared" si="40"/>
        <v>0.47</v>
      </c>
      <c r="K167" s="12">
        <f t="shared" si="41"/>
        <v>0.39</v>
      </c>
      <c r="L167" s="78"/>
      <c r="M167" s="78"/>
      <c r="N167" s="78"/>
      <c r="O167" s="36"/>
      <c r="P167" s="24" t="str">
        <f t="shared" si="39"/>
        <v xml:space="preserve"> </v>
      </c>
      <c r="Q167" s="25" t="str">
        <f t="shared" si="39"/>
        <v xml:space="preserve"> </v>
      </c>
      <c r="R167" s="25" t="str">
        <f t="shared" si="39"/>
        <v xml:space="preserve"> </v>
      </c>
      <c r="S167" s="26" t="str">
        <f t="shared" si="42"/>
        <v xml:space="preserve"> </v>
      </c>
      <c r="T167" s="7" t="str">
        <f t="shared" si="43"/>
        <v xml:space="preserve"> </v>
      </c>
      <c r="U167" s="8" t="str">
        <f t="shared" si="44"/>
        <v xml:space="preserve"> </v>
      </c>
      <c r="V167" s="9" t="str">
        <f t="shared" si="45"/>
        <v xml:space="preserve"> </v>
      </c>
      <c r="W167" s="9" t="str">
        <f t="shared" si="46"/>
        <v/>
      </c>
      <c r="X167" s="32"/>
      <c r="Y167" s="36"/>
    </row>
    <row r="168" spans="1:25" s="4" customFormat="1" ht="18" customHeight="1">
      <c r="A168" s="36"/>
      <c r="B168" s="69">
        <v>116.01</v>
      </c>
      <c r="C168" s="69" t="s">
        <v>460</v>
      </c>
      <c r="D168" s="31" t="s">
        <v>709</v>
      </c>
      <c r="E168" s="29" t="s">
        <v>34</v>
      </c>
      <c r="F168" s="28">
        <v>0.43</v>
      </c>
      <c r="G168" s="29">
        <v>0.04</v>
      </c>
      <c r="H168" s="29">
        <v>-0.04</v>
      </c>
      <c r="I168" s="30" t="s">
        <v>39</v>
      </c>
      <c r="J168" s="12">
        <f t="shared" si="40"/>
        <v>0.47</v>
      </c>
      <c r="K168" s="12">
        <f t="shared" si="41"/>
        <v>0.39</v>
      </c>
      <c r="L168" s="78"/>
      <c r="M168" s="78"/>
      <c r="N168" s="78"/>
      <c r="O168" s="36"/>
      <c r="P168" s="24" t="str">
        <f t="shared" si="39"/>
        <v xml:space="preserve"> </v>
      </c>
      <c r="Q168" s="25" t="str">
        <f t="shared" si="39"/>
        <v xml:space="preserve"> </v>
      </c>
      <c r="R168" s="25" t="str">
        <f t="shared" si="39"/>
        <v xml:space="preserve"> </v>
      </c>
      <c r="S168" s="26" t="str">
        <f t="shared" si="42"/>
        <v xml:space="preserve"> </v>
      </c>
      <c r="T168" s="7" t="str">
        <f t="shared" si="43"/>
        <v xml:space="preserve"> </v>
      </c>
      <c r="U168" s="8" t="str">
        <f t="shared" si="44"/>
        <v xml:space="preserve"> </v>
      </c>
      <c r="V168" s="9" t="str">
        <f t="shared" si="45"/>
        <v xml:space="preserve"> </v>
      </c>
      <c r="W168" s="9" t="str">
        <f t="shared" si="46"/>
        <v/>
      </c>
      <c r="X168" s="32"/>
      <c r="Y168" s="36"/>
    </row>
    <row r="169" spans="1:25" s="4" customFormat="1" ht="18" customHeight="1">
      <c r="A169" s="36"/>
      <c r="B169" s="69">
        <v>116.02</v>
      </c>
      <c r="C169" s="69" t="s">
        <v>461</v>
      </c>
      <c r="D169" s="31" t="s">
        <v>709</v>
      </c>
      <c r="E169" s="29" t="s">
        <v>34</v>
      </c>
      <c r="F169" s="28">
        <v>0.43</v>
      </c>
      <c r="G169" s="29">
        <v>0.04</v>
      </c>
      <c r="H169" s="29">
        <v>-0.04</v>
      </c>
      <c r="I169" s="30" t="s">
        <v>39</v>
      </c>
      <c r="J169" s="12">
        <f t="shared" si="40"/>
        <v>0.47</v>
      </c>
      <c r="K169" s="12">
        <f t="shared" si="41"/>
        <v>0.39</v>
      </c>
      <c r="L169" s="78"/>
      <c r="M169" s="78"/>
      <c r="N169" s="78"/>
      <c r="O169" s="36"/>
      <c r="P169" s="24" t="str">
        <f t="shared" si="39"/>
        <v xml:space="preserve"> </v>
      </c>
      <c r="Q169" s="25" t="str">
        <f t="shared" si="39"/>
        <v xml:space="preserve"> </v>
      </c>
      <c r="R169" s="25" t="str">
        <f t="shared" si="39"/>
        <v xml:space="preserve"> </v>
      </c>
      <c r="S169" s="26" t="str">
        <f t="shared" si="42"/>
        <v xml:space="preserve"> </v>
      </c>
      <c r="T169" s="7" t="str">
        <f t="shared" si="43"/>
        <v xml:space="preserve"> </v>
      </c>
      <c r="U169" s="8" t="str">
        <f t="shared" si="44"/>
        <v xml:space="preserve"> </v>
      </c>
      <c r="V169" s="9" t="str">
        <f t="shared" si="45"/>
        <v xml:space="preserve"> </v>
      </c>
      <c r="W169" s="9" t="str">
        <f t="shared" si="46"/>
        <v/>
      </c>
      <c r="X169" s="32"/>
      <c r="Y169" s="36"/>
    </row>
    <row r="170" spans="1:25" s="4" customFormat="1" ht="18" customHeight="1">
      <c r="A170" s="36"/>
      <c r="B170" s="69">
        <v>117.01</v>
      </c>
      <c r="C170" s="69" t="s">
        <v>462</v>
      </c>
      <c r="D170" s="31" t="s">
        <v>708</v>
      </c>
      <c r="E170" s="29" t="s">
        <v>34</v>
      </c>
      <c r="F170" s="28">
        <v>0.7</v>
      </c>
      <c r="G170" s="29">
        <v>0.04</v>
      </c>
      <c r="H170" s="29">
        <v>-0.04</v>
      </c>
      <c r="I170" s="30" t="s">
        <v>39</v>
      </c>
      <c r="J170" s="12">
        <f t="shared" si="40"/>
        <v>0.74</v>
      </c>
      <c r="K170" s="12">
        <f t="shared" si="41"/>
        <v>0.65999999999999992</v>
      </c>
      <c r="L170" s="78"/>
      <c r="M170" s="78"/>
      <c r="N170" s="78"/>
      <c r="O170" s="36"/>
      <c r="P170" s="24" t="str">
        <f t="shared" si="39"/>
        <v xml:space="preserve"> </v>
      </c>
      <c r="Q170" s="25" t="str">
        <f t="shared" si="39"/>
        <v xml:space="preserve"> </v>
      </c>
      <c r="R170" s="25" t="str">
        <f t="shared" si="39"/>
        <v xml:space="preserve"> </v>
      </c>
      <c r="S170" s="26" t="str">
        <f t="shared" si="42"/>
        <v xml:space="preserve"> </v>
      </c>
      <c r="T170" s="7" t="str">
        <f t="shared" si="43"/>
        <v xml:space="preserve"> </v>
      </c>
      <c r="U170" s="8" t="str">
        <f t="shared" si="44"/>
        <v xml:space="preserve"> </v>
      </c>
      <c r="V170" s="9" t="str">
        <f t="shared" si="45"/>
        <v xml:space="preserve"> </v>
      </c>
      <c r="W170" s="9" t="str">
        <f t="shared" si="46"/>
        <v/>
      </c>
      <c r="X170" s="32"/>
      <c r="Y170" s="36"/>
    </row>
    <row r="171" spans="1:25" s="4" customFormat="1" ht="18" customHeight="1">
      <c r="A171" s="36"/>
      <c r="B171" s="69">
        <v>117.02</v>
      </c>
      <c r="C171" s="69" t="s">
        <v>463</v>
      </c>
      <c r="D171" s="31" t="s">
        <v>708</v>
      </c>
      <c r="E171" s="29" t="s">
        <v>34</v>
      </c>
      <c r="F171" s="28">
        <v>0.7</v>
      </c>
      <c r="G171" s="29">
        <v>0.04</v>
      </c>
      <c r="H171" s="29">
        <v>-0.04</v>
      </c>
      <c r="I171" s="30" t="s">
        <v>39</v>
      </c>
      <c r="J171" s="12">
        <f t="shared" si="40"/>
        <v>0.74</v>
      </c>
      <c r="K171" s="12">
        <f t="shared" si="41"/>
        <v>0.65999999999999992</v>
      </c>
      <c r="L171" s="78"/>
      <c r="M171" s="78"/>
      <c r="N171" s="78"/>
      <c r="O171" s="36"/>
      <c r="P171" s="24" t="str">
        <f t="shared" si="39"/>
        <v xml:space="preserve"> </v>
      </c>
      <c r="Q171" s="25" t="str">
        <f t="shared" si="39"/>
        <v xml:space="preserve"> </v>
      </c>
      <c r="R171" s="25" t="str">
        <f t="shared" si="39"/>
        <v xml:space="preserve"> </v>
      </c>
      <c r="S171" s="26" t="str">
        <f t="shared" si="42"/>
        <v xml:space="preserve"> </v>
      </c>
      <c r="T171" s="7" t="str">
        <f t="shared" si="43"/>
        <v xml:space="preserve"> </v>
      </c>
      <c r="U171" s="8" t="str">
        <f t="shared" si="44"/>
        <v xml:space="preserve"> </v>
      </c>
      <c r="V171" s="9" t="str">
        <f t="shared" si="45"/>
        <v xml:space="preserve"> </v>
      </c>
      <c r="W171" s="9" t="str">
        <f t="shared" si="46"/>
        <v/>
      </c>
      <c r="X171" s="32"/>
      <c r="Y171" s="36"/>
    </row>
    <row r="172" spans="1:25" s="4" customFormat="1" ht="18" customHeight="1">
      <c r="A172" s="36"/>
      <c r="B172" s="69">
        <v>117.03</v>
      </c>
      <c r="C172" s="69" t="s">
        <v>464</v>
      </c>
      <c r="D172" s="31" t="s">
        <v>708</v>
      </c>
      <c r="E172" s="29" t="s">
        <v>34</v>
      </c>
      <c r="F172" s="28">
        <v>0.7</v>
      </c>
      <c r="G172" s="29">
        <v>0.04</v>
      </c>
      <c r="H172" s="29">
        <v>-0.04</v>
      </c>
      <c r="I172" s="30" t="s">
        <v>39</v>
      </c>
      <c r="J172" s="12">
        <f t="shared" si="40"/>
        <v>0.74</v>
      </c>
      <c r="K172" s="12">
        <f t="shared" si="41"/>
        <v>0.65999999999999992</v>
      </c>
      <c r="L172" s="78"/>
      <c r="M172" s="78"/>
      <c r="N172" s="78"/>
      <c r="O172" s="36"/>
      <c r="P172" s="24" t="str">
        <f t="shared" si="39"/>
        <v xml:space="preserve"> </v>
      </c>
      <c r="Q172" s="25" t="str">
        <f t="shared" si="39"/>
        <v xml:space="preserve"> </v>
      </c>
      <c r="R172" s="25" t="str">
        <f t="shared" si="39"/>
        <v xml:space="preserve"> </v>
      </c>
      <c r="S172" s="26" t="str">
        <f t="shared" si="42"/>
        <v xml:space="preserve"> </v>
      </c>
      <c r="T172" s="7" t="str">
        <f t="shared" si="43"/>
        <v xml:space="preserve"> </v>
      </c>
      <c r="U172" s="8" t="str">
        <f t="shared" si="44"/>
        <v xml:space="preserve"> </v>
      </c>
      <c r="V172" s="9" t="str">
        <f t="shared" si="45"/>
        <v xml:space="preserve"> </v>
      </c>
      <c r="W172" s="9" t="str">
        <f t="shared" si="46"/>
        <v/>
      </c>
      <c r="X172" s="32"/>
      <c r="Y172" s="36"/>
    </row>
    <row r="173" spans="1:25" s="4" customFormat="1" ht="18" customHeight="1">
      <c r="A173" s="36"/>
      <c r="B173" s="69">
        <v>117.04</v>
      </c>
      <c r="C173" s="69" t="s">
        <v>465</v>
      </c>
      <c r="D173" s="31" t="s">
        <v>708</v>
      </c>
      <c r="E173" s="29" t="s">
        <v>34</v>
      </c>
      <c r="F173" s="28">
        <v>0.7</v>
      </c>
      <c r="G173" s="29">
        <v>0.04</v>
      </c>
      <c r="H173" s="29">
        <v>-0.04</v>
      </c>
      <c r="I173" s="30" t="s">
        <v>39</v>
      </c>
      <c r="J173" s="12">
        <f t="shared" si="40"/>
        <v>0.74</v>
      </c>
      <c r="K173" s="12">
        <f t="shared" si="41"/>
        <v>0.65999999999999992</v>
      </c>
      <c r="L173" s="78"/>
      <c r="M173" s="78"/>
      <c r="N173" s="78"/>
      <c r="O173" s="36"/>
      <c r="P173" s="24" t="str">
        <f t="shared" si="39"/>
        <v xml:space="preserve"> </v>
      </c>
      <c r="Q173" s="25" t="str">
        <f t="shared" si="39"/>
        <v xml:space="preserve"> </v>
      </c>
      <c r="R173" s="25" t="str">
        <f t="shared" si="39"/>
        <v xml:space="preserve"> </v>
      </c>
      <c r="S173" s="26" t="str">
        <f t="shared" si="42"/>
        <v xml:space="preserve"> </v>
      </c>
      <c r="T173" s="7" t="str">
        <f t="shared" si="43"/>
        <v xml:space="preserve"> </v>
      </c>
      <c r="U173" s="8" t="str">
        <f t="shared" si="44"/>
        <v xml:space="preserve"> </v>
      </c>
      <c r="V173" s="9" t="str">
        <f t="shared" si="45"/>
        <v xml:space="preserve"> </v>
      </c>
      <c r="W173" s="9" t="str">
        <f t="shared" si="46"/>
        <v/>
      </c>
      <c r="X173" s="32"/>
      <c r="Y173" s="36"/>
    </row>
    <row r="174" spans="1:25" s="4" customFormat="1" ht="18" customHeight="1">
      <c r="A174" s="36"/>
      <c r="B174" s="69">
        <v>117.05</v>
      </c>
      <c r="C174" s="69" t="s">
        <v>466</v>
      </c>
      <c r="D174" s="31" t="s">
        <v>708</v>
      </c>
      <c r="E174" s="29" t="s">
        <v>34</v>
      </c>
      <c r="F174" s="28">
        <v>0.7</v>
      </c>
      <c r="G174" s="29">
        <v>0.04</v>
      </c>
      <c r="H174" s="29">
        <v>-0.04</v>
      </c>
      <c r="I174" s="30" t="s">
        <v>39</v>
      </c>
      <c r="J174" s="12">
        <f t="shared" si="40"/>
        <v>0.74</v>
      </c>
      <c r="K174" s="12">
        <f t="shared" si="41"/>
        <v>0.65999999999999992</v>
      </c>
      <c r="L174" s="78"/>
      <c r="M174" s="78"/>
      <c r="N174" s="78"/>
      <c r="O174" s="36"/>
      <c r="P174" s="24" t="str">
        <f t="shared" si="39"/>
        <v xml:space="preserve"> </v>
      </c>
      <c r="Q174" s="25" t="str">
        <f t="shared" si="39"/>
        <v xml:space="preserve"> </v>
      </c>
      <c r="R174" s="25" t="str">
        <f t="shared" si="39"/>
        <v xml:space="preserve"> </v>
      </c>
      <c r="S174" s="26" t="str">
        <f t="shared" si="42"/>
        <v xml:space="preserve"> </v>
      </c>
      <c r="T174" s="7" t="str">
        <f t="shared" si="43"/>
        <v xml:space="preserve"> </v>
      </c>
      <c r="U174" s="8" t="str">
        <f t="shared" si="44"/>
        <v xml:space="preserve"> </v>
      </c>
      <c r="V174" s="9" t="str">
        <f t="shared" si="45"/>
        <v xml:space="preserve"> </v>
      </c>
      <c r="W174" s="9" t="str">
        <f t="shared" si="46"/>
        <v/>
      </c>
      <c r="X174" s="32"/>
      <c r="Y174" s="36"/>
    </row>
    <row r="175" spans="1:25" s="4" customFormat="1" ht="18" customHeight="1">
      <c r="A175" s="36"/>
      <c r="B175" s="69">
        <v>117.06</v>
      </c>
      <c r="C175" s="69" t="s">
        <v>467</v>
      </c>
      <c r="D175" s="31" t="s">
        <v>708</v>
      </c>
      <c r="E175" s="29" t="s">
        <v>34</v>
      </c>
      <c r="F175" s="28">
        <v>0.7</v>
      </c>
      <c r="G175" s="29">
        <v>0.04</v>
      </c>
      <c r="H175" s="29">
        <v>-0.04</v>
      </c>
      <c r="I175" s="30" t="s">
        <v>39</v>
      </c>
      <c r="J175" s="12">
        <f t="shared" si="40"/>
        <v>0.74</v>
      </c>
      <c r="K175" s="12">
        <f t="shared" si="41"/>
        <v>0.65999999999999992</v>
      </c>
      <c r="L175" s="78"/>
      <c r="M175" s="78"/>
      <c r="N175" s="78"/>
      <c r="O175" s="36"/>
      <c r="P175" s="24" t="str">
        <f t="shared" si="39"/>
        <v xml:space="preserve"> </v>
      </c>
      <c r="Q175" s="25" t="str">
        <f t="shared" si="39"/>
        <v xml:space="preserve"> </v>
      </c>
      <c r="R175" s="25" t="str">
        <f t="shared" si="39"/>
        <v xml:space="preserve"> </v>
      </c>
      <c r="S175" s="26" t="str">
        <f t="shared" si="42"/>
        <v xml:space="preserve"> </v>
      </c>
      <c r="T175" s="7" t="str">
        <f t="shared" si="43"/>
        <v xml:space="preserve"> </v>
      </c>
      <c r="U175" s="8" t="str">
        <f t="shared" si="44"/>
        <v xml:space="preserve"> </v>
      </c>
      <c r="V175" s="9" t="str">
        <f t="shared" si="45"/>
        <v xml:space="preserve"> </v>
      </c>
      <c r="W175" s="9" t="str">
        <f t="shared" si="46"/>
        <v/>
      </c>
      <c r="X175" s="32"/>
      <c r="Y175" s="36"/>
    </row>
    <row r="176" spans="1:25" s="4" customFormat="1" ht="18" customHeight="1">
      <c r="A176" s="36"/>
      <c r="B176" s="69">
        <v>117.07</v>
      </c>
      <c r="C176" s="69" t="s">
        <v>468</v>
      </c>
      <c r="D176" s="31" t="s">
        <v>708</v>
      </c>
      <c r="E176" s="29" t="s">
        <v>34</v>
      </c>
      <c r="F176" s="28">
        <v>0.7</v>
      </c>
      <c r="G176" s="29">
        <v>0.04</v>
      </c>
      <c r="H176" s="29">
        <v>-0.04</v>
      </c>
      <c r="I176" s="30" t="s">
        <v>39</v>
      </c>
      <c r="J176" s="12">
        <f t="shared" si="40"/>
        <v>0.74</v>
      </c>
      <c r="K176" s="12">
        <f t="shared" si="41"/>
        <v>0.65999999999999992</v>
      </c>
      <c r="L176" s="78"/>
      <c r="M176" s="78"/>
      <c r="N176" s="78"/>
      <c r="O176" s="36"/>
      <c r="P176" s="24" t="str">
        <f t="shared" si="39"/>
        <v xml:space="preserve"> </v>
      </c>
      <c r="Q176" s="25" t="str">
        <f t="shared" si="39"/>
        <v xml:space="preserve"> </v>
      </c>
      <c r="R176" s="25" t="str">
        <f t="shared" si="39"/>
        <v xml:space="preserve"> </v>
      </c>
      <c r="S176" s="26" t="str">
        <f t="shared" si="42"/>
        <v xml:space="preserve"> </v>
      </c>
      <c r="T176" s="7" t="str">
        <f t="shared" si="43"/>
        <v xml:space="preserve"> </v>
      </c>
      <c r="U176" s="8" t="str">
        <f t="shared" si="44"/>
        <v xml:space="preserve"> </v>
      </c>
      <c r="V176" s="9" t="str">
        <f t="shared" si="45"/>
        <v xml:space="preserve"> </v>
      </c>
      <c r="W176" s="9" t="str">
        <f t="shared" si="46"/>
        <v/>
      </c>
      <c r="X176" s="32"/>
      <c r="Y176" s="36"/>
    </row>
    <row r="177" spans="1:25" s="4" customFormat="1" ht="18" customHeight="1">
      <c r="A177" s="36"/>
      <c r="B177" s="69">
        <v>117.08</v>
      </c>
      <c r="C177" s="69" t="s">
        <v>469</v>
      </c>
      <c r="D177" s="31" t="s">
        <v>708</v>
      </c>
      <c r="E177" s="29" t="s">
        <v>34</v>
      </c>
      <c r="F177" s="28">
        <v>0.7</v>
      </c>
      <c r="G177" s="29">
        <v>0.04</v>
      </c>
      <c r="H177" s="29">
        <v>-0.04</v>
      </c>
      <c r="I177" s="30" t="s">
        <v>39</v>
      </c>
      <c r="J177" s="12">
        <f t="shared" si="40"/>
        <v>0.74</v>
      </c>
      <c r="K177" s="12">
        <f t="shared" si="41"/>
        <v>0.65999999999999992</v>
      </c>
      <c r="L177" s="78"/>
      <c r="M177" s="78"/>
      <c r="N177" s="78"/>
      <c r="O177" s="36"/>
      <c r="P177" s="24" t="str">
        <f t="shared" si="39"/>
        <v xml:space="preserve"> </v>
      </c>
      <c r="Q177" s="25" t="str">
        <f t="shared" si="39"/>
        <v xml:space="preserve"> </v>
      </c>
      <c r="R177" s="25" t="str">
        <f t="shared" si="39"/>
        <v xml:space="preserve"> </v>
      </c>
      <c r="S177" s="26" t="str">
        <f t="shared" si="42"/>
        <v xml:space="preserve"> </v>
      </c>
      <c r="T177" s="7" t="str">
        <f t="shared" si="43"/>
        <v xml:space="preserve"> </v>
      </c>
      <c r="U177" s="8" t="str">
        <f t="shared" si="44"/>
        <v xml:space="preserve"> </v>
      </c>
      <c r="V177" s="9" t="str">
        <f t="shared" si="45"/>
        <v xml:space="preserve"> </v>
      </c>
      <c r="W177" s="9" t="str">
        <f t="shared" si="46"/>
        <v/>
      </c>
      <c r="X177" s="32"/>
      <c r="Y177" s="36"/>
    </row>
    <row r="178" spans="1:25" s="4" customFormat="1" ht="18" customHeight="1">
      <c r="A178" s="36"/>
      <c r="B178" s="69">
        <v>117.09</v>
      </c>
      <c r="C178" s="69" t="s">
        <v>470</v>
      </c>
      <c r="D178" s="31" t="s">
        <v>708</v>
      </c>
      <c r="E178" s="29" t="s">
        <v>34</v>
      </c>
      <c r="F178" s="28">
        <v>0.7</v>
      </c>
      <c r="G178" s="29">
        <v>0.04</v>
      </c>
      <c r="H178" s="29">
        <v>-0.04</v>
      </c>
      <c r="I178" s="30" t="s">
        <v>39</v>
      </c>
      <c r="J178" s="12">
        <f t="shared" si="40"/>
        <v>0.74</v>
      </c>
      <c r="K178" s="12">
        <f t="shared" si="41"/>
        <v>0.65999999999999992</v>
      </c>
      <c r="L178" s="78"/>
      <c r="M178" s="78"/>
      <c r="N178" s="78"/>
      <c r="O178" s="36"/>
      <c r="P178" s="24" t="str">
        <f t="shared" si="39"/>
        <v xml:space="preserve"> </v>
      </c>
      <c r="Q178" s="25" t="str">
        <f t="shared" si="39"/>
        <v xml:space="preserve"> </v>
      </c>
      <c r="R178" s="25" t="str">
        <f t="shared" si="39"/>
        <v xml:space="preserve"> </v>
      </c>
      <c r="S178" s="26" t="str">
        <f t="shared" si="42"/>
        <v xml:space="preserve"> </v>
      </c>
      <c r="T178" s="7" t="str">
        <f t="shared" si="43"/>
        <v xml:space="preserve"> </v>
      </c>
      <c r="U178" s="8" t="str">
        <f t="shared" si="44"/>
        <v xml:space="preserve"> </v>
      </c>
      <c r="V178" s="9" t="str">
        <f t="shared" si="45"/>
        <v xml:space="preserve"> </v>
      </c>
      <c r="W178" s="9" t="str">
        <f t="shared" si="46"/>
        <v/>
      </c>
      <c r="X178" s="32"/>
      <c r="Y178" s="36"/>
    </row>
    <row r="179" spans="1:25" s="4" customFormat="1" ht="18" customHeight="1">
      <c r="A179" s="36"/>
      <c r="B179" s="69" t="s">
        <v>872</v>
      </c>
      <c r="C179" s="69" t="s">
        <v>471</v>
      </c>
      <c r="D179" s="31" t="s">
        <v>708</v>
      </c>
      <c r="E179" s="29" t="s">
        <v>34</v>
      </c>
      <c r="F179" s="28">
        <v>0.7</v>
      </c>
      <c r="G179" s="29">
        <v>0.04</v>
      </c>
      <c r="H179" s="29">
        <v>-0.04</v>
      </c>
      <c r="I179" s="30" t="s">
        <v>39</v>
      </c>
      <c r="J179" s="12">
        <f t="shared" si="40"/>
        <v>0.74</v>
      </c>
      <c r="K179" s="12">
        <f t="shared" si="41"/>
        <v>0.65999999999999992</v>
      </c>
      <c r="L179" s="78"/>
      <c r="M179" s="78"/>
      <c r="N179" s="78"/>
      <c r="O179" s="36"/>
      <c r="P179" s="24" t="str">
        <f t="shared" si="39"/>
        <v xml:space="preserve"> </v>
      </c>
      <c r="Q179" s="25" t="str">
        <f t="shared" si="39"/>
        <v xml:space="preserve"> </v>
      </c>
      <c r="R179" s="25" t="str">
        <f t="shared" si="39"/>
        <v xml:space="preserve"> </v>
      </c>
      <c r="S179" s="26" t="str">
        <f t="shared" si="42"/>
        <v xml:space="preserve"> </v>
      </c>
      <c r="T179" s="7" t="str">
        <f t="shared" si="43"/>
        <v xml:space="preserve"> </v>
      </c>
      <c r="U179" s="8" t="str">
        <f t="shared" si="44"/>
        <v xml:space="preserve"> </v>
      </c>
      <c r="V179" s="9" t="str">
        <f t="shared" si="45"/>
        <v xml:space="preserve"> </v>
      </c>
      <c r="W179" s="9" t="str">
        <f t="shared" si="46"/>
        <v/>
      </c>
      <c r="X179" s="32"/>
      <c r="Y179" s="36"/>
    </row>
    <row r="180" spans="1:25" s="4" customFormat="1" ht="18" customHeight="1">
      <c r="A180" s="36"/>
      <c r="B180" s="69">
        <v>117.11</v>
      </c>
      <c r="C180" s="69" t="s">
        <v>472</v>
      </c>
      <c r="D180" s="31" t="s">
        <v>708</v>
      </c>
      <c r="E180" s="29" t="s">
        <v>34</v>
      </c>
      <c r="F180" s="28">
        <v>0.7</v>
      </c>
      <c r="G180" s="29">
        <v>0.04</v>
      </c>
      <c r="H180" s="29">
        <v>-0.04</v>
      </c>
      <c r="I180" s="30" t="s">
        <v>39</v>
      </c>
      <c r="J180" s="12">
        <f t="shared" si="40"/>
        <v>0.74</v>
      </c>
      <c r="K180" s="12">
        <f t="shared" si="41"/>
        <v>0.65999999999999992</v>
      </c>
      <c r="L180" s="78"/>
      <c r="M180" s="78"/>
      <c r="N180" s="78"/>
      <c r="O180" s="36"/>
      <c r="P180" s="24" t="str">
        <f t="shared" si="39"/>
        <v xml:space="preserve"> </v>
      </c>
      <c r="Q180" s="25" t="str">
        <f t="shared" si="39"/>
        <v xml:space="preserve"> </v>
      </c>
      <c r="R180" s="25" t="str">
        <f t="shared" si="39"/>
        <v xml:space="preserve"> </v>
      </c>
      <c r="S180" s="26" t="str">
        <f t="shared" si="42"/>
        <v xml:space="preserve"> </v>
      </c>
      <c r="T180" s="7" t="str">
        <f t="shared" si="43"/>
        <v xml:space="preserve"> </v>
      </c>
      <c r="U180" s="8" t="str">
        <f t="shared" si="44"/>
        <v xml:space="preserve"> </v>
      </c>
      <c r="V180" s="9" t="str">
        <f t="shared" si="45"/>
        <v xml:space="preserve"> </v>
      </c>
      <c r="W180" s="9" t="str">
        <f t="shared" si="46"/>
        <v/>
      </c>
      <c r="X180" s="32"/>
      <c r="Y180" s="36"/>
    </row>
    <row r="181" spans="1:25" s="4" customFormat="1" ht="18" customHeight="1">
      <c r="A181" s="36"/>
      <c r="B181" s="69">
        <v>117.12</v>
      </c>
      <c r="C181" s="69" t="s">
        <v>473</v>
      </c>
      <c r="D181" s="31" t="s">
        <v>708</v>
      </c>
      <c r="E181" s="29" t="s">
        <v>34</v>
      </c>
      <c r="F181" s="28">
        <v>0.7</v>
      </c>
      <c r="G181" s="29">
        <v>0.04</v>
      </c>
      <c r="H181" s="29">
        <v>-0.04</v>
      </c>
      <c r="I181" s="30" t="s">
        <v>39</v>
      </c>
      <c r="J181" s="12">
        <f t="shared" si="40"/>
        <v>0.74</v>
      </c>
      <c r="K181" s="12">
        <f t="shared" si="41"/>
        <v>0.65999999999999992</v>
      </c>
      <c r="L181" s="78"/>
      <c r="M181" s="78"/>
      <c r="N181" s="78"/>
      <c r="O181" s="36"/>
      <c r="P181" s="24" t="str">
        <f t="shared" si="39"/>
        <v xml:space="preserve"> </v>
      </c>
      <c r="Q181" s="25" t="str">
        <f t="shared" si="39"/>
        <v xml:space="preserve"> </v>
      </c>
      <c r="R181" s="25" t="str">
        <f t="shared" si="39"/>
        <v xml:space="preserve"> </v>
      </c>
      <c r="S181" s="26" t="str">
        <f t="shared" si="42"/>
        <v xml:space="preserve"> </v>
      </c>
      <c r="T181" s="7" t="str">
        <f t="shared" si="43"/>
        <v xml:space="preserve"> </v>
      </c>
      <c r="U181" s="8" t="str">
        <f t="shared" si="44"/>
        <v xml:space="preserve"> </v>
      </c>
      <c r="V181" s="9" t="str">
        <f t="shared" si="45"/>
        <v xml:space="preserve"> </v>
      </c>
      <c r="W181" s="9" t="str">
        <f t="shared" si="46"/>
        <v/>
      </c>
      <c r="X181" s="32"/>
      <c r="Y181" s="36"/>
    </row>
    <row r="182" spans="1:25" s="4" customFormat="1" ht="18" customHeight="1">
      <c r="A182" s="36"/>
      <c r="B182" s="69">
        <v>117.13000000000001</v>
      </c>
      <c r="C182" s="69" t="s">
        <v>474</v>
      </c>
      <c r="D182" s="31" t="s">
        <v>708</v>
      </c>
      <c r="E182" s="29" t="s">
        <v>34</v>
      </c>
      <c r="F182" s="28">
        <v>0.7</v>
      </c>
      <c r="G182" s="29">
        <v>0.04</v>
      </c>
      <c r="H182" s="29">
        <v>-0.04</v>
      </c>
      <c r="I182" s="30" t="s">
        <v>39</v>
      </c>
      <c r="J182" s="12">
        <f t="shared" si="40"/>
        <v>0.74</v>
      </c>
      <c r="K182" s="12">
        <f t="shared" si="41"/>
        <v>0.65999999999999992</v>
      </c>
      <c r="L182" s="78"/>
      <c r="M182" s="78"/>
      <c r="N182" s="78"/>
      <c r="O182" s="36"/>
      <c r="P182" s="24" t="str">
        <f t="shared" si="39"/>
        <v xml:space="preserve"> </v>
      </c>
      <c r="Q182" s="25" t="str">
        <f t="shared" si="39"/>
        <v xml:space="preserve"> </v>
      </c>
      <c r="R182" s="25" t="str">
        <f t="shared" si="39"/>
        <v xml:space="preserve"> </v>
      </c>
      <c r="S182" s="26" t="str">
        <f t="shared" si="42"/>
        <v xml:space="preserve"> </v>
      </c>
      <c r="T182" s="7" t="str">
        <f t="shared" si="43"/>
        <v xml:space="preserve"> </v>
      </c>
      <c r="U182" s="8" t="str">
        <f t="shared" si="44"/>
        <v xml:space="preserve"> </v>
      </c>
      <c r="V182" s="9" t="str">
        <f t="shared" si="45"/>
        <v xml:space="preserve"> </v>
      </c>
      <c r="W182" s="9" t="str">
        <f t="shared" si="46"/>
        <v/>
      </c>
      <c r="X182" s="32"/>
      <c r="Y182" s="36"/>
    </row>
    <row r="183" spans="1:25" s="4" customFormat="1" ht="18" customHeight="1">
      <c r="A183" s="36"/>
      <c r="B183" s="69">
        <v>117.14000000000001</v>
      </c>
      <c r="C183" s="69" t="s">
        <v>475</v>
      </c>
      <c r="D183" s="31" t="s">
        <v>708</v>
      </c>
      <c r="E183" s="29" t="s">
        <v>34</v>
      </c>
      <c r="F183" s="28">
        <v>0.7</v>
      </c>
      <c r="G183" s="29">
        <v>0.04</v>
      </c>
      <c r="H183" s="29">
        <v>-0.04</v>
      </c>
      <c r="I183" s="30" t="s">
        <v>39</v>
      </c>
      <c r="J183" s="12">
        <f t="shared" si="40"/>
        <v>0.74</v>
      </c>
      <c r="K183" s="12">
        <f t="shared" si="41"/>
        <v>0.65999999999999992</v>
      </c>
      <c r="L183" s="78"/>
      <c r="M183" s="78"/>
      <c r="N183" s="78"/>
      <c r="O183" s="36"/>
      <c r="P183" s="24" t="str">
        <f t="shared" si="39"/>
        <v xml:space="preserve"> </v>
      </c>
      <c r="Q183" s="25" t="str">
        <f t="shared" si="39"/>
        <v xml:space="preserve"> </v>
      </c>
      <c r="R183" s="25" t="str">
        <f t="shared" si="39"/>
        <v xml:space="preserve"> </v>
      </c>
      <c r="S183" s="26" t="str">
        <f t="shared" si="42"/>
        <v xml:space="preserve"> </v>
      </c>
      <c r="T183" s="7" t="str">
        <f t="shared" si="43"/>
        <v xml:space="preserve"> </v>
      </c>
      <c r="U183" s="8" t="str">
        <f t="shared" si="44"/>
        <v xml:space="preserve"> </v>
      </c>
      <c r="V183" s="9" t="str">
        <f t="shared" si="45"/>
        <v xml:space="preserve"> </v>
      </c>
      <c r="W183" s="9" t="str">
        <f t="shared" si="46"/>
        <v/>
      </c>
      <c r="X183" s="32"/>
      <c r="Y183" s="36"/>
    </row>
    <row r="184" spans="1:25" s="4" customFormat="1" ht="18" customHeight="1">
      <c r="A184" s="36"/>
      <c r="B184" s="69">
        <v>117.15000000000002</v>
      </c>
      <c r="C184" s="69" t="s">
        <v>476</v>
      </c>
      <c r="D184" s="31" t="s">
        <v>708</v>
      </c>
      <c r="E184" s="29" t="s">
        <v>34</v>
      </c>
      <c r="F184" s="28">
        <v>0.7</v>
      </c>
      <c r="G184" s="29">
        <v>0.04</v>
      </c>
      <c r="H184" s="29">
        <v>-0.04</v>
      </c>
      <c r="I184" s="30" t="s">
        <v>39</v>
      </c>
      <c r="J184" s="12">
        <f t="shared" si="40"/>
        <v>0.74</v>
      </c>
      <c r="K184" s="12">
        <f t="shared" si="41"/>
        <v>0.65999999999999992</v>
      </c>
      <c r="L184" s="78"/>
      <c r="M184" s="78"/>
      <c r="N184" s="78"/>
      <c r="O184" s="36"/>
      <c r="P184" s="24" t="str">
        <f t="shared" si="39"/>
        <v xml:space="preserve"> </v>
      </c>
      <c r="Q184" s="25" t="str">
        <f t="shared" si="39"/>
        <v xml:space="preserve"> </v>
      </c>
      <c r="R184" s="25" t="str">
        <f t="shared" si="39"/>
        <v xml:space="preserve"> </v>
      </c>
      <c r="S184" s="26" t="str">
        <f t="shared" si="42"/>
        <v xml:space="preserve"> </v>
      </c>
      <c r="T184" s="7" t="str">
        <f t="shared" si="43"/>
        <v xml:space="preserve"> </v>
      </c>
      <c r="U184" s="8" t="str">
        <f t="shared" si="44"/>
        <v xml:space="preserve"> </v>
      </c>
      <c r="V184" s="9" t="str">
        <f t="shared" si="45"/>
        <v xml:space="preserve"> </v>
      </c>
      <c r="W184" s="9" t="str">
        <f t="shared" si="46"/>
        <v/>
      </c>
      <c r="X184" s="32"/>
      <c r="Y184" s="36"/>
    </row>
    <row r="185" spans="1:25" s="4" customFormat="1" ht="18" customHeight="1">
      <c r="A185" s="36"/>
      <c r="B185" s="69">
        <v>117.16000000000003</v>
      </c>
      <c r="C185" s="69" t="s">
        <v>477</v>
      </c>
      <c r="D185" s="31" t="s">
        <v>708</v>
      </c>
      <c r="E185" s="29" t="s">
        <v>34</v>
      </c>
      <c r="F185" s="28">
        <v>0.7</v>
      </c>
      <c r="G185" s="29">
        <v>0.04</v>
      </c>
      <c r="H185" s="29">
        <v>-0.04</v>
      </c>
      <c r="I185" s="30" t="s">
        <v>39</v>
      </c>
      <c r="J185" s="12">
        <f t="shared" si="40"/>
        <v>0.74</v>
      </c>
      <c r="K185" s="12">
        <f t="shared" si="41"/>
        <v>0.65999999999999992</v>
      </c>
      <c r="L185" s="78"/>
      <c r="M185" s="78"/>
      <c r="N185" s="78"/>
      <c r="O185" s="36"/>
      <c r="P185" s="24" t="str">
        <f t="shared" si="39"/>
        <v xml:space="preserve"> </v>
      </c>
      <c r="Q185" s="25" t="str">
        <f t="shared" si="39"/>
        <v xml:space="preserve"> </v>
      </c>
      <c r="R185" s="25" t="str">
        <f t="shared" si="39"/>
        <v xml:space="preserve"> </v>
      </c>
      <c r="S185" s="26" t="str">
        <f t="shared" si="42"/>
        <v xml:space="preserve"> </v>
      </c>
      <c r="T185" s="7" t="str">
        <f t="shared" si="43"/>
        <v xml:space="preserve"> </v>
      </c>
      <c r="U185" s="8" t="str">
        <f t="shared" si="44"/>
        <v xml:space="preserve"> </v>
      </c>
      <c r="V185" s="9" t="str">
        <f t="shared" si="45"/>
        <v xml:space="preserve"> </v>
      </c>
      <c r="W185" s="9" t="str">
        <f t="shared" si="46"/>
        <v/>
      </c>
      <c r="X185" s="32"/>
      <c r="Y185" s="36"/>
    </row>
    <row r="186" spans="1:25" s="4" customFormat="1" ht="18" customHeight="1">
      <c r="A186" s="36"/>
      <c r="B186" s="69">
        <v>117.17000000000003</v>
      </c>
      <c r="C186" s="69" t="s">
        <v>478</v>
      </c>
      <c r="D186" s="31" t="s">
        <v>708</v>
      </c>
      <c r="E186" s="29" t="s">
        <v>34</v>
      </c>
      <c r="F186" s="28">
        <v>0.7</v>
      </c>
      <c r="G186" s="29">
        <v>0.04</v>
      </c>
      <c r="H186" s="29">
        <v>-0.04</v>
      </c>
      <c r="I186" s="30" t="s">
        <v>39</v>
      </c>
      <c r="J186" s="12">
        <f t="shared" si="40"/>
        <v>0.74</v>
      </c>
      <c r="K186" s="12">
        <f t="shared" si="41"/>
        <v>0.65999999999999992</v>
      </c>
      <c r="L186" s="78"/>
      <c r="M186" s="78"/>
      <c r="N186" s="78"/>
      <c r="O186" s="36"/>
      <c r="P186" s="24" t="str">
        <f t="shared" si="39"/>
        <v xml:space="preserve"> </v>
      </c>
      <c r="Q186" s="25" t="str">
        <f t="shared" si="39"/>
        <v xml:space="preserve"> </v>
      </c>
      <c r="R186" s="25" t="str">
        <f t="shared" si="39"/>
        <v xml:space="preserve"> </v>
      </c>
      <c r="S186" s="26" t="str">
        <f t="shared" si="42"/>
        <v xml:space="preserve"> </v>
      </c>
      <c r="T186" s="7" t="str">
        <f t="shared" si="43"/>
        <v xml:space="preserve"> </v>
      </c>
      <c r="U186" s="8" t="str">
        <f t="shared" si="44"/>
        <v xml:space="preserve"> </v>
      </c>
      <c r="V186" s="9" t="str">
        <f t="shared" si="45"/>
        <v xml:space="preserve"> </v>
      </c>
      <c r="W186" s="9" t="str">
        <f t="shared" si="46"/>
        <v/>
      </c>
      <c r="X186" s="32"/>
      <c r="Y186" s="36"/>
    </row>
    <row r="187" spans="1:25" s="4" customFormat="1" ht="18" customHeight="1">
      <c r="A187" s="36"/>
      <c r="B187" s="69">
        <v>117.18000000000004</v>
      </c>
      <c r="C187" s="69" t="s">
        <v>479</v>
      </c>
      <c r="D187" s="31" t="s">
        <v>708</v>
      </c>
      <c r="E187" s="29" t="s">
        <v>34</v>
      </c>
      <c r="F187" s="28">
        <v>0.7</v>
      </c>
      <c r="G187" s="29">
        <v>0.04</v>
      </c>
      <c r="H187" s="29">
        <v>-0.04</v>
      </c>
      <c r="I187" s="30" t="s">
        <v>39</v>
      </c>
      <c r="J187" s="12">
        <f t="shared" si="40"/>
        <v>0.74</v>
      </c>
      <c r="K187" s="12">
        <f t="shared" si="41"/>
        <v>0.65999999999999992</v>
      </c>
      <c r="L187" s="78"/>
      <c r="M187" s="78"/>
      <c r="N187" s="78"/>
      <c r="O187" s="36"/>
      <c r="P187" s="24" t="str">
        <f t="shared" si="39"/>
        <v xml:space="preserve"> </v>
      </c>
      <c r="Q187" s="25" t="str">
        <f t="shared" si="39"/>
        <v xml:space="preserve"> </v>
      </c>
      <c r="R187" s="25" t="str">
        <f t="shared" si="39"/>
        <v xml:space="preserve"> </v>
      </c>
      <c r="S187" s="26" t="str">
        <f t="shared" si="42"/>
        <v xml:space="preserve"> </v>
      </c>
      <c r="T187" s="7" t="str">
        <f t="shared" si="43"/>
        <v xml:space="preserve"> </v>
      </c>
      <c r="U187" s="8" t="str">
        <f t="shared" si="44"/>
        <v xml:space="preserve"> </v>
      </c>
      <c r="V187" s="9" t="str">
        <f t="shared" si="45"/>
        <v xml:space="preserve"> </v>
      </c>
      <c r="W187" s="9" t="str">
        <f t="shared" si="46"/>
        <v/>
      </c>
      <c r="X187" s="32"/>
      <c r="Y187" s="36"/>
    </row>
    <row r="188" spans="1:25" s="4" customFormat="1" ht="18" customHeight="1">
      <c r="A188" s="36"/>
      <c r="B188" s="69">
        <v>117.19000000000004</v>
      </c>
      <c r="C188" s="69" t="s">
        <v>480</v>
      </c>
      <c r="D188" s="31" t="s">
        <v>708</v>
      </c>
      <c r="E188" s="29" t="s">
        <v>34</v>
      </c>
      <c r="F188" s="28">
        <v>0.7</v>
      </c>
      <c r="G188" s="29">
        <v>0.04</v>
      </c>
      <c r="H188" s="29">
        <v>-0.04</v>
      </c>
      <c r="I188" s="30" t="s">
        <v>39</v>
      </c>
      <c r="J188" s="12">
        <f t="shared" si="40"/>
        <v>0.74</v>
      </c>
      <c r="K188" s="12">
        <f t="shared" si="41"/>
        <v>0.65999999999999992</v>
      </c>
      <c r="L188" s="78"/>
      <c r="M188" s="78"/>
      <c r="N188" s="78"/>
      <c r="O188" s="36"/>
      <c r="P188" s="24" t="str">
        <f t="shared" si="39"/>
        <v xml:space="preserve"> </v>
      </c>
      <c r="Q188" s="25" t="str">
        <f t="shared" si="39"/>
        <v xml:space="preserve"> </v>
      </c>
      <c r="R188" s="25" t="str">
        <f t="shared" si="39"/>
        <v xml:space="preserve"> </v>
      </c>
      <c r="S188" s="26" t="str">
        <f t="shared" si="42"/>
        <v xml:space="preserve"> </v>
      </c>
      <c r="T188" s="7" t="str">
        <f t="shared" si="43"/>
        <v xml:space="preserve"> </v>
      </c>
      <c r="U188" s="8" t="str">
        <f t="shared" si="44"/>
        <v xml:space="preserve"> </v>
      </c>
      <c r="V188" s="9" t="str">
        <f t="shared" si="45"/>
        <v xml:space="preserve"> </v>
      </c>
      <c r="W188" s="9" t="str">
        <f t="shared" si="46"/>
        <v/>
      </c>
      <c r="X188" s="32"/>
      <c r="Y188" s="36"/>
    </row>
    <row r="189" spans="1:25" s="4" customFormat="1" ht="18" customHeight="1">
      <c r="A189" s="36"/>
      <c r="B189" s="69" t="s">
        <v>873</v>
      </c>
      <c r="C189" s="69" t="s">
        <v>481</v>
      </c>
      <c r="D189" s="31" t="s">
        <v>708</v>
      </c>
      <c r="E189" s="29" t="s">
        <v>34</v>
      </c>
      <c r="F189" s="28">
        <v>0.7</v>
      </c>
      <c r="G189" s="29">
        <v>0.04</v>
      </c>
      <c r="H189" s="29">
        <v>-0.04</v>
      </c>
      <c r="I189" s="30" t="s">
        <v>39</v>
      </c>
      <c r="J189" s="12">
        <f t="shared" si="40"/>
        <v>0.74</v>
      </c>
      <c r="K189" s="12">
        <f t="shared" si="41"/>
        <v>0.65999999999999992</v>
      </c>
      <c r="L189" s="78"/>
      <c r="M189" s="78"/>
      <c r="N189" s="78"/>
      <c r="O189" s="36"/>
      <c r="P189" s="24" t="str">
        <f t="shared" si="39"/>
        <v xml:space="preserve"> </v>
      </c>
      <c r="Q189" s="25" t="str">
        <f t="shared" si="39"/>
        <v xml:space="preserve"> </v>
      </c>
      <c r="R189" s="25" t="str">
        <f t="shared" si="39"/>
        <v xml:space="preserve"> </v>
      </c>
      <c r="S189" s="26" t="str">
        <f t="shared" si="42"/>
        <v xml:space="preserve"> </v>
      </c>
      <c r="T189" s="7" t="str">
        <f t="shared" si="43"/>
        <v xml:space="preserve"> </v>
      </c>
      <c r="U189" s="8" t="str">
        <f t="shared" si="44"/>
        <v xml:space="preserve"> </v>
      </c>
      <c r="V189" s="9" t="str">
        <f t="shared" si="45"/>
        <v xml:space="preserve"> </v>
      </c>
      <c r="W189" s="9" t="str">
        <f t="shared" si="46"/>
        <v/>
      </c>
      <c r="X189" s="32"/>
      <c r="Y189" s="36"/>
    </row>
    <row r="190" spans="1:25" s="4" customFormat="1" ht="18" customHeight="1">
      <c r="A190" s="36"/>
      <c r="B190" s="69">
        <v>117.21000000000005</v>
      </c>
      <c r="C190" s="69" t="s">
        <v>482</v>
      </c>
      <c r="D190" s="31" t="s">
        <v>708</v>
      </c>
      <c r="E190" s="29" t="s">
        <v>34</v>
      </c>
      <c r="F190" s="28">
        <v>0.7</v>
      </c>
      <c r="G190" s="29">
        <v>0.04</v>
      </c>
      <c r="H190" s="29">
        <v>-0.04</v>
      </c>
      <c r="I190" s="30" t="s">
        <v>39</v>
      </c>
      <c r="J190" s="12">
        <f t="shared" si="40"/>
        <v>0.74</v>
      </c>
      <c r="K190" s="12">
        <f t="shared" si="41"/>
        <v>0.65999999999999992</v>
      </c>
      <c r="L190" s="78"/>
      <c r="M190" s="78"/>
      <c r="N190" s="78"/>
      <c r="O190" s="36"/>
      <c r="P190" s="24" t="str">
        <f t="shared" si="39"/>
        <v xml:space="preserve"> </v>
      </c>
      <c r="Q190" s="25" t="str">
        <f t="shared" si="39"/>
        <v xml:space="preserve"> </v>
      </c>
      <c r="R190" s="25" t="str">
        <f t="shared" si="39"/>
        <v xml:space="preserve"> </v>
      </c>
      <c r="S190" s="26" t="str">
        <f t="shared" si="42"/>
        <v xml:space="preserve"> </v>
      </c>
      <c r="T190" s="7" t="str">
        <f t="shared" si="43"/>
        <v xml:space="preserve"> </v>
      </c>
      <c r="U190" s="8" t="str">
        <f t="shared" si="44"/>
        <v xml:space="preserve"> </v>
      </c>
      <c r="V190" s="9" t="str">
        <f t="shared" si="45"/>
        <v xml:space="preserve"> </v>
      </c>
      <c r="W190" s="9" t="str">
        <f t="shared" si="46"/>
        <v/>
      </c>
      <c r="X190" s="32"/>
      <c r="Y190" s="36"/>
    </row>
    <row r="191" spans="1:25" s="4" customFormat="1" ht="18" customHeight="1">
      <c r="A191" s="36"/>
      <c r="B191" s="69">
        <v>117.22000000000006</v>
      </c>
      <c r="C191" s="69" t="s">
        <v>483</v>
      </c>
      <c r="D191" s="31" t="s">
        <v>708</v>
      </c>
      <c r="E191" s="29" t="s">
        <v>34</v>
      </c>
      <c r="F191" s="28">
        <v>0.7</v>
      </c>
      <c r="G191" s="29">
        <v>0.04</v>
      </c>
      <c r="H191" s="29">
        <v>-0.04</v>
      </c>
      <c r="I191" s="30" t="s">
        <v>39</v>
      </c>
      <c r="J191" s="12">
        <f t="shared" si="40"/>
        <v>0.74</v>
      </c>
      <c r="K191" s="12">
        <f t="shared" si="41"/>
        <v>0.65999999999999992</v>
      </c>
      <c r="L191" s="78"/>
      <c r="M191" s="78"/>
      <c r="N191" s="78"/>
      <c r="O191" s="36"/>
      <c r="P191" s="24" t="str">
        <f t="shared" si="39"/>
        <v xml:space="preserve"> </v>
      </c>
      <c r="Q191" s="25" t="str">
        <f t="shared" si="39"/>
        <v xml:space="preserve"> </v>
      </c>
      <c r="R191" s="25" t="str">
        <f t="shared" si="39"/>
        <v xml:space="preserve"> </v>
      </c>
      <c r="S191" s="26" t="str">
        <f t="shared" si="42"/>
        <v xml:space="preserve"> </v>
      </c>
      <c r="T191" s="7" t="str">
        <f t="shared" si="43"/>
        <v xml:space="preserve"> </v>
      </c>
      <c r="U191" s="8" t="str">
        <f t="shared" si="44"/>
        <v xml:space="preserve"> </v>
      </c>
      <c r="V191" s="9" t="str">
        <f t="shared" si="45"/>
        <v xml:space="preserve"> </v>
      </c>
      <c r="W191" s="9" t="str">
        <f t="shared" si="46"/>
        <v/>
      </c>
      <c r="X191" s="32"/>
      <c r="Y191" s="36"/>
    </row>
    <row r="192" spans="1:25" s="4" customFormat="1" ht="18" customHeight="1">
      <c r="A192" s="36"/>
      <c r="B192" s="69">
        <v>117.23000000000006</v>
      </c>
      <c r="C192" s="69" t="s">
        <v>484</v>
      </c>
      <c r="D192" s="31" t="s">
        <v>708</v>
      </c>
      <c r="E192" s="29" t="s">
        <v>34</v>
      </c>
      <c r="F192" s="28">
        <v>0.7</v>
      </c>
      <c r="G192" s="29">
        <v>0.04</v>
      </c>
      <c r="H192" s="29">
        <v>-0.04</v>
      </c>
      <c r="I192" s="30" t="s">
        <v>39</v>
      </c>
      <c r="J192" s="12">
        <f t="shared" si="40"/>
        <v>0.74</v>
      </c>
      <c r="K192" s="12">
        <f t="shared" si="41"/>
        <v>0.65999999999999992</v>
      </c>
      <c r="L192" s="78"/>
      <c r="M192" s="78"/>
      <c r="N192" s="78"/>
      <c r="O192" s="36"/>
      <c r="P192" s="24" t="str">
        <f t="shared" si="39"/>
        <v xml:space="preserve"> </v>
      </c>
      <c r="Q192" s="25" t="str">
        <f t="shared" si="39"/>
        <v xml:space="preserve"> </v>
      </c>
      <c r="R192" s="25" t="str">
        <f t="shared" si="39"/>
        <v xml:space="preserve"> </v>
      </c>
      <c r="S192" s="26" t="str">
        <f t="shared" si="42"/>
        <v xml:space="preserve"> </v>
      </c>
      <c r="T192" s="7" t="str">
        <f t="shared" si="43"/>
        <v xml:space="preserve"> </v>
      </c>
      <c r="U192" s="8" t="str">
        <f t="shared" si="44"/>
        <v xml:space="preserve"> </v>
      </c>
      <c r="V192" s="9" t="str">
        <f t="shared" si="45"/>
        <v xml:space="preserve"> </v>
      </c>
      <c r="W192" s="9" t="str">
        <f t="shared" si="46"/>
        <v/>
      </c>
      <c r="X192" s="32"/>
      <c r="Y192" s="36"/>
    </row>
    <row r="193" spans="1:25" s="4" customFormat="1" ht="18" customHeight="1">
      <c r="A193" s="36"/>
      <c r="B193" s="69">
        <v>117.24000000000007</v>
      </c>
      <c r="C193" s="69" t="s">
        <v>485</v>
      </c>
      <c r="D193" s="31" t="s">
        <v>708</v>
      </c>
      <c r="E193" s="29" t="s">
        <v>34</v>
      </c>
      <c r="F193" s="28">
        <v>0.7</v>
      </c>
      <c r="G193" s="29">
        <v>0.04</v>
      </c>
      <c r="H193" s="29">
        <v>-0.04</v>
      </c>
      <c r="I193" s="30" t="s">
        <v>39</v>
      </c>
      <c r="J193" s="12">
        <f t="shared" si="40"/>
        <v>0.74</v>
      </c>
      <c r="K193" s="12">
        <f t="shared" si="41"/>
        <v>0.65999999999999992</v>
      </c>
      <c r="L193" s="78"/>
      <c r="M193" s="78"/>
      <c r="N193" s="78"/>
      <c r="O193" s="36"/>
      <c r="P193" s="24" t="str">
        <f t="shared" si="39"/>
        <v xml:space="preserve"> </v>
      </c>
      <c r="Q193" s="25" t="str">
        <f t="shared" si="39"/>
        <v xml:space="preserve"> </v>
      </c>
      <c r="R193" s="25" t="str">
        <f t="shared" si="39"/>
        <v xml:space="preserve"> </v>
      </c>
      <c r="S193" s="26" t="str">
        <f t="shared" si="42"/>
        <v xml:space="preserve"> </v>
      </c>
      <c r="T193" s="7" t="str">
        <f t="shared" si="43"/>
        <v xml:space="preserve"> </v>
      </c>
      <c r="U193" s="8" t="str">
        <f t="shared" si="44"/>
        <v xml:space="preserve"> </v>
      </c>
      <c r="V193" s="9" t="str">
        <f t="shared" si="45"/>
        <v xml:space="preserve"> </v>
      </c>
      <c r="W193" s="9" t="str">
        <f t="shared" si="46"/>
        <v/>
      </c>
      <c r="X193" s="32"/>
      <c r="Y193" s="36"/>
    </row>
    <row r="194" spans="1:25" s="4" customFormat="1" ht="18" customHeight="1">
      <c r="A194" s="36"/>
      <c r="B194" s="69">
        <v>117.25000000000007</v>
      </c>
      <c r="C194" s="69" t="s">
        <v>486</v>
      </c>
      <c r="D194" s="31" t="s">
        <v>708</v>
      </c>
      <c r="E194" s="29" t="s">
        <v>34</v>
      </c>
      <c r="F194" s="28">
        <v>0.7</v>
      </c>
      <c r="G194" s="29">
        <v>0.04</v>
      </c>
      <c r="H194" s="29">
        <v>-0.04</v>
      </c>
      <c r="I194" s="30" t="s">
        <v>39</v>
      </c>
      <c r="J194" s="12">
        <f t="shared" si="40"/>
        <v>0.74</v>
      </c>
      <c r="K194" s="12">
        <f t="shared" si="41"/>
        <v>0.65999999999999992</v>
      </c>
      <c r="L194" s="78"/>
      <c r="M194" s="78"/>
      <c r="N194" s="78"/>
      <c r="O194" s="36"/>
      <c r="P194" s="24" t="str">
        <f t="shared" si="39"/>
        <v xml:space="preserve"> </v>
      </c>
      <c r="Q194" s="25" t="str">
        <f t="shared" si="39"/>
        <v xml:space="preserve"> </v>
      </c>
      <c r="R194" s="25" t="str">
        <f t="shared" si="39"/>
        <v xml:space="preserve"> </v>
      </c>
      <c r="S194" s="26" t="str">
        <f t="shared" si="42"/>
        <v xml:space="preserve"> </v>
      </c>
      <c r="T194" s="7" t="str">
        <f t="shared" si="43"/>
        <v xml:space="preserve"> </v>
      </c>
      <c r="U194" s="8" t="str">
        <f t="shared" si="44"/>
        <v xml:space="preserve"> </v>
      </c>
      <c r="V194" s="9" t="str">
        <f t="shared" si="45"/>
        <v xml:space="preserve"> </v>
      </c>
      <c r="W194" s="9" t="str">
        <f t="shared" si="46"/>
        <v/>
      </c>
      <c r="X194" s="32"/>
      <c r="Y194" s="36"/>
    </row>
    <row r="195" spans="1:25" s="4" customFormat="1" ht="18" customHeight="1">
      <c r="A195" s="36"/>
      <c r="B195" s="69">
        <v>117.26000000000008</v>
      </c>
      <c r="C195" s="69" t="s">
        <v>487</v>
      </c>
      <c r="D195" s="31" t="s">
        <v>708</v>
      </c>
      <c r="E195" s="29" t="s">
        <v>34</v>
      </c>
      <c r="F195" s="28">
        <v>0.7</v>
      </c>
      <c r="G195" s="29">
        <v>0.04</v>
      </c>
      <c r="H195" s="29">
        <v>-0.04</v>
      </c>
      <c r="I195" s="30" t="s">
        <v>39</v>
      </c>
      <c r="J195" s="12">
        <f t="shared" si="40"/>
        <v>0.74</v>
      </c>
      <c r="K195" s="12">
        <f t="shared" si="41"/>
        <v>0.65999999999999992</v>
      </c>
      <c r="L195" s="78"/>
      <c r="M195" s="78"/>
      <c r="N195" s="78"/>
      <c r="O195" s="36"/>
      <c r="P195" s="24" t="str">
        <f t="shared" si="39"/>
        <v xml:space="preserve"> </v>
      </c>
      <c r="Q195" s="25" t="str">
        <f t="shared" si="39"/>
        <v xml:space="preserve"> </v>
      </c>
      <c r="R195" s="25" t="str">
        <f t="shared" si="39"/>
        <v xml:space="preserve"> </v>
      </c>
      <c r="S195" s="26" t="str">
        <f t="shared" si="42"/>
        <v xml:space="preserve"> </v>
      </c>
      <c r="T195" s="7" t="str">
        <f t="shared" si="43"/>
        <v xml:space="preserve"> </v>
      </c>
      <c r="U195" s="8" t="str">
        <f t="shared" si="44"/>
        <v xml:space="preserve"> </v>
      </c>
      <c r="V195" s="9" t="str">
        <f t="shared" si="45"/>
        <v xml:space="preserve"> </v>
      </c>
      <c r="W195" s="9" t="str">
        <f t="shared" si="46"/>
        <v/>
      </c>
      <c r="X195" s="32"/>
      <c r="Y195" s="36"/>
    </row>
    <row r="196" spans="1:25" s="4" customFormat="1" ht="18" customHeight="1">
      <c r="A196" s="36"/>
      <c r="B196" s="69">
        <v>117.27000000000008</v>
      </c>
      <c r="C196" s="69" t="s">
        <v>488</v>
      </c>
      <c r="D196" s="31" t="s">
        <v>708</v>
      </c>
      <c r="E196" s="29" t="s">
        <v>34</v>
      </c>
      <c r="F196" s="28">
        <v>0.7</v>
      </c>
      <c r="G196" s="29">
        <v>0.04</v>
      </c>
      <c r="H196" s="29">
        <v>-0.04</v>
      </c>
      <c r="I196" s="30" t="s">
        <v>39</v>
      </c>
      <c r="J196" s="12">
        <f t="shared" si="40"/>
        <v>0.74</v>
      </c>
      <c r="K196" s="12">
        <f t="shared" si="41"/>
        <v>0.65999999999999992</v>
      </c>
      <c r="L196" s="78"/>
      <c r="M196" s="78"/>
      <c r="N196" s="78"/>
      <c r="O196" s="36"/>
      <c r="P196" s="24" t="str">
        <f t="shared" si="39"/>
        <v xml:space="preserve"> </v>
      </c>
      <c r="Q196" s="25" t="str">
        <f t="shared" si="39"/>
        <v xml:space="preserve"> </v>
      </c>
      <c r="R196" s="25" t="str">
        <f t="shared" si="39"/>
        <v xml:space="preserve"> </v>
      </c>
      <c r="S196" s="26" t="str">
        <f t="shared" si="42"/>
        <v xml:space="preserve"> </v>
      </c>
      <c r="T196" s="7" t="str">
        <f t="shared" si="43"/>
        <v xml:space="preserve"> </v>
      </c>
      <c r="U196" s="8" t="str">
        <f t="shared" si="44"/>
        <v xml:space="preserve"> </v>
      </c>
      <c r="V196" s="9" t="str">
        <f t="shared" si="45"/>
        <v xml:space="preserve"> </v>
      </c>
      <c r="W196" s="9" t="str">
        <f t="shared" si="46"/>
        <v/>
      </c>
      <c r="X196" s="32"/>
      <c r="Y196" s="36"/>
    </row>
    <row r="197" spans="1:25" s="4" customFormat="1" ht="18" customHeight="1">
      <c r="A197" s="36"/>
      <c r="B197" s="69">
        <v>117.28000000000009</v>
      </c>
      <c r="C197" s="69" t="s">
        <v>489</v>
      </c>
      <c r="D197" s="31" t="s">
        <v>708</v>
      </c>
      <c r="E197" s="29" t="s">
        <v>34</v>
      </c>
      <c r="F197" s="28">
        <v>0.7</v>
      </c>
      <c r="G197" s="29">
        <v>0.04</v>
      </c>
      <c r="H197" s="29">
        <v>-0.04</v>
      </c>
      <c r="I197" s="30" t="s">
        <v>39</v>
      </c>
      <c r="J197" s="12">
        <f t="shared" si="40"/>
        <v>0.74</v>
      </c>
      <c r="K197" s="12">
        <f t="shared" si="41"/>
        <v>0.65999999999999992</v>
      </c>
      <c r="L197" s="78"/>
      <c r="M197" s="78"/>
      <c r="N197" s="78"/>
      <c r="O197" s="36"/>
      <c r="P197" s="24" t="str">
        <f t="shared" ref="P197:R281" si="47">IF(ISERR(L197/L197)=TRUE," ",L197-$F197)</f>
        <v xml:space="preserve"> </v>
      </c>
      <c r="Q197" s="25" t="str">
        <f t="shared" si="47"/>
        <v xml:space="preserve"> </v>
      </c>
      <c r="R197" s="25" t="str">
        <f t="shared" si="47"/>
        <v xml:space="preserve"> </v>
      </c>
      <c r="S197" s="26" t="str">
        <f t="shared" si="42"/>
        <v xml:space="preserve"> </v>
      </c>
      <c r="T197" s="7" t="str">
        <f t="shared" si="43"/>
        <v xml:space="preserve"> </v>
      </c>
      <c r="U197" s="8" t="str">
        <f t="shared" si="44"/>
        <v xml:space="preserve"> </v>
      </c>
      <c r="V197" s="9" t="str">
        <f t="shared" si="45"/>
        <v xml:space="preserve"> </v>
      </c>
      <c r="W197" s="9" t="str">
        <f t="shared" si="46"/>
        <v/>
      </c>
      <c r="X197" s="32"/>
      <c r="Y197" s="36"/>
    </row>
    <row r="198" spans="1:25" s="4" customFormat="1" ht="18" customHeight="1">
      <c r="A198" s="36"/>
      <c r="B198" s="69">
        <v>117.29000000000009</v>
      </c>
      <c r="C198" s="69" t="s">
        <v>490</v>
      </c>
      <c r="D198" s="31" t="s">
        <v>708</v>
      </c>
      <c r="E198" s="29" t="s">
        <v>34</v>
      </c>
      <c r="F198" s="28">
        <v>0.7</v>
      </c>
      <c r="G198" s="29">
        <v>0.04</v>
      </c>
      <c r="H198" s="29">
        <v>-0.04</v>
      </c>
      <c r="I198" s="30" t="s">
        <v>39</v>
      </c>
      <c r="J198" s="12">
        <f t="shared" si="40"/>
        <v>0.74</v>
      </c>
      <c r="K198" s="12">
        <f t="shared" si="41"/>
        <v>0.65999999999999992</v>
      </c>
      <c r="L198" s="78"/>
      <c r="M198" s="78"/>
      <c r="N198" s="78"/>
      <c r="O198" s="36"/>
      <c r="P198" s="24" t="str">
        <f t="shared" si="47"/>
        <v xml:space="preserve"> </v>
      </c>
      <c r="Q198" s="25" t="str">
        <f t="shared" si="47"/>
        <v xml:space="preserve"> </v>
      </c>
      <c r="R198" s="25" t="str">
        <f t="shared" si="47"/>
        <v xml:space="preserve"> </v>
      </c>
      <c r="S198" s="26" t="str">
        <f t="shared" si="42"/>
        <v xml:space="preserve"> </v>
      </c>
      <c r="T198" s="7" t="str">
        <f t="shared" si="43"/>
        <v xml:space="preserve"> </v>
      </c>
      <c r="U198" s="8" t="str">
        <f t="shared" si="44"/>
        <v xml:space="preserve"> </v>
      </c>
      <c r="V198" s="9" t="str">
        <f t="shared" si="45"/>
        <v xml:space="preserve"> </v>
      </c>
      <c r="W198" s="9" t="str">
        <f t="shared" si="46"/>
        <v/>
      </c>
      <c r="X198" s="32"/>
      <c r="Y198" s="36"/>
    </row>
    <row r="199" spans="1:25" s="4" customFormat="1" ht="18" customHeight="1">
      <c r="A199" s="36"/>
      <c r="B199" s="69" t="s">
        <v>874</v>
      </c>
      <c r="C199" s="69" t="s">
        <v>491</v>
      </c>
      <c r="D199" s="31" t="s">
        <v>708</v>
      </c>
      <c r="E199" s="29" t="s">
        <v>34</v>
      </c>
      <c r="F199" s="28">
        <v>0.7</v>
      </c>
      <c r="G199" s="29">
        <v>0.04</v>
      </c>
      <c r="H199" s="29">
        <v>-0.04</v>
      </c>
      <c r="I199" s="30" t="s">
        <v>39</v>
      </c>
      <c r="J199" s="12">
        <f t="shared" si="40"/>
        <v>0.74</v>
      </c>
      <c r="K199" s="12">
        <f t="shared" si="41"/>
        <v>0.65999999999999992</v>
      </c>
      <c r="L199" s="78"/>
      <c r="M199" s="78"/>
      <c r="N199" s="78"/>
      <c r="O199" s="36"/>
      <c r="P199" s="24" t="str">
        <f t="shared" si="47"/>
        <v xml:space="preserve"> </v>
      </c>
      <c r="Q199" s="25" t="str">
        <f t="shared" si="47"/>
        <v xml:space="preserve"> </v>
      </c>
      <c r="R199" s="25" t="str">
        <f t="shared" si="47"/>
        <v xml:space="preserve"> </v>
      </c>
      <c r="S199" s="26" t="str">
        <f t="shared" si="42"/>
        <v xml:space="preserve"> </v>
      </c>
      <c r="T199" s="7" t="str">
        <f t="shared" si="43"/>
        <v xml:space="preserve"> </v>
      </c>
      <c r="U199" s="8" t="str">
        <f t="shared" si="44"/>
        <v xml:space="preserve"> </v>
      </c>
      <c r="V199" s="9" t="str">
        <f t="shared" si="45"/>
        <v xml:space="preserve"> </v>
      </c>
      <c r="W199" s="9" t="str">
        <f t="shared" si="46"/>
        <v/>
      </c>
      <c r="X199" s="32"/>
      <c r="Y199" s="36"/>
    </row>
    <row r="200" spans="1:25" s="4" customFormat="1" ht="18" customHeight="1">
      <c r="A200" s="36"/>
      <c r="B200" s="69">
        <v>117.3100000000001</v>
      </c>
      <c r="C200" s="69" t="s">
        <v>492</v>
      </c>
      <c r="D200" s="31" t="s">
        <v>708</v>
      </c>
      <c r="E200" s="29" t="s">
        <v>34</v>
      </c>
      <c r="F200" s="28">
        <v>0.7</v>
      </c>
      <c r="G200" s="29">
        <v>0.04</v>
      </c>
      <c r="H200" s="29">
        <v>-0.04</v>
      </c>
      <c r="I200" s="30" t="s">
        <v>39</v>
      </c>
      <c r="J200" s="12">
        <f t="shared" si="40"/>
        <v>0.74</v>
      </c>
      <c r="K200" s="12">
        <f t="shared" si="41"/>
        <v>0.65999999999999992</v>
      </c>
      <c r="L200" s="78"/>
      <c r="M200" s="78"/>
      <c r="N200" s="78"/>
      <c r="O200" s="36"/>
      <c r="P200" s="24" t="str">
        <f t="shared" si="47"/>
        <v xml:space="preserve"> </v>
      </c>
      <c r="Q200" s="25" t="str">
        <f t="shared" si="47"/>
        <v xml:space="preserve"> </v>
      </c>
      <c r="R200" s="25" t="str">
        <f t="shared" si="47"/>
        <v xml:space="preserve"> </v>
      </c>
      <c r="S200" s="26" t="str">
        <f t="shared" si="42"/>
        <v xml:space="preserve"> </v>
      </c>
      <c r="T200" s="7" t="str">
        <f t="shared" si="43"/>
        <v xml:space="preserve"> </v>
      </c>
      <c r="U200" s="8" t="str">
        <f t="shared" si="44"/>
        <v xml:space="preserve"> </v>
      </c>
      <c r="V200" s="9" t="str">
        <f t="shared" si="45"/>
        <v xml:space="preserve"> </v>
      </c>
      <c r="W200" s="9" t="str">
        <f t="shared" si="46"/>
        <v/>
      </c>
      <c r="X200" s="32"/>
      <c r="Y200" s="36"/>
    </row>
    <row r="201" spans="1:25" s="4" customFormat="1" ht="18" customHeight="1">
      <c r="A201" s="36"/>
      <c r="B201" s="69">
        <v>117.32000000000011</v>
      </c>
      <c r="C201" s="69" t="s">
        <v>493</v>
      </c>
      <c r="D201" s="31" t="s">
        <v>708</v>
      </c>
      <c r="E201" s="29" t="s">
        <v>34</v>
      </c>
      <c r="F201" s="28">
        <v>0.7</v>
      </c>
      <c r="G201" s="29">
        <v>0.04</v>
      </c>
      <c r="H201" s="29">
        <v>-0.04</v>
      </c>
      <c r="I201" s="30" t="s">
        <v>39</v>
      </c>
      <c r="J201" s="12">
        <f t="shared" si="40"/>
        <v>0.74</v>
      </c>
      <c r="K201" s="12">
        <f t="shared" si="41"/>
        <v>0.65999999999999992</v>
      </c>
      <c r="L201" s="78"/>
      <c r="M201" s="78"/>
      <c r="N201" s="78"/>
      <c r="O201" s="36"/>
      <c r="P201" s="24" t="str">
        <f t="shared" si="47"/>
        <v xml:space="preserve"> </v>
      </c>
      <c r="Q201" s="25" t="str">
        <f t="shared" si="47"/>
        <v xml:space="preserve"> </v>
      </c>
      <c r="R201" s="25" t="str">
        <f t="shared" si="47"/>
        <v xml:space="preserve"> </v>
      </c>
      <c r="S201" s="26" t="str">
        <f t="shared" si="42"/>
        <v xml:space="preserve"> </v>
      </c>
      <c r="T201" s="7" t="str">
        <f t="shared" si="43"/>
        <v xml:space="preserve"> </v>
      </c>
      <c r="U201" s="8" t="str">
        <f t="shared" si="44"/>
        <v xml:space="preserve"> </v>
      </c>
      <c r="V201" s="9" t="str">
        <f t="shared" si="45"/>
        <v xml:space="preserve"> </v>
      </c>
      <c r="W201" s="9" t="str">
        <f t="shared" si="46"/>
        <v/>
      </c>
      <c r="X201" s="32"/>
      <c r="Y201" s="36"/>
    </row>
    <row r="202" spans="1:25" s="4" customFormat="1" ht="18" customHeight="1">
      <c r="A202" s="36"/>
      <c r="B202" s="69">
        <v>117.33000000000011</v>
      </c>
      <c r="C202" s="69" t="s">
        <v>494</v>
      </c>
      <c r="D202" s="31" t="s">
        <v>708</v>
      </c>
      <c r="E202" s="29" t="s">
        <v>34</v>
      </c>
      <c r="F202" s="28">
        <v>0.7</v>
      </c>
      <c r="G202" s="29">
        <v>0.04</v>
      </c>
      <c r="H202" s="29">
        <v>-0.04</v>
      </c>
      <c r="I202" s="30" t="s">
        <v>39</v>
      </c>
      <c r="J202" s="12">
        <f t="shared" si="40"/>
        <v>0.74</v>
      </c>
      <c r="K202" s="12">
        <f t="shared" si="41"/>
        <v>0.65999999999999992</v>
      </c>
      <c r="L202" s="78"/>
      <c r="M202" s="78"/>
      <c r="N202" s="78"/>
      <c r="O202" s="36"/>
      <c r="P202" s="24" t="str">
        <f t="shared" si="47"/>
        <v xml:space="preserve"> </v>
      </c>
      <c r="Q202" s="25" t="str">
        <f t="shared" si="47"/>
        <v xml:space="preserve"> </v>
      </c>
      <c r="R202" s="25" t="str">
        <f t="shared" si="47"/>
        <v xml:space="preserve"> </v>
      </c>
      <c r="S202" s="26" t="str">
        <f t="shared" si="42"/>
        <v xml:space="preserve"> </v>
      </c>
      <c r="T202" s="7" t="str">
        <f t="shared" si="43"/>
        <v xml:space="preserve"> </v>
      </c>
      <c r="U202" s="8" t="str">
        <f t="shared" si="44"/>
        <v xml:space="preserve"> </v>
      </c>
      <c r="V202" s="9" t="str">
        <f t="shared" si="45"/>
        <v xml:space="preserve"> </v>
      </c>
      <c r="W202" s="9" t="str">
        <f t="shared" si="46"/>
        <v/>
      </c>
      <c r="X202" s="32"/>
      <c r="Y202" s="36"/>
    </row>
    <row r="203" spans="1:25" s="4" customFormat="1" ht="18" customHeight="1">
      <c r="A203" s="36"/>
      <c r="B203" s="69">
        <v>117.34000000000012</v>
      </c>
      <c r="C203" s="69" t="s">
        <v>495</v>
      </c>
      <c r="D203" s="31" t="s">
        <v>708</v>
      </c>
      <c r="E203" s="29" t="s">
        <v>34</v>
      </c>
      <c r="F203" s="28">
        <v>0.7</v>
      </c>
      <c r="G203" s="29">
        <v>0.04</v>
      </c>
      <c r="H203" s="29">
        <v>-0.04</v>
      </c>
      <c r="I203" s="30" t="s">
        <v>39</v>
      </c>
      <c r="J203" s="12">
        <f t="shared" si="40"/>
        <v>0.74</v>
      </c>
      <c r="K203" s="12">
        <f t="shared" si="41"/>
        <v>0.65999999999999992</v>
      </c>
      <c r="L203" s="78"/>
      <c r="M203" s="78"/>
      <c r="N203" s="78"/>
      <c r="O203" s="36"/>
      <c r="P203" s="24" t="str">
        <f t="shared" si="47"/>
        <v xml:space="preserve"> </v>
      </c>
      <c r="Q203" s="25" t="str">
        <f t="shared" si="47"/>
        <v xml:space="preserve"> </v>
      </c>
      <c r="R203" s="25" t="str">
        <f t="shared" si="47"/>
        <v xml:space="preserve"> </v>
      </c>
      <c r="S203" s="26" t="str">
        <f t="shared" si="42"/>
        <v xml:space="preserve"> </v>
      </c>
      <c r="T203" s="7" t="str">
        <f t="shared" si="43"/>
        <v xml:space="preserve"> </v>
      </c>
      <c r="U203" s="8" t="str">
        <f t="shared" si="44"/>
        <v xml:space="preserve"> </v>
      </c>
      <c r="V203" s="9" t="str">
        <f t="shared" si="45"/>
        <v xml:space="preserve"> </v>
      </c>
      <c r="W203" s="9" t="str">
        <f t="shared" si="46"/>
        <v/>
      </c>
      <c r="X203" s="32"/>
      <c r="Y203" s="36"/>
    </row>
    <row r="204" spans="1:25" s="4" customFormat="1" ht="18" customHeight="1">
      <c r="A204" s="36"/>
      <c r="B204" s="69">
        <v>117.35000000000012</v>
      </c>
      <c r="C204" s="69" t="s">
        <v>496</v>
      </c>
      <c r="D204" s="31" t="s">
        <v>708</v>
      </c>
      <c r="E204" s="29" t="s">
        <v>34</v>
      </c>
      <c r="F204" s="28">
        <v>0.7</v>
      </c>
      <c r="G204" s="29">
        <v>0.04</v>
      </c>
      <c r="H204" s="29">
        <v>-0.04</v>
      </c>
      <c r="I204" s="30" t="s">
        <v>39</v>
      </c>
      <c r="J204" s="12">
        <f t="shared" si="40"/>
        <v>0.74</v>
      </c>
      <c r="K204" s="12">
        <f t="shared" si="41"/>
        <v>0.65999999999999992</v>
      </c>
      <c r="L204" s="78"/>
      <c r="M204" s="78"/>
      <c r="N204" s="78"/>
      <c r="O204" s="36"/>
      <c r="P204" s="24" t="str">
        <f t="shared" si="47"/>
        <v xml:space="preserve"> </v>
      </c>
      <c r="Q204" s="25" t="str">
        <f t="shared" si="47"/>
        <v xml:space="preserve"> </v>
      </c>
      <c r="R204" s="25" t="str">
        <f t="shared" si="47"/>
        <v xml:space="preserve"> </v>
      </c>
      <c r="S204" s="26" t="str">
        <f t="shared" si="42"/>
        <v xml:space="preserve"> </v>
      </c>
      <c r="T204" s="7" t="str">
        <f t="shared" si="43"/>
        <v xml:space="preserve"> </v>
      </c>
      <c r="U204" s="8" t="str">
        <f t="shared" si="44"/>
        <v xml:space="preserve"> </v>
      </c>
      <c r="V204" s="9" t="str">
        <f t="shared" si="45"/>
        <v xml:space="preserve"> </v>
      </c>
      <c r="W204" s="9" t="str">
        <f t="shared" si="46"/>
        <v/>
      </c>
      <c r="X204" s="32"/>
      <c r="Y204" s="36"/>
    </row>
    <row r="205" spans="1:25" s="4" customFormat="1" ht="18" customHeight="1">
      <c r="A205" s="36"/>
      <c r="B205" s="69">
        <v>117.36000000000013</v>
      </c>
      <c r="C205" s="69" t="s">
        <v>497</v>
      </c>
      <c r="D205" s="31" t="s">
        <v>708</v>
      </c>
      <c r="E205" s="29" t="s">
        <v>34</v>
      </c>
      <c r="F205" s="28">
        <v>0.7</v>
      </c>
      <c r="G205" s="29">
        <v>0.04</v>
      </c>
      <c r="H205" s="29">
        <v>-0.04</v>
      </c>
      <c r="I205" s="30" t="s">
        <v>39</v>
      </c>
      <c r="J205" s="12">
        <f t="shared" si="40"/>
        <v>0.74</v>
      </c>
      <c r="K205" s="12">
        <f t="shared" si="41"/>
        <v>0.65999999999999992</v>
      </c>
      <c r="L205" s="78"/>
      <c r="M205" s="78"/>
      <c r="N205" s="78"/>
      <c r="O205" s="36"/>
      <c r="P205" s="24" t="str">
        <f t="shared" si="47"/>
        <v xml:space="preserve"> </v>
      </c>
      <c r="Q205" s="25" t="str">
        <f t="shared" si="47"/>
        <v xml:space="preserve"> </v>
      </c>
      <c r="R205" s="25" t="str">
        <f t="shared" si="47"/>
        <v xml:space="preserve"> </v>
      </c>
      <c r="S205" s="26" t="str">
        <f t="shared" si="42"/>
        <v xml:space="preserve"> </v>
      </c>
      <c r="T205" s="7" t="str">
        <f t="shared" si="43"/>
        <v xml:space="preserve"> </v>
      </c>
      <c r="U205" s="8" t="str">
        <f t="shared" si="44"/>
        <v xml:space="preserve"> </v>
      </c>
      <c r="V205" s="9" t="str">
        <f t="shared" si="45"/>
        <v xml:space="preserve"> </v>
      </c>
      <c r="W205" s="9" t="str">
        <f t="shared" si="46"/>
        <v/>
      </c>
      <c r="X205" s="32"/>
      <c r="Y205" s="36"/>
    </row>
    <row r="206" spans="1:25" s="4" customFormat="1" ht="18" customHeight="1">
      <c r="A206" s="36"/>
      <c r="B206" s="69">
        <v>117.37000000000013</v>
      </c>
      <c r="C206" s="69" t="s">
        <v>498</v>
      </c>
      <c r="D206" s="31" t="s">
        <v>708</v>
      </c>
      <c r="E206" s="29" t="s">
        <v>34</v>
      </c>
      <c r="F206" s="28">
        <v>0.7</v>
      </c>
      <c r="G206" s="29">
        <v>0.04</v>
      </c>
      <c r="H206" s="29">
        <v>-0.04</v>
      </c>
      <c r="I206" s="30" t="s">
        <v>39</v>
      </c>
      <c r="J206" s="12">
        <f t="shared" si="40"/>
        <v>0.74</v>
      </c>
      <c r="K206" s="12">
        <f t="shared" si="41"/>
        <v>0.65999999999999992</v>
      </c>
      <c r="L206" s="78"/>
      <c r="M206" s="78"/>
      <c r="N206" s="78"/>
      <c r="O206" s="36"/>
      <c r="P206" s="24" t="str">
        <f t="shared" si="47"/>
        <v xml:space="preserve"> </v>
      </c>
      <c r="Q206" s="25" t="str">
        <f t="shared" si="47"/>
        <v xml:space="preserve"> </v>
      </c>
      <c r="R206" s="25" t="str">
        <f t="shared" si="47"/>
        <v xml:space="preserve"> </v>
      </c>
      <c r="S206" s="26" t="str">
        <f t="shared" si="42"/>
        <v xml:space="preserve"> </v>
      </c>
      <c r="T206" s="7" t="str">
        <f t="shared" si="43"/>
        <v xml:space="preserve"> </v>
      </c>
      <c r="U206" s="8" t="str">
        <f t="shared" si="44"/>
        <v xml:space="preserve"> </v>
      </c>
      <c r="V206" s="9" t="str">
        <f t="shared" si="45"/>
        <v xml:space="preserve"> </v>
      </c>
      <c r="W206" s="9" t="str">
        <f t="shared" si="46"/>
        <v/>
      </c>
      <c r="X206" s="32"/>
      <c r="Y206" s="36"/>
    </row>
    <row r="207" spans="1:25" s="4" customFormat="1" ht="18" customHeight="1">
      <c r="A207" s="36"/>
      <c r="B207" s="69">
        <v>117.38000000000014</v>
      </c>
      <c r="C207" s="69" t="s">
        <v>499</v>
      </c>
      <c r="D207" s="31" t="s">
        <v>708</v>
      </c>
      <c r="E207" s="29" t="s">
        <v>34</v>
      </c>
      <c r="F207" s="28">
        <v>0.7</v>
      </c>
      <c r="G207" s="29">
        <v>0.04</v>
      </c>
      <c r="H207" s="29">
        <v>-0.04</v>
      </c>
      <c r="I207" s="30" t="s">
        <v>39</v>
      </c>
      <c r="J207" s="12">
        <f t="shared" si="40"/>
        <v>0.74</v>
      </c>
      <c r="K207" s="12">
        <f t="shared" si="41"/>
        <v>0.65999999999999992</v>
      </c>
      <c r="L207" s="78"/>
      <c r="M207" s="78"/>
      <c r="N207" s="78"/>
      <c r="O207" s="36"/>
      <c r="P207" s="24" t="str">
        <f t="shared" si="47"/>
        <v xml:space="preserve"> </v>
      </c>
      <c r="Q207" s="25" t="str">
        <f t="shared" si="47"/>
        <v xml:space="preserve"> </v>
      </c>
      <c r="R207" s="25" t="str">
        <f t="shared" si="47"/>
        <v xml:space="preserve"> </v>
      </c>
      <c r="S207" s="26" t="str">
        <f t="shared" si="42"/>
        <v xml:space="preserve"> </v>
      </c>
      <c r="T207" s="7" t="str">
        <f t="shared" si="43"/>
        <v xml:space="preserve"> </v>
      </c>
      <c r="U207" s="8" t="str">
        <f t="shared" si="44"/>
        <v xml:space="preserve"> </v>
      </c>
      <c r="V207" s="9" t="str">
        <f t="shared" si="45"/>
        <v xml:space="preserve"> </v>
      </c>
      <c r="W207" s="9" t="str">
        <f t="shared" si="46"/>
        <v/>
      </c>
      <c r="X207" s="32"/>
      <c r="Y207" s="36"/>
    </row>
    <row r="208" spans="1:25" s="4" customFormat="1" ht="18" customHeight="1">
      <c r="A208" s="36"/>
      <c r="B208" s="69">
        <v>117.39000000000014</v>
      </c>
      <c r="C208" s="69" t="s">
        <v>500</v>
      </c>
      <c r="D208" s="31" t="s">
        <v>708</v>
      </c>
      <c r="E208" s="29" t="s">
        <v>34</v>
      </c>
      <c r="F208" s="28">
        <v>0.7</v>
      </c>
      <c r="G208" s="29">
        <v>0.04</v>
      </c>
      <c r="H208" s="29">
        <v>-0.04</v>
      </c>
      <c r="I208" s="30" t="s">
        <v>39</v>
      </c>
      <c r="J208" s="12">
        <f t="shared" si="40"/>
        <v>0.74</v>
      </c>
      <c r="K208" s="12">
        <f t="shared" si="41"/>
        <v>0.65999999999999992</v>
      </c>
      <c r="L208" s="78"/>
      <c r="M208" s="78"/>
      <c r="N208" s="78"/>
      <c r="O208" s="36"/>
      <c r="P208" s="24" t="str">
        <f t="shared" si="47"/>
        <v xml:space="preserve"> </v>
      </c>
      <c r="Q208" s="25" t="str">
        <f t="shared" si="47"/>
        <v xml:space="preserve"> </v>
      </c>
      <c r="R208" s="25" t="str">
        <f t="shared" si="47"/>
        <v xml:space="preserve"> </v>
      </c>
      <c r="S208" s="26" t="str">
        <f t="shared" si="42"/>
        <v xml:space="preserve"> </v>
      </c>
      <c r="T208" s="7" t="str">
        <f t="shared" si="43"/>
        <v xml:space="preserve"> </v>
      </c>
      <c r="U208" s="8" t="str">
        <f t="shared" si="44"/>
        <v xml:space="preserve"> </v>
      </c>
      <c r="V208" s="9" t="str">
        <f t="shared" si="45"/>
        <v xml:space="preserve"> </v>
      </c>
      <c r="W208" s="9" t="str">
        <f t="shared" si="46"/>
        <v/>
      </c>
      <c r="X208" s="32"/>
      <c r="Y208" s="36"/>
    </row>
    <row r="209" spans="1:25" s="4" customFormat="1" ht="18" customHeight="1">
      <c r="A209" s="36"/>
      <c r="B209" s="69" t="s">
        <v>875</v>
      </c>
      <c r="C209" s="69" t="s">
        <v>501</v>
      </c>
      <c r="D209" s="31" t="s">
        <v>708</v>
      </c>
      <c r="E209" s="29" t="s">
        <v>34</v>
      </c>
      <c r="F209" s="28">
        <v>0.7</v>
      </c>
      <c r="G209" s="29">
        <v>0.04</v>
      </c>
      <c r="H209" s="29">
        <v>-0.04</v>
      </c>
      <c r="I209" s="30" t="s">
        <v>39</v>
      </c>
      <c r="J209" s="12">
        <f t="shared" si="40"/>
        <v>0.74</v>
      </c>
      <c r="K209" s="12">
        <f t="shared" si="41"/>
        <v>0.65999999999999992</v>
      </c>
      <c r="L209" s="78"/>
      <c r="M209" s="78"/>
      <c r="N209" s="78"/>
      <c r="O209" s="36"/>
      <c r="P209" s="24" t="str">
        <f t="shared" si="47"/>
        <v xml:space="preserve"> </v>
      </c>
      <c r="Q209" s="25" t="str">
        <f t="shared" si="47"/>
        <v xml:space="preserve"> </v>
      </c>
      <c r="R209" s="25" t="str">
        <f t="shared" si="47"/>
        <v xml:space="preserve"> </v>
      </c>
      <c r="S209" s="26" t="str">
        <f t="shared" si="42"/>
        <v xml:space="preserve"> </v>
      </c>
      <c r="T209" s="7" t="str">
        <f t="shared" si="43"/>
        <v xml:space="preserve"> </v>
      </c>
      <c r="U209" s="8" t="str">
        <f t="shared" si="44"/>
        <v xml:space="preserve"> </v>
      </c>
      <c r="V209" s="9" t="str">
        <f t="shared" si="45"/>
        <v xml:space="preserve"> </v>
      </c>
      <c r="W209" s="9" t="str">
        <f t="shared" si="46"/>
        <v/>
      </c>
      <c r="X209" s="32"/>
      <c r="Y209" s="36"/>
    </row>
    <row r="210" spans="1:25" s="4" customFormat="1" ht="18" customHeight="1">
      <c r="A210" s="36"/>
      <c r="B210" s="69">
        <v>117.41000000000015</v>
      </c>
      <c r="C210" s="69" t="s">
        <v>502</v>
      </c>
      <c r="D210" s="31" t="s">
        <v>708</v>
      </c>
      <c r="E210" s="29" t="s">
        <v>34</v>
      </c>
      <c r="F210" s="28">
        <v>0.7</v>
      </c>
      <c r="G210" s="29">
        <v>0.04</v>
      </c>
      <c r="H210" s="29">
        <v>-0.04</v>
      </c>
      <c r="I210" s="30" t="s">
        <v>39</v>
      </c>
      <c r="J210" s="12">
        <f t="shared" si="40"/>
        <v>0.74</v>
      </c>
      <c r="K210" s="12">
        <f t="shared" si="41"/>
        <v>0.65999999999999992</v>
      </c>
      <c r="L210" s="78"/>
      <c r="M210" s="78"/>
      <c r="N210" s="78"/>
      <c r="O210" s="36"/>
      <c r="P210" s="24" t="str">
        <f t="shared" si="47"/>
        <v xml:space="preserve"> </v>
      </c>
      <c r="Q210" s="25" t="str">
        <f t="shared" si="47"/>
        <v xml:space="preserve"> </v>
      </c>
      <c r="R210" s="25" t="str">
        <f t="shared" si="47"/>
        <v xml:space="preserve"> </v>
      </c>
      <c r="S210" s="26" t="str">
        <f t="shared" si="42"/>
        <v xml:space="preserve"> </v>
      </c>
      <c r="T210" s="7" t="str">
        <f t="shared" si="43"/>
        <v xml:space="preserve"> </v>
      </c>
      <c r="U210" s="8" t="str">
        <f t="shared" si="44"/>
        <v xml:space="preserve"> </v>
      </c>
      <c r="V210" s="9" t="str">
        <f t="shared" si="45"/>
        <v xml:space="preserve"> </v>
      </c>
      <c r="W210" s="9" t="str">
        <f t="shared" si="46"/>
        <v/>
      </c>
      <c r="X210" s="32"/>
      <c r="Y210" s="36"/>
    </row>
    <row r="211" spans="1:25" s="4" customFormat="1" ht="18" customHeight="1">
      <c r="A211" s="36"/>
      <c r="B211" s="69">
        <v>117.42000000000016</v>
      </c>
      <c r="C211" s="69" t="s">
        <v>503</v>
      </c>
      <c r="D211" s="31" t="s">
        <v>708</v>
      </c>
      <c r="E211" s="29" t="s">
        <v>34</v>
      </c>
      <c r="F211" s="28">
        <v>0.7</v>
      </c>
      <c r="G211" s="29">
        <v>0.04</v>
      </c>
      <c r="H211" s="29">
        <v>-0.04</v>
      </c>
      <c r="I211" s="30" t="s">
        <v>39</v>
      </c>
      <c r="J211" s="12">
        <f t="shared" ref="J211:J274" si="48">IF(AND(F211="",G211=""),"",IF(F211="",G211,F211+G211))</f>
        <v>0.74</v>
      </c>
      <c r="K211" s="12">
        <f t="shared" ref="K211:K274" si="49">IF(AND(F211="",H211=""),"",IF(F211="",H211,F211+H211))</f>
        <v>0.65999999999999992</v>
      </c>
      <c r="L211" s="78"/>
      <c r="M211" s="78"/>
      <c r="N211" s="78"/>
      <c r="O211" s="36"/>
      <c r="P211" s="24" t="str">
        <f t="shared" si="47"/>
        <v xml:space="preserve"> </v>
      </c>
      <c r="Q211" s="25" t="str">
        <f t="shared" si="47"/>
        <v xml:space="preserve"> </v>
      </c>
      <c r="R211" s="25" t="str">
        <f t="shared" si="47"/>
        <v xml:space="preserve"> </v>
      </c>
      <c r="S211" s="26" t="str">
        <f t="shared" si="42"/>
        <v xml:space="preserve"> </v>
      </c>
      <c r="T211" s="7" t="str">
        <f t="shared" si="43"/>
        <v xml:space="preserve"> </v>
      </c>
      <c r="U211" s="8" t="str">
        <f t="shared" si="44"/>
        <v xml:space="preserve"> </v>
      </c>
      <c r="V211" s="9" t="str">
        <f t="shared" si="45"/>
        <v xml:space="preserve"> </v>
      </c>
      <c r="W211" s="9" t="str">
        <f t="shared" si="46"/>
        <v/>
      </c>
      <c r="X211" s="32"/>
      <c r="Y211" s="36"/>
    </row>
    <row r="212" spans="1:25" s="4" customFormat="1" ht="18" customHeight="1">
      <c r="A212" s="36"/>
      <c r="B212" s="69">
        <v>117.43000000000016</v>
      </c>
      <c r="C212" s="69" t="s">
        <v>504</v>
      </c>
      <c r="D212" s="31" t="s">
        <v>708</v>
      </c>
      <c r="E212" s="29" t="s">
        <v>34</v>
      </c>
      <c r="F212" s="28">
        <v>0.7</v>
      </c>
      <c r="G212" s="29">
        <v>0.04</v>
      </c>
      <c r="H212" s="29">
        <v>-0.04</v>
      </c>
      <c r="I212" s="30" t="s">
        <v>39</v>
      </c>
      <c r="J212" s="12">
        <f t="shared" si="48"/>
        <v>0.74</v>
      </c>
      <c r="K212" s="12">
        <f t="shared" si="49"/>
        <v>0.65999999999999992</v>
      </c>
      <c r="L212" s="78"/>
      <c r="M212" s="78"/>
      <c r="N212" s="78"/>
      <c r="O212" s="36"/>
      <c r="P212" s="24" t="str">
        <f t="shared" si="47"/>
        <v xml:space="preserve"> </v>
      </c>
      <c r="Q212" s="25" t="str">
        <f t="shared" si="47"/>
        <v xml:space="preserve"> </v>
      </c>
      <c r="R212" s="25" t="str">
        <f t="shared" si="47"/>
        <v xml:space="preserve"> </v>
      </c>
      <c r="S212" s="26" t="str">
        <f t="shared" si="42"/>
        <v xml:space="preserve"> </v>
      </c>
      <c r="T212" s="7" t="str">
        <f t="shared" si="43"/>
        <v xml:space="preserve"> </v>
      </c>
      <c r="U212" s="8" t="str">
        <f t="shared" si="44"/>
        <v xml:space="preserve"> </v>
      </c>
      <c r="V212" s="9" t="str">
        <f t="shared" si="45"/>
        <v xml:space="preserve"> </v>
      </c>
      <c r="W212" s="9" t="str">
        <f t="shared" si="46"/>
        <v/>
      </c>
      <c r="X212" s="32"/>
      <c r="Y212" s="36"/>
    </row>
    <row r="213" spans="1:25" s="4" customFormat="1" ht="18" customHeight="1">
      <c r="A213" s="36"/>
      <c r="B213" s="69">
        <v>117.44000000000017</v>
      </c>
      <c r="C213" s="69" t="s">
        <v>505</v>
      </c>
      <c r="D213" s="31" t="s">
        <v>708</v>
      </c>
      <c r="E213" s="29" t="s">
        <v>34</v>
      </c>
      <c r="F213" s="28">
        <v>0.7</v>
      </c>
      <c r="G213" s="29">
        <v>0.04</v>
      </c>
      <c r="H213" s="29">
        <v>-0.04</v>
      </c>
      <c r="I213" s="30" t="s">
        <v>39</v>
      </c>
      <c r="J213" s="12">
        <f t="shared" si="48"/>
        <v>0.74</v>
      </c>
      <c r="K213" s="12">
        <f t="shared" si="49"/>
        <v>0.65999999999999992</v>
      </c>
      <c r="L213" s="78"/>
      <c r="M213" s="78"/>
      <c r="N213" s="78"/>
      <c r="O213" s="36"/>
      <c r="P213" s="24" t="str">
        <f t="shared" si="47"/>
        <v xml:space="preserve"> </v>
      </c>
      <c r="Q213" s="25" t="str">
        <f t="shared" si="47"/>
        <v xml:space="preserve"> </v>
      </c>
      <c r="R213" s="25" t="str">
        <f t="shared" si="47"/>
        <v xml:space="preserve"> </v>
      </c>
      <c r="S213" s="26" t="str">
        <f t="shared" si="42"/>
        <v xml:space="preserve"> </v>
      </c>
      <c r="T213" s="7" t="str">
        <f t="shared" si="43"/>
        <v xml:space="preserve"> </v>
      </c>
      <c r="U213" s="8" t="str">
        <f t="shared" si="44"/>
        <v xml:space="preserve"> </v>
      </c>
      <c r="V213" s="9" t="str">
        <f t="shared" si="45"/>
        <v xml:space="preserve"> </v>
      </c>
      <c r="W213" s="9" t="str">
        <f t="shared" si="46"/>
        <v/>
      </c>
      <c r="X213" s="32"/>
      <c r="Y213" s="36"/>
    </row>
    <row r="214" spans="1:25" s="4" customFormat="1" ht="18" customHeight="1">
      <c r="A214" s="36"/>
      <c r="B214" s="69">
        <v>117.45000000000017</v>
      </c>
      <c r="C214" s="69" t="s">
        <v>506</v>
      </c>
      <c r="D214" s="31" t="s">
        <v>708</v>
      </c>
      <c r="E214" s="29" t="s">
        <v>34</v>
      </c>
      <c r="F214" s="28">
        <v>0.7</v>
      </c>
      <c r="G214" s="29">
        <v>0.04</v>
      </c>
      <c r="H214" s="29">
        <v>-0.04</v>
      </c>
      <c r="I214" s="30" t="s">
        <v>39</v>
      </c>
      <c r="J214" s="12">
        <f t="shared" si="48"/>
        <v>0.74</v>
      </c>
      <c r="K214" s="12">
        <f t="shared" si="49"/>
        <v>0.65999999999999992</v>
      </c>
      <c r="L214" s="78"/>
      <c r="M214" s="78"/>
      <c r="N214" s="78"/>
      <c r="O214" s="36"/>
      <c r="P214" s="24" t="str">
        <f t="shared" si="47"/>
        <v xml:space="preserve"> </v>
      </c>
      <c r="Q214" s="25" t="str">
        <f t="shared" si="47"/>
        <v xml:space="preserve"> </v>
      </c>
      <c r="R214" s="25" t="str">
        <f t="shared" si="47"/>
        <v xml:space="preserve"> </v>
      </c>
      <c r="S214" s="26" t="str">
        <f t="shared" si="42"/>
        <v xml:space="preserve"> </v>
      </c>
      <c r="T214" s="7" t="str">
        <f t="shared" si="43"/>
        <v xml:space="preserve"> </v>
      </c>
      <c r="U214" s="8" t="str">
        <f t="shared" si="44"/>
        <v xml:space="preserve"> </v>
      </c>
      <c r="V214" s="9" t="str">
        <f t="shared" si="45"/>
        <v xml:space="preserve"> </v>
      </c>
      <c r="W214" s="9" t="str">
        <f t="shared" si="46"/>
        <v/>
      </c>
      <c r="X214" s="32"/>
      <c r="Y214" s="36"/>
    </row>
    <row r="215" spans="1:25" s="4" customFormat="1" ht="18" customHeight="1">
      <c r="A215" s="36"/>
      <c r="B215" s="69">
        <v>117.46000000000018</v>
      </c>
      <c r="C215" s="69" t="s">
        <v>507</v>
      </c>
      <c r="D215" s="31" t="s">
        <v>708</v>
      </c>
      <c r="E215" s="29" t="s">
        <v>34</v>
      </c>
      <c r="F215" s="28">
        <v>0.7</v>
      </c>
      <c r="G215" s="29">
        <v>0.04</v>
      </c>
      <c r="H215" s="29">
        <v>-0.04</v>
      </c>
      <c r="I215" s="30" t="s">
        <v>39</v>
      </c>
      <c r="J215" s="12">
        <f t="shared" si="48"/>
        <v>0.74</v>
      </c>
      <c r="K215" s="12">
        <f t="shared" si="49"/>
        <v>0.65999999999999992</v>
      </c>
      <c r="L215" s="78"/>
      <c r="M215" s="78"/>
      <c r="N215" s="78"/>
      <c r="O215" s="36"/>
      <c r="P215" s="24" t="str">
        <f t="shared" si="47"/>
        <v xml:space="preserve"> </v>
      </c>
      <c r="Q215" s="25" t="str">
        <f t="shared" si="47"/>
        <v xml:space="preserve"> </v>
      </c>
      <c r="R215" s="25" t="str">
        <f t="shared" si="47"/>
        <v xml:space="preserve"> </v>
      </c>
      <c r="S215" s="26" t="str">
        <f t="shared" si="42"/>
        <v xml:space="preserve"> </v>
      </c>
      <c r="T215" s="7" t="str">
        <f t="shared" si="43"/>
        <v xml:space="preserve"> </v>
      </c>
      <c r="U215" s="8" t="str">
        <f t="shared" si="44"/>
        <v xml:space="preserve"> </v>
      </c>
      <c r="V215" s="9" t="str">
        <f t="shared" si="45"/>
        <v xml:space="preserve"> </v>
      </c>
      <c r="W215" s="9" t="str">
        <f t="shared" si="46"/>
        <v/>
      </c>
      <c r="X215" s="32"/>
      <c r="Y215" s="36"/>
    </row>
    <row r="216" spans="1:25" s="4" customFormat="1" ht="18" customHeight="1">
      <c r="A216" s="36"/>
      <c r="B216" s="69">
        <v>117.47000000000018</v>
      </c>
      <c r="C216" s="69" t="s">
        <v>508</v>
      </c>
      <c r="D216" s="31" t="s">
        <v>708</v>
      </c>
      <c r="E216" s="29" t="s">
        <v>34</v>
      </c>
      <c r="F216" s="28">
        <v>0.7</v>
      </c>
      <c r="G216" s="29">
        <v>0.04</v>
      </c>
      <c r="H216" s="29">
        <v>-0.04</v>
      </c>
      <c r="I216" s="30" t="s">
        <v>39</v>
      </c>
      <c r="J216" s="12">
        <f t="shared" si="48"/>
        <v>0.74</v>
      </c>
      <c r="K216" s="12">
        <f t="shared" si="49"/>
        <v>0.65999999999999992</v>
      </c>
      <c r="L216" s="78"/>
      <c r="M216" s="78"/>
      <c r="N216" s="78"/>
      <c r="O216" s="36"/>
      <c r="P216" s="24" t="str">
        <f t="shared" si="47"/>
        <v xml:space="preserve"> </v>
      </c>
      <c r="Q216" s="25" t="str">
        <f t="shared" si="47"/>
        <v xml:space="preserve"> </v>
      </c>
      <c r="R216" s="25" t="str">
        <f t="shared" si="47"/>
        <v xml:space="preserve"> </v>
      </c>
      <c r="S216" s="26" t="str">
        <f t="shared" si="42"/>
        <v xml:space="preserve"> </v>
      </c>
      <c r="T216" s="7" t="str">
        <f t="shared" si="43"/>
        <v xml:space="preserve"> </v>
      </c>
      <c r="U216" s="8" t="str">
        <f t="shared" si="44"/>
        <v xml:space="preserve"> </v>
      </c>
      <c r="V216" s="9" t="str">
        <f t="shared" si="45"/>
        <v xml:space="preserve"> </v>
      </c>
      <c r="W216" s="9" t="str">
        <f t="shared" si="46"/>
        <v/>
      </c>
      <c r="X216" s="32"/>
      <c r="Y216" s="36"/>
    </row>
    <row r="217" spans="1:25" s="4" customFormat="1" ht="18" customHeight="1">
      <c r="A217" s="36"/>
      <c r="B217" s="69">
        <v>117.48000000000019</v>
      </c>
      <c r="C217" s="69" t="s">
        <v>509</v>
      </c>
      <c r="D217" s="31" t="s">
        <v>708</v>
      </c>
      <c r="E217" s="29" t="s">
        <v>34</v>
      </c>
      <c r="F217" s="28">
        <v>0.7</v>
      </c>
      <c r="G217" s="29">
        <v>0.04</v>
      </c>
      <c r="H217" s="29">
        <v>-0.04</v>
      </c>
      <c r="I217" s="30" t="s">
        <v>39</v>
      </c>
      <c r="J217" s="12">
        <f t="shared" si="48"/>
        <v>0.74</v>
      </c>
      <c r="K217" s="12">
        <f t="shared" si="49"/>
        <v>0.65999999999999992</v>
      </c>
      <c r="L217" s="78"/>
      <c r="M217" s="78"/>
      <c r="N217" s="78"/>
      <c r="O217" s="36"/>
      <c r="P217" s="24" t="str">
        <f t="shared" si="47"/>
        <v xml:space="preserve"> </v>
      </c>
      <c r="Q217" s="25" t="str">
        <f t="shared" si="47"/>
        <v xml:space="preserve"> </v>
      </c>
      <c r="R217" s="25" t="str">
        <f t="shared" si="47"/>
        <v xml:space="preserve"> </v>
      </c>
      <c r="S217" s="26" t="str">
        <f t="shared" si="42"/>
        <v xml:space="preserve"> </v>
      </c>
      <c r="T217" s="7" t="str">
        <f t="shared" si="43"/>
        <v xml:space="preserve"> </v>
      </c>
      <c r="U217" s="8" t="str">
        <f t="shared" si="44"/>
        <v xml:space="preserve"> </v>
      </c>
      <c r="V217" s="9" t="str">
        <f t="shared" si="45"/>
        <v xml:space="preserve"> </v>
      </c>
      <c r="W217" s="9" t="str">
        <f t="shared" si="46"/>
        <v/>
      </c>
      <c r="X217" s="32"/>
      <c r="Y217" s="36"/>
    </row>
    <row r="218" spans="1:25" s="4" customFormat="1" ht="18" customHeight="1">
      <c r="A218" s="36"/>
      <c r="B218" s="69">
        <v>117.49000000000019</v>
      </c>
      <c r="C218" s="69" t="s">
        <v>510</v>
      </c>
      <c r="D218" s="31" t="s">
        <v>708</v>
      </c>
      <c r="E218" s="29" t="s">
        <v>34</v>
      </c>
      <c r="F218" s="28">
        <v>0.7</v>
      </c>
      <c r="G218" s="29">
        <v>0.04</v>
      </c>
      <c r="H218" s="29">
        <v>-0.04</v>
      </c>
      <c r="I218" s="30" t="s">
        <v>39</v>
      </c>
      <c r="J218" s="12">
        <f t="shared" si="48"/>
        <v>0.74</v>
      </c>
      <c r="K218" s="12">
        <f t="shared" si="49"/>
        <v>0.65999999999999992</v>
      </c>
      <c r="L218" s="78"/>
      <c r="M218" s="78"/>
      <c r="N218" s="78"/>
      <c r="O218" s="36"/>
      <c r="P218" s="24" t="str">
        <f t="shared" si="47"/>
        <v xml:space="preserve"> </v>
      </c>
      <c r="Q218" s="25" t="str">
        <f t="shared" si="47"/>
        <v xml:space="preserve"> </v>
      </c>
      <c r="R218" s="25" t="str">
        <f t="shared" si="47"/>
        <v xml:space="preserve"> </v>
      </c>
      <c r="S218" s="26" t="str">
        <f t="shared" si="42"/>
        <v xml:space="preserve"> </v>
      </c>
      <c r="T218" s="7" t="str">
        <f t="shared" si="43"/>
        <v xml:space="preserve"> </v>
      </c>
      <c r="U218" s="8" t="str">
        <f t="shared" si="44"/>
        <v xml:space="preserve"> </v>
      </c>
      <c r="V218" s="9" t="str">
        <f t="shared" si="45"/>
        <v xml:space="preserve"> </v>
      </c>
      <c r="W218" s="9" t="str">
        <f t="shared" si="46"/>
        <v/>
      </c>
      <c r="X218" s="32"/>
      <c r="Y218" s="36"/>
    </row>
    <row r="219" spans="1:25" s="4" customFormat="1" ht="18" customHeight="1">
      <c r="A219" s="36"/>
      <c r="B219" s="69" t="s">
        <v>876</v>
      </c>
      <c r="C219" s="69" t="s">
        <v>511</v>
      </c>
      <c r="D219" s="31" t="s">
        <v>708</v>
      </c>
      <c r="E219" s="29" t="s">
        <v>34</v>
      </c>
      <c r="F219" s="28">
        <v>0.7</v>
      </c>
      <c r="G219" s="29">
        <v>0.04</v>
      </c>
      <c r="H219" s="29">
        <v>-0.04</v>
      </c>
      <c r="I219" s="30" t="s">
        <v>39</v>
      </c>
      <c r="J219" s="12">
        <f t="shared" si="48"/>
        <v>0.74</v>
      </c>
      <c r="K219" s="12">
        <f t="shared" si="49"/>
        <v>0.65999999999999992</v>
      </c>
      <c r="L219" s="78"/>
      <c r="M219" s="78"/>
      <c r="N219" s="78"/>
      <c r="O219" s="36"/>
      <c r="P219" s="24" t="str">
        <f t="shared" si="47"/>
        <v xml:space="preserve"> </v>
      </c>
      <c r="Q219" s="25" t="str">
        <f t="shared" si="47"/>
        <v xml:space="preserve"> </v>
      </c>
      <c r="R219" s="25" t="str">
        <f t="shared" si="47"/>
        <v xml:space="preserve"> </v>
      </c>
      <c r="S219" s="26" t="str">
        <f t="shared" si="42"/>
        <v xml:space="preserve"> </v>
      </c>
      <c r="T219" s="7" t="str">
        <f t="shared" si="43"/>
        <v xml:space="preserve"> </v>
      </c>
      <c r="U219" s="8" t="str">
        <f t="shared" si="44"/>
        <v xml:space="preserve"> </v>
      </c>
      <c r="V219" s="9" t="str">
        <f t="shared" si="45"/>
        <v xml:space="preserve"> </v>
      </c>
      <c r="W219" s="9" t="str">
        <f t="shared" si="46"/>
        <v/>
      </c>
      <c r="X219" s="32"/>
      <c r="Y219" s="36"/>
    </row>
    <row r="220" spans="1:25" s="4" customFormat="1" ht="18" customHeight="1">
      <c r="A220" s="36"/>
      <c r="B220" s="69">
        <v>117.5100000000002</v>
      </c>
      <c r="C220" s="69" t="s">
        <v>512</v>
      </c>
      <c r="D220" s="31" t="s">
        <v>708</v>
      </c>
      <c r="E220" s="29" t="s">
        <v>34</v>
      </c>
      <c r="F220" s="28">
        <v>0.7</v>
      </c>
      <c r="G220" s="29">
        <v>0.04</v>
      </c>
      <c r="H220" s="29">
        <v>-0.04</v>
      </c>
      <c r="I220" s="30" t="s">
        <v>39</v>
      </c>
      <c r="J220" s="12">
        <f t="shared" si="48"/>
        <v>0.74</v>
      </c>
      <c r="K220" s="12">
        <f t="shared" si="49"/>
        <v>0.65999999999999992</v>
      </c>
      <c r="L220" s="78"/>
      <c r="M220" s="78"/>
      <c r="N220" s="78"/>
      <c r="O220" s="36"/>
      <c r="P220" s="24" t="str">
        <f t="shared" si="47"/>
        <v xml:space="preserve"> </v>
      </c>
      <c r="Q220" s="25" t="str">
        <f t="shared" si="47"/>
        <v xml:space="preserve"> </v>
      </c>
      <c r="R220" s="25" t="str">
        <f t="shared" si="47"/>
        <v xml:space="preserve"> </v>
      </c>
      <c r="S220" s="26" t="str">
        <f t="shared" si="42"/>
        <v xml:space="preserve"> </v>
      </c>
      <c r="T220" s="7" t="str">
        <f t="shared" si="43"/>
        <v xml:space="preserve"> </v>
      </c>
      <c r="U220" s="8" t="str">
        <f t="shared" si="44"/>
        <v xml:space="preserve"> </v>
      </c>
      <c r="V220" s="9" t="str">
        <f t="shared" si="45"/>
        <v xml:space="preserve"> </v>
      </c>
      <c r="W220" s="9" t="str">
        <f t="shared" si="46"/>
        <v/>
      </c>
      <c r="X220" s="32"/>
      <c r="Y220" s="36"/>
    </row>
    <row r="221" spans="1:25" s="4" customFormat="1" ht="18" customHeight="1">
      <c r="A221" s="36"/>
      <c r="B221" s="69">
        <v>117.52000000000021</v>
      </c>
      <c r="C221" s="69" t="s">
        <v>513</v>
      </c>
      <c r="D221" s="31" t="s">
        <v>708</v>
      </c>
      <c r="E221" s="29" t="s">
        <v>34</v>
      </c>
      <c r="F221" s="28">
        <v>0.7</v>
      </c>
      <c r="G221" s="29">
        <v>0.04</v>
      </c>
      <c r="H221" s="29">
        <v>-0.04</v>
      </c>
      <c r="I221" s="30" t="s">
        <v>39</v>
      </c>
      <c r="J221" s="12">
        <f t="shared" si="48"/>
        <v>0.74</v>
      </c>
      <c r="K221" s="12">
        <f t="shared" si="49"/>
        <v>0.65999999999999992</v>
      </c>
      <c r="L221" s="78"/>
      <c r="M221" s="78"/>
      <c r="N221" s="78"/>
      <c r="O221" s="36"/>
      <c r="P221" s="24" t="str">
        <f t="shared" si="47"/>
        <v xml:space="preserve"> </v>
      </c>
      <c r="Q221" s="25" t="str">
        <f t="shared" si="47"/>
        <v xml:space="preserve"> </v>
      </c>
      <c r="R221" s="25" t="str">
        <f t="shared" si="47"/>
        <v xml:space="preserve"> </v>
      </c>
      <c r="S221" s="26" t="str">
        <f t="shared" si="42"/>
        <v xml:space="preserve"> </v>
      </c>
      <c r="T221" s="7" t="str">
        <f t="shared" si="43"/>
        <v xml:space="preserve"> </v>
      </c>
      <c r="U221" s="8" t="str">
        <f t="shared" si="44"/>
        <v xml:space="preserve"> </v>
      </c>
      <c r="V221" s="9" t="str">
        <f t="shared" si="45"/>
        <v xml:space="preserve"> </v>
      </c>
      <c r="W221" s="9" t="str">
        <f t="shared" si="46"/>
        <v/>
      </c>
      <c r="X221" s="32"/>
      <c r="Y221" s="36"/>
    </row>
    <row r="222" spans="1:25" s="4" customFormat="1" ht="18" customHeight="1">
      <c r="A222" s="36"/>
      <c r="B222" s="69">
        <v>117.53000000000021</v>
      </c>
      <c r="C222" s="69" t="s">
        <v>514</v>
      </c>
      <c r="D222" s="31" t="s">
        <v>708</v>
      </c>
      <c r="E222" s="29" t="s">
        <v>34</v>
      </c>
      <c r="F222" s="28">
        <v>0.7</v>
      </c>
      <c r="G222" s="29">
        <v>0.04</v>
      </c>
      <c r="H222" s="29">
        <v>-0.04</v>
      </c>
      <c r="I222" s="30" t="s">
        <v>39</v>
      </c>
      <c r="J222" s="12">
        <f t="shared" si="48"/>
        <v>0.74</v>
      </c>
      <c r="K222" s="12">
        <f t="shared" si="49"/>
        <v>0.65999999999999992</v>
      </c>
      <c r="L222" s="78"/>
      <c r="M222" s="78"/>
      <c r="N222" s="78"/>
      <c r="O222" s="36"/>
      <c r="P222" s="24" t="str">
        <f t="shared" si="47"/>
        <v xml:space="preserve"> </v>
      </c>
      <c r="Q222" s="25" t="str">
        <f t="shared" si="47"/>
        <v xml:space="preserve"> </v>
      </c>
      <c r="R222" s="25" t="str">
        <f t="shared" si="47"/>
        <v xml:space="preserve"> </v>
      </c>
      <c r="S222" s="26" t="str">
        <f t="shared" si="42"/>
        <v xml:space="preserve"> </v>
      </c>
      <c r="T222" s="7" t="str">
        <f t="shared" si="43"/>
        <v xml:space="preserve"> </v>
      </c>
      <c r="U222" s="8" t="str">
        <f t="shared" si="44"/>
        <v xml:space="preserve"> </v>
      </c>
      <c r="V222" s="9" t="str">
        <f t="shared" si="45"/>
        <v xml:space="preserve"> </v>
      </c>
      <c r="W222" s="9" t="str">
        <f t="shared" si="46"/>
        <v/>
      </c>
      <c r="X222" s="32"/>
      <c r="Y222" s="36"/>
    </row>
    <row r="223" spans="1:25" s="4" customFormat="1" ht="18" customHeight="1">
      <c r="A223" s="36"/>
      <c r="B223" s="69">
        <v>117.54000000000022</v>
      </c>
      <c r="C223" s="69" t="s">
        <v>515</v>
      </c>
      <c r="D223" s="31" t="s">
        <v>708</v>
      </c>
      <c r="E223" s="29" t="s">
        <v>34</v>
      </c>
      <c r="F223" s="28">
        <v>0.7</v>
      </c>
      <c r="G223" s="29">
        <v>0.04</v>
      </c>
      <c r="H223" s="29">
        <v>-0.04</v>
      </c>
      <c r="I223" s="30" t="s">
        <v>39</v>
      </c>
      <c r="J223" s="12">
        <f t="shared" si="48"/>
        <v>0.74</v>
      </c>
      <c r="K223" s="12">
        <f t="shared" si="49"/>
        <v>0.65999999999999992</v>
      </c>
      <c r="L223" s="78"/>
      <c r="M223" s="78"/>
      <c r="N223" s="78"/>
      <c r="O223" s="36"/>
      <c r="P223" s="24" t="str">
        <f t="shared" si="47"/>
        <v xml:space="preserve"> </v>
      </c>
      <c r="Q223" s="25" t="str">
        <f t="shared" si="47"/>
        <v xml:space="preserve"> </v>
      </c>
      <c r="R223" s="25" t="str">
        <f t="shared" si="47"/>
        <v xml:space="preserve"> </v>
      </c>
      <c r="S223" s="26" t="str">
        <f t="shared" si="42"/>
        <v xml:space="preserve"> </v>
      </c>
      <c r="T223" s="7" t="str">
        <f t="shared" si="43"/>
        <v xml:space="preserve"> </v>
      </c>
      <c r="U223" s="8" t="str">
        <f t="shared" si="44"/>
        <v xml:space="preserve"> </v>
      </c>
      <c r="V223" s="9" t="str">
        <f t="shared" si="45"/>
        <v xml:space="preserve"> </v>
      </c>
      <c r="W223" s="9" t="str">
        <f t="shared" si="46"/>
        <v/>
      </c>
      <c r="X223" s="32"/>
      <c r="Y223" s="36"/>
    </row>
    <row r="224" spans="1:25" s="4" customFormat="1" ht="18" customHeight="1">
      <c r="A224" s="36"/>
      <c r="B224" s="69">
        <v>117.55000000000022</v>
      </c>
      <c r="C224" s="69" t="s">
        <v>516</v>
      </c>
      <c r="D224" s="31" t="s">
        <v>708</v>
      </c>
      <c r="E224" s="29" t="s">
        <v>34</v>
      </c>
      <c r="F224" s="28">
        <v>0.7</v>
      </c>
      <c r="G224" s="29">
        <v>0.04</v>
      </c>
      <c r="H224" s="29">
        <v>-0.04</v>
      </c>
      <c r="I224" s="30" t="s">
        <v>39</v>
      </c>
      <c r="J224" s="12">
        <f t="shared" si="48"/>
        <v>0.74</v>
      </c>
      <c r="K224" s="12">
        <f t="shared" si="49"/>
        <v>0.65999999999999992</v>
      </c>
      <c r="L224" s="78"/>
      <c r="M224" s="78"/>
      <c r="N224" s="78"/>
      <c r="O224" s="36"/>
      <c r="P224" s="24" t="str">
        <f t="shared" si="47"/>
        <v xml:space="preserve"> </v>
      </c>
      <c r="Q224" s="25" t="str">
        <f t="shared" si="47"/>
        <v xml:space="preserve"> </v>
      </c>
      <c r="R224" s="25" t="str">
        <f t="shared" si="47"/>
        <v xml:space="preserve"> </v>
      </c>
      <c r="S224" s="26" t="str">
        <f t="shared" si="42"/>
        <v xml:space="preserve"> </v>
      </c>
      <c r="T224" s="7" t="str">
        <f t="shared" si="43"/>
        <v xml:space="preserve"> </v>
      </c>
      <c r="U224" s="8" t="str">
        <f t="shared" si="44"/>
        <v xml:space="preserve"> </v>
      </c>
      <c r="V224" s="9" t="str">
        <f t="shared" si="45"/>
        <v xml:space="preserve"> </v>
      </c>
      <c r="W224" s="9" t="str">
        <f t="shared" si="46"/>
        <v/>
      </c>
      <c r="X224" s="32"/>
      <c r="Y224" s="36"/>
    </row>
    <row r="225" spans="1:25" s="4" customFormat="1" ht="18" customHeight="1">
      <c r="A225" s="36"/>
      <c r="B225" s="69">
        <v>117.56000000000023</v>
      </c>
      <c r="C225" s="69" t="s">
        <v>517</v>
      </c>
      <c r="D225" s="31" t="s">
        <v>708</v>
      </c>
      <c r="E225" s="29" t="s">
        <v>34</v>
      </c>
      <c r="F225" s="28">
        <v>0.7</v>
      </c>
      <c r="G225" s="29">
        <v>0.04</v>
      </c>
      <c r="H225" s="29">
        <v>-0.04</v>
      </c>
      <c r="I225" s="30" t="s">
        <v>39</v>
      </c>
      <c r="J225" s="12">
        <f t="shared" si="48"/>
        <v>0.74</v>
      </c>
      <c r="K225" s="12">
        <f t="shared" si="49"/>
        <v>0.65999999999999992</v>
      </c>
      <c r="L225" s="78"/>
      <c r="M225" s="78"/>
      <c r="N225" s="78"/>
      <c r="O225" s="36"/>
      <c r="P225" s="24" t="str">
        <f t="shared" si="47"/>
        <v xml:space="preserve"> </v>
      </c>
      <c r="Q225" s="25" t="str">
        <f t="shared" si="47"/>
        <v xml:space="preserve"> </v>
      </c>
      <c r="R225" s="25" t="str">
        <f t="shared" si="47"/>
        <v xml:space="preserve"> </v>
      </c>
      <c r="S225" s="26" t="str">
        <f t="shared" si="42"/>
        <v xml:space="preserve"> </v>
      </c>
      <c r="T225" s="7" t="str">
        <f t="shared" si="43"/>
        <v xml:space="preserve"> </v>
      </c>
      <c r="U225" s="8" t="str">
        <f t="shared" si="44"/>
        <v xml:space="preserve"> </v>
      </c>
      <c r="V225" s="9" t="str">
        <f t="shared" si="45"/>
        <v xml:space="preserve"> </v>
      </c>
      <c r="W225" s="9" t="str">
        <f t="shared" si="46"/>
        <v/>
      </c>
      <c r="X225" s="32"/>
      <c r="Y225" s="36"/>
    </row>
    <row r="226" spans="1:25" s="4" customFormat="1" ht="18" customHeight="1">
      <c r="A226" s="36"/>
      <c r="B226" s="69">
        <v>117.57000000000023</v>
      </c>
      <c r="C226" s="69" t="s">
        <v>518</v>
      </c>
      <c r="D226" s="31" t="s">
        <v>708</v>
      </c>
      <c r="E226" s="29" t="s">
        <v>34</v>
      </c>
      <c r="F226" s="28">
        <v>0.7</v>
      </c>
      <c r="G226" s="29">
        <v>0.04</v>
      </c>
      <c r="H226" s="29">
        <v>-0.04</v>
      </c>
      <c r="I226" s="30" t="s">
        <v>39</v>
      </c>
      <c r="J226" s="12">
        <f t="shared" si="48"/>
        <v>0.74</v>
      </c>
      <c r="K226" s="12">
        <f t="shared" si="49"/>
        <v>0.65999999999999992</v>
      </c>
      <c r="L226" s="78"/>
      <c r="M226" s="78"/>
      <c r="N226" s="78"/>
      <c r="O226" s="36"/>
      <c r="P226" s="24" t="str">
        <f t="shared" si="47"/>
        <v xml:space="preserve"> </v>
      </c>
      <c r="Q226" s="25" t="str">
        <f t="shared" si="47"/>
        <v xml:space="preserve"> </v>
      </c>
      <c r="R226" s="25" t="str">
        <f t="shared" si="47"/>
        <v xml:space="preserve"> </v>
      </c>
      <c r="S226" s="26" t="str">
        <f t="shared" si="42"/>
        <v xml:space="preserve"> </v>
      </c>
      <c r="T226" s="7" t="str">
        <f t="shared" si="43"/>
        <v xml:space="preserve"> </v>
      </c>
      <c r="U226" s="8" t="str">
        <f t="shared" si="44"/>
        <v xml:space="preserve"> </v>
      </c>
      <c r="V226" s="9" t="str">
        <f t="shared" si="45"/>
        <v xml:space="preserve"> </v>
      </c>
      <c r="W226" s="9" t="str">
        <f t="shared" si="46"/>
        <v/>
      </c>
      <c r="X226" s="32"/>
      <c r="Y226" s="36"/>
    </row>
    <row r="227" spans="1:25" s="4" customFormat="1" ht="18" customHeight="1">
      <c r="A227" s="36"/>
      <c r="B227" s="69">
        <v>117.58000000000024</v>
      </c>
      <c r="C227" s="69" t="s">
        <v>519</v>
      </c>
      <c r="D227" s="31" t="s">
        <v>708</v>
      </c>
      <c r="E227" s="29" t="s">
        <v>34</v>
      </c>
      <c r="F227" s="28">
        <v>0.7</v>
      </c>
      <c r="G227" s="29">
        <v>0.04</v>
      </c>
      <c r="H227" s="29">
        <v>-0.04</v>
      </c>
      <c r="I227" s="30" t="s">
        <v>39</v>
      </c>
      <c r="J227" s="12">
        <f t="shared" si="48"/>
        <v>0.74</v>
      </c>
      <c r="K227" s="12">
        <f t="shared" si="49"/>
        <v>0.65999999999999992</v>
      </c>
      <c r="L227" s="78"/>
      <c r="M227" s="78"/>
      <c r="N227" s="78"/>
      <c r="O227" s="36"/>
      <c r="P227" s="24" t="str">
        <f t="shared" si="47"/>
        <v xml:space="preserve"> </v>
      </c>
      <c r="Q227" s="25" t="str">
        <f t="shared" si="47"/>
        <v xml:space="preserve"> </v>
      </c>
      <c r="R227" s="25" t="str">
        <f t="shared" si="47"/>
        <v xml:space="preserve"> </v>
      </c>
      <c r="S227" s="26" t="str">
        <f t="shared" si="42"/>
        <v xml:space="preserve"> </v>
      </c>
      <c r="T227" s="7" t="str">
        <f t="shared" si="43"/>
        <v xml:space="preserve"> </v>
      </c>
      <c r="U227" s="8" t="str">
        <f t="shared" si="44"/>
        <v xml:space="preserve"> </v>
      </c>
      <c r="V227" s="9" t="str">
        <f t="shared" si="45"/>
        <v xml:space="preserve"> </v>
      </c>
      <c r="W227" s="9" t="str">
        <f t="shared" si="46"/>
        <v/>
      </c>
      <c r="X227" s="32"/>
      <c r="Y227" s="36"/>
    </row>
    <row r="228" spans="1:25" s="4" customFormat="1" ht="18" customHeight="1">
      <c r="A228" s="36"/>
      <c r="B228" s="69">
        <v>117.59000000000024</v>
      </c>
      <c r="C228" s="69" t="s">
        <v>520</v>
      </c>
      <c r="D228" s="31" t="s">
        <v>708</v>
      </c>
      <c r="E228" s="29" t="s">
        <v>34</v>
      </c>
      <c r="F228" s="28">
        <v>0.7</v>
      </c>
      <c r="G228" s="29">
        <v>0.04</v>
      </c>
      <c r="H228" s="29">
        <v>-0.04</v>
      </c>
      <c r="I228" s="30" t="s">
        <v>39</v>
      </c>
      <c r="J228" s="12">
        <f t="shared" si="48"/>
        <v>0.74</v>
      </c>
      <c r="K228" s="12">
        <f t="shared" si="49"/>
        <v>0.65999999999999992</v>
      </c>
      <c r="L228" s="78"/>
      <c r="M228" s="78"/>
      <c r="N228" s="78"/>
      <c r="O228" s="36"/>
      <c r="P228" s="24" t="str">
        <f t="shared" si="47"/>
        <v xml:space="preserve"> </v>
      </c>
      <c r="Q228" s="25" t="str">
        <f t="shared" si="47"/>
        <v xml:space="preserve"> </v>
      </c>
      <c r="R228" s="25" t="str">
        <f t="shared" si="47"/>
        <v xml:space="preserve"> </v>
      </c>
      <c r="S228" s="26" t="str">
        <f t="shared" si="42"/>
        <v xml:space="preserve"> </v>
      </c>
      <c r="T228" s="7" t="str">
        <f t="shared" si="43"/>
        <v xml:space="preserve"> </v>
      </c>
      <c r="U228" s="8" t="str">
        <f t="shared" si="44"/>
        <v xml:space="preserve"> </v>
      </c>
      <c r="V228" s="9" t="str">
        <f t="shared" si="45"/>
        <v xml:space="preserve"> </v>
      </c>
      <c r="W228" s="9" t="str">
        <f t="shared" si="46"/>
        <v/>
      </c>
      <c r="X228" s="32"/>
      <c r="Y228" s="36"/>
    </row>
    <row r="229" spans="1:25" s="4" customFormat="1" ht="18" customHeight="1">
      <c r="A229" s="36"/>
      <c r="B229" s="69" t="s">
        <v>878</v>
      </c>
      <c r="C229" s="69" t="s">
        <v>521</v>
      </c>
      <c r="D229" s="31" t="s">
        <v>708</v>
      </c>
      <c r="E229" s="29" t="s">
        <v>34</v>
      </c>
      <c r="F229" s="28">
        <v>0.7</v>
      </c>
      <c r="G229" s="29">
        <v>0.04</v>
      </c>
      <c r="H229" s="29">
        <v>-0.04</v>
      </c>
      <c r="I229" s="30" t="s">
        <v>39</v>
      </c>
      <c r="J229" s="12">
        <f t="shared" si="48"/>
        <v>0.74</v>
      </c>
      <c r="K229" s="12">
        <f t="shared" si="49"/>
        <v>0.65999999999999992</v>
      </c>
      <c r="L229" s="78"/>
      <c r="M229" s="78"/>
      <c r="N229" s="78"/>
      <c r="O229" s="36"/>
      <c r="P229" s="24" t="str">
        <f t="shared" si="47"/>
        <v xml:space="preserve"> </v>
      </c>
      <c r="Q229" s="25" t="str">
        <f t="shared" si="47"/>
        <v xml:space="preserve"> </v>
      </c>
      <c r="R229" s="25" t="str">
        <f t="shared" si="47"/>
        <v xml:space="preserve"> </v>
      </c>
      <c r="S229" s="26" t="str">
        <f t="shared" si="42"/>
        <v xml:space="preserve"> </v>
      </c>
      <c r="T229" s="7" t="str">
        <f t="shared" si="43"/>
        <v xml:space="preserve"> </v>
      </c>
      <c r="U229" s="8" t="str">
        <f t="shared" si="44"/>
        <v xml:space="preserve"> </v>
      </c>
      <c r="V229" s="9" t="str">
        <f t="shared" si="45"/>
        <v xml:space="preserve"> </v>
      </c>
      <c r="W229" s="9" t="str">
        <f t="shared" si="46"/>
        <v/>
      </c>
      <c r="X229" s="32"/>
      <c r="Y229" s="36"/>
    </row>
    <row r="230" spans="1:25" s="4" customFormat="1" ht="18" customHeight="1">
      <c r="A230" s="36"/>
      <c r="B230" s="69">
        <v>117.61000000000026</v>
      </c>
      <c r="C230" s="69" t="s">
        <v>522</v>
      </c>
      <c r="D230" s="31" t="s">
        <v>708</v>
      </c>
      <c r="E230" s="29" t="s">
        <v>34</v>
      </c>
      <c r="F230" s="28">
        <v>0.7</v>
      </c>
      <c r="G230" s="29">
        <v>0.04</v>
      </c>
      <c r="H230" s="29">
        <v>-0.04</v>
      </c>
      <c r="I230" s="30" t="s">
        <v>39</v>
      </c>
      <c r="J230" s="12">
        <f t="shared" si="48"/>
        <v>0.74</v>
      </c>
      <c r="K230" s="12">
        <f t="shared" si="49"/>
        <v>0.65999999999999992</v>
      </c>
      <c r="L230" s="78"/>
      <c r="M230" s="78"/>
      <c r="N230" s="78"/>
      <c r="O230" s="36"/>
      <c r="P230" s="24" t="str">
        <f t="shared" si="47"/>
        <v xml:space="preserve"> </v>
      </c>
      <c r="Q230" s="25" t="str">
        <f t="shared" si="47"/>
        <v xml:space="preserve"> </v>
      </c>
      <c r="R230" s="25" t="str">
        <f t="shared" si="47"/>
        <v xml:space="preserve"> </v>
      </c>
      <c r="S230" s="26" t="str">
        <f t="shared" si="42"/>
        <v xml:space="preserve"> </v>
      </c>
      <c r="T230" s="7" t="str">
        <f t="shared" si="43"/>
        <v xml:space="preserve"> </v>
      </c>
      <c r="U230" s="8" t="str">
        <f t="shared" si="44"/>
        <v xml:space="preserve"> </v>
      </c>
      <c r="V230" s="9" t="str">
        <f t="shared" si="45"/>
        <v xml:space="preserve"> </v>
      </c>
      <c r="W230" s="9" t="str">
        <f t="shared" si="46"/>
        <v/>
      </c>
      <c r="X230" s="32"/>
      <c r="Y230" s="36"/>
    </row>
    <row r="231" spans="1:25" s="4" customFormat="1" ht="18" customHeight="1">
      <c r="A231" s="36"/>
      <c r="B231" s="69">
        <v>117.62000000000026</v>
      </c>
      <c r="C231" s="69" t="s">
        <v>523</v>
      </c>
      <c r="D231" s="31" t="s">
        <v>708</v>
      </c>
      <c r="E231" s="29" t="s">
        <v>34</v>
      </c>
      <c r="F231" s="28">
        <v>0.7</v>
      </c>
      <c r="G231" s="29">
        <v>0.04</v>
      </c>
      <c r="H231" s="29">
        <v>-0.04</v>
      </c>
      <c r="I231" s="30" t="s">
        <v>39</v>
      </c>
      <c r="J231" s="12">
        <f t="shared" si="48"/>
        <v>0.74</v>
      </c>
      <c r="K231" s="12">
        <f t="shared" si="49"/>
        <v>0.65999999999999992</v>
      </c>
      <c r="L231" s="78"/>
      <c r="M231" s="78"/>
      <c r="N231" s="78"/>
      <c r="O231" s="36"/>
      <c r="P231" s="24" t="str">
        <f t="shared" si="47"/>
        <v xml:space="preserve"> </v>
      </c>
      <c r="Q231" s="25" t="str">
        <f t="shared" si="47"/>
        <v xml:space="preserve"> </v>
      </c>
      <c r="R231" s="25" t="str">
        <f t="shared" si="47"/>
        <v xml:space="preserve"> </v>
      </c>
      <c r="S231" s="26" t="str">
        <f t="shared" si="42"/>
        <v xml:space="preserve"> </v>
      </c>
      <c r="T231" s="7" t="str">
        <f t="shared" si="43"/>
        <v xml:space="preserve"> </v>
      </c>
      <c r="U231" s="8" t="str">
        <f t="shared" si="44"/>
        <v xml:space="preserve"> </v>
      </c>
      <c r="V231" s="9" t="str">
        <f t="shared" si="45"/>
        <v xml:space="preserve"> </v>
      </c>
      <c r="W231" s="9" t="str">
        <f t="shared" si="46"/>
        <v/>
      </c>
      <c r="X231" s="32"/>
      <c r="Y231" s="36"/>
    </row>
    <row r="232" spans="1:25" s="4" customFormat="1" ht="18" customHeight="1">
      <c r="A232" s="36"/>
      <c r="B232" s="69">
        <v>117.63000000000027</v>
      </c>
      <c r="C232" s="69" t="s">
        <v>524</v>
      </c>
      <c r="D232" s="31" t="s">
        <v>708</v>
      </c>
      <c r="E232" s="29" t="s">
        <v>34</v>
      </c>
      <c r="F232" s="28">
        <v>0.7</v>
      </c>
      <c r="G232" s="29">
        <v>0.04</v>
      </c>
      <c r="H232" s="29">
        <v>-0.04</v>
      </c>
      <c r="I232" s="30" t="s">
        <v>39</v>
      </c>
      <c r="J232" s="12">
        <f t="shared" si="48"/>
        <v>0.74</v>
      </c>
      <c r="K232" s="12">
        <f t="shared" si="49"/>
        <v>0.65999999999999992</v>
      </c>
      <c r="L232" s="78"/>
      <c r="M232" s="78"/>
      <c r="N232" s="78"/>
      <c r="O232" s="36"/>
      <c r="P232" s="24" t="str">
        <f t="shared" si="47"/>
        <v xml:space="preserve"> </v>
      </c>
      <c r="Q232" s="25" t="str">
        <f t="shared" si="47"/>
        <v xml:space="preserve"> </v>
      </c>
      <c r="R232" s="25" t="str">
        <f t="shared" si="47"/>
        <v xml:space="preserve"> </v>
      </c>
      <c r="S232" s="26" t="str">
        <f t="shared" si="42"/>
        <v xml:space="preserve"> </v>
      </c>
      <c r="T232" s="7" t="str">
        <f t="shared" si="43"/>
        <v xml:space="preserve"> </v>
      </c>
      <c r="U232" s="8" t="str">
        <f t="shared" si="44"/>
        <v xml:space="preserve"> </v>
      </c>
      <c r="V232" s="9" t="str">
        <f t="shared" si="45"/>
        <v xml:space="preserve"> </v>
      </c>
      <c r="W232" s="9" t="str">
        <f t="shared" si="46"/>
        <v/>
      </c>
      <c r="X232" s="32"/>
      <c r="Y232" s="36"/>
    </row>
    <row r="233" spans="1:25" s="4" customFormat="1" ht="18" customHeight="1">
      <c r="A233" s="36"/>
      <c r="B233" s="69">
        <v>117.64000000000027</v>
      </c>
      <c r="C233" s="69" t="s">
        <v>525</v>
      </c>
      <c r="D233" s="31" t="s">
        <v>708</v>
      </c>
      <c r="E233" s="29" t="s">
        <v>34</v>
      </c>
      <c r="F233" s="28">
        <v>0.7</v>
      </c>
      <c r="G233" s="29">
        <v>0.04</v>
      </c>
      <c r="H233" s="29">
        <v>-0.04</v>
      </c>
      <c r="I233" s="30" t="s">
        <v>39</v>
      </c>
      <c r="J233" s="12">
        <f t="shared" si="48"/>
        <v>0.74</v>
      </c>
      <c r="K233" s="12">
        <f t="shared" si="49"/>
        <v>0.65999999999999992</v>
      </c>
      <c r="L233" s="78"/>
      <c r="M233" s="78"/>
      <c r="N233" s="78"/>
      <c r="O233" s="36"/>
      <c r="P233" s="24" t="str">
        <f t="shared" si="47"/>
        <v xml:space="preserve"> </v>
      </c>
      <c r="Q233" s="25" t="str">
        <f t="shared" si="47"/>
        <v xml:space="preserve"> </v>
      </c>
      <c r="R233" s="25" t="str">
        <f t="shared" si="47"/>
        <v xml:space="preserve"> </v>
      </c>
      <c r="S233" s="26" t="str">
        <f t="shared" si="42"/>
        <v xml:space="preserve"> </v>
      </c>
      <c r="T233" s="7" t="str">
        <f t="shared" si="43"/>
        <v xml:space="preserve"> </v>
      </c>
      <c r="U233" s="8" t="str">
        <f t="shared" si="44"/>
        <v xml:space="preserve"> </v>
      </c>
      <c r="V233" s="9" t="str">
        <f t="shared" si="45"/>
        <v xml:space="preserve"> </v>
      </c>
      <c r="W233" s="9" t="str">
        <f t="shared" si="46"/>
        <v/>
      </c>
      <c r="X233" s="32"/>
      <c r="Y233" s="36"/>
    </row>
    <row r="234" spans="1:25" s="4" customFormat="1" ht="18" customHeight="1">
      <c r="A234" s="36"/>
      <c r="B234" s="69">
        <v>117.65000000000028</v>
      </c>
      <c r="C234" s="69" t="s">
        <v>526</v>
      </c>
      <c r="D234" s="31" t="s">
        <v>708</v>
      </c>
      <c r="E234" s="29" t="s">
        <v>34</v>
      </c>
      <c r="F234" s="28">
        <v>0.7</v>
      </c>
      <c r="G234" s="29">
        <v>0.04</v>
      </c>
      <c r="H234" s="29">
        <v>-0.04</v>
      </c>
      <c r="I234" s="30" t="s">
        <v>39</v>
      </c>
      <c r="J234" s="12">
        <f t="shared" si="48"/>
        <v>0.74</v>
      </c>
      <c r="K234" s="12">
        <f t="shared" si="49"/>
        <v>0.65999999999999992</v>
      </c>
      <c r="L234" s="78"/>
      <c r="M234" s="78"/>
      <c r="N234" s="78"/>
      <c r="O234" s="36"/>
      <c r="P234" s="24" t="str">
        <f t="shared" si="47"/>
        <v xml:space="preserve"> </v>
      </c>
      <c r="Q234" s="25" t="str">
        <f t="shared" si="47"/>
        <v xml:space="preserve"> </v>
      </c>
      <c r="R234" s="25" t="str">
        <f t="shared" si="47"/>
        <v xml:space="preserve"> </v>
      </c>
      <c r="S234" s="26" t="str">
        <f t="shared" si="42"/>
        <v xml:space="preserve"> </v>
      </c>
      <c r="T234" s="7" t="str">
        <f t="shared" si="43"/>
        <v xml:space="preserve"> </v>
      </c>
      <c r="U234" s="8" t="str">
        <f t="shared" si="44"/>
        <v xml:space="preserve"> </v>
      </c>
      <c r="V234" s="9" t="str">
        <f t="shared" si="45"/>
        <v xml:space="preserve"> </v>
      </c>
      <c r="W234" s="9" t="str">
        <f t="shared" si="46"/>
        <v/>
      </c>
      <c r="X234" s="32"/>
      <c r="Y234" s="36"/>
    </row>
    <row r="235" spans="1:25" s="4" customFormat="1" ht="18" customHeight="1">
      <c r="A235" s="36"/>
      <c r="B235" s="69">
        <v>117.66000000000028</v>
      </c>
      <c r="C235" s="69" t="s">
        <v>527</v>
      </c>
      <c r="D235" s="31" t="s">
        <v>708</v>
      </c>
      <c r="E235" s="29" t="s">
        <v>34</v>
      </c>
      <c r="F235" s="28">
        <v>0.7</v>
      </c>
      <c r="G235" s="29">
        <v>0.04</v>
      </c>
      <c r="H235" s="29">
        <v>-0.04</v>
      </c>
      <c r="I235" s="30" t="s">
        <v>39</v>
      </c>
      <c r="J235" s="12">
        <f t="shared" si="48"/>
        <v>0.74</v>
      </c>
      <c r="K235" s="12">
        <f t="shared" si="49"/>
        <v>0.65999999999999992</v>
      </c>
      <c r="L235" s="78"/>
      <c r="M235" s="78"/>
      <c r="N235" s="78"/>
      <c r="O235" s="36"/>
      <c r="P235" s="24" t="str">
        <f t="shared" si="47"/>
        <v xml:space="preserve"> </v>
      </c>
      <c r="Q235" s="25" t="str">
        <f t="shared" si="47"/>
        <v xml:space="preserve"> </v>
      </c>
      <c r="R235" s="25" t="str">
        <f t="shared" si="47"/>
        <v xml:space="preserve"> </v>
      </c>
      <c r="S235" s="26" t="str">
        <f t="shared" si="42"/>
        <v xml:space="preserve"> </v>
      </c>
      <c r="T235" s="7" t="str">
        <f t="shared" si="43"/>
        <v xml:space="preserve"> </v>
      </c>
      <c r="U235" s="8" t="str">
        <f t="shared" si="44"/>
        <v xml:space="preserve"> </v>
      </c>
      <c r="V235" s="9" t="str">
        <f t="shared" si="45"/>
        <v xml:space="preserve"> </v>
      </c>
      <c r="W235" s="9" t="str">
        <f t="shared" si="46"/>
        <v/>
      </c>
      <c r="X235" s="32"/>
      <c r="Y235" s="36"/>
    </row>
    <row r="236" spans="1:25" s="4" customFormat="1" ht="18" customHeight="1">
      <c r="A236" s="36"/>
      <c r="B236" s="69">
        <v>117.67000000000029</v>
      </c>
      <c r="C236" s="69" t="s">
        <v>528</v>
      </c>
      <c r="D236" s="31" t="s">
        <v>708</v>
      </c>
      <c r="E236" s="29" t="s">
        <v>34</v>
      </c>
      <c r="F236" s="28">
        <v>0.7</v>
      </c>
      <c r="G236" s="29">
        <v>0.04</v>
      </c>
      <c r="H236" s="29">
        <v>-0.04</v>
      </c>
      <c r="I236" s="30" t="s">
        <v>39</v>
      </c>
      <c r="J236" s="12">
        <f t="shared" si="48"/>
        <v>0.74</v>
      </c>
      <c r="K236" s="12">
        <f t="shared" si="49"/>
        <v>0.65999999999999992</v>
      </c>
      <c r="L236" s="78"/>
      <c r="M236" s="78"/>
      <c r="N236" s="78"/>
      <c r="O236" s="36"/>
      <c r="P236" s="24" t="str">
        <f t="shared" si="47"/>
        <v xml:space="preserve"> </v>
      </c>
      <c r="Q236" s="25" t="str">
        <f t="shared" si="47"/>
        <v xml:space="preserve"> </v>
      </c>
      <c r="R236" s="25" t="str">
        <f t="shared" si="47"/>
        <v xml:space="preserve"> </v>
      </c>
      <c r="S236" s="26" t="str">
        <f t="shared" si="42"/>
        <v xml:space="preserve"> </v>
      </c>
      <c r="T236" s="7" t="str">
        <f t="shared" si="43"/>
        <v xml:space="preserve"> </v>
      </c>
      <c r="U236" s="8" t="str">
        <f t="shared" si="44"/>
        <v xml:space="preserve"> </v>
      </c>
      <c r="V236" s="9" t="str">
        <f t="shared" si="45"/>
        <v xml:space="preserve"> </v>
      </c>
      <c r="W236" s="9" t="str">
        <f t="shared" si="46"/>
        <v/>
      </c>
      <c r="X236" s="32"/>
      <c r="Y236" s="36"/>
    </row>
    <row r="237" spans="1:25" s="4" customFormat="1" ht="18" customHeight="1">
      <c r="A237" s="36"/>
      <c r="B237" s="69">
        <v>117.68000000000029</v>
      </c>
      <c r="C237" s="69" t="s">
        <v>529</v>
      </c>
      <c r="D237" s="31" t="s">
        <v>708</v>
      </c>
      <c r="E237" s="29" t="s">
        <v>34</v>
      </c>
      <c r="F237" s="28">
        <v>0.7</v>
      </c>
      <c r="G237" s="29">
        <v>0.04</v>
      </c>
      <c r="H237" s="29">
        <v>-0.04</v>
      </c>
      <c r="I237" s="30" t="s">
        <v>39</v>
      </c>
      <c r="J237" s="12">
        <f t="shared" si="48"/>
        <v>0.74</v>
      </c>
      <c r="K237" s="12">
        <f t="shared" si="49"/>
        <v>0.65999999999999992</v>
      </c>
      <c r="L237" s="78"/>
      <c r="M237" s="78"/>
      <c r="N237" s="78"/>
      <c r="O237" s="36"/>
      <c r="P237" s="24" t="str">
        <f t="shared" si="47"/>
        <v xml:space="preserve"> </v>
      </c>
      <c r="Q237" s="25" t="str">
        <f t="shared" si="47"/>
        <v xml:space="preserve"> </v>
      </c>
      <c r="R237" s="25" t="str">
        <f t="shared" si="47"/>
        <v xml:space="preserve"> </v>
      </c>
      <c r="S237" s="26" t="str">
        <f t="shared" si="42"/>
        <v xml:space="preserve"> </v>
      </c>
      <c r="T237" s="7" t="str">
        <f t="shared" si="43"/>
        <v xml:space="preserve"> </v>
      </c>
      <c r="U237" s="8" t="str">
        <f t="shared" si="44"/>
        <v xml:space="preserve"> </v>
      </c>
      <c r="V237" s="9" t="str">
        <f t="shared" si="45"/>
        <v xml:space="preserve"> </v>
      </c>
      <c r="W237" s="9" t="str">
        <f t="shared" si="46"/>
        <v/>
      </c>
      <c r="X237" s="32"/>
      <c r="Y237" s="36"/>
    </row>
    <row r="238" spans="1:25" s="4" customFormat="1" ht="18" customHeight="1">
      <c r="A238" s="36"/>
      <c r="B238" s="69">
        <v>117.6900000000003</v>
      </c>
      <c r="C238" s="69" t="s">
        <v>530</v>
      </c>
      <c r="D238" s="31" t="s">
        <v>708</v>
      </c>
      <c r="E238" s="29" t="s">
        <v>34</v>
      </c>
      <c r="F238" s="28">
        <v>0.7</v>
      </c>
      <c r="G238" s="29">
        <v>0.04</v>
      </c>
      <c r="H238" s="29">
        <v>-0.04</v>
      </c>
      <c r="I238" s="30" t="s">
        <v>39</v>
      </c>
      <c r="J238" s="12">
        <f t="shared" si="48"/>
        <v>0.74</v>
      </c>
      <c r="K238" s="12">
        <f t="shared" si="49"/>
        <v>0.65999999999999992</v>
      </c>
      <c r="L238" s="78"/>
      <c r="M238" s="78"/>
      <c r="N238" s="78"/>
      <c r="O238" s="36"/>
      <c r="P238" s="24" t="str">
        <f t="shared" si="47"/>
        <v xml:space="preserve"> </v>
      </c>
      <c r="Q238" s="25" t="str">
        <f t="shared" si="47"/>
        <v xml:space="preserve"> </v>
      </c>
      <c r="R238" s="25" t="str">
        <f t="shared" si="47"/>
        <v xml:space="preserve"> </v>
      </c>
      <c r="S238" s="26" t="str">
        <f t="shared" si="42"/>
        <v xml:space="preserve"> </v>
      </c>
      <c r="T238" s="7" t="str">
        <f t="shared" si="43"/>
        <v xml:space="preserve"> </v>
      </c>
      <c r="U238" s="8" t="str">
        <f t="shared" si="44"/>
        <v xml:space="preserve"> </v>
      </c>
      <c r="V238" s="9" t="str">
        <f t="shared" si="45"/>
        <v xml:space="preserve"> </v>
      </c>
      <c r="W238" s="9" t="str">
        <f t="shared" si="46"/>
        <v/>
      </c>
      <c r="X238" s="32"/>
      <c r="Y238" s="36"/>
    </row>
    <row r="239" spans="1:25" s="4" customFormat="1" ht="18" customHeight="1">
      <c r="A239" s="36"/>
      <c r="B239" s="69" t="s">
        <v>879</v>
      </c>
      <c r="C239" s="69" t="s">
        <v>531</v>
      </c>
      <c r="D239" s="31" t="s">
        <v>708</v>
      </c>
      <c r="E239" s="29" t="s">
        <v>34</v>
      </c>
      <c r="F239" s="28">
        <v>0.7</v>
      </c>
      <c r="G239" s="29">
        <v>0.04</v>
      </c>
      <c r="H239" s="29">
        <v>-0.04</v>
      </c>
      <c r="I239" s="30" t="s">
        <v>39</v>
      </c>
      <c r="J239" s="12">
        <f t="shared" si="48"/>
        <v>0.74</v>
      </c>
      <c r="K239" s="12">
        <f t="shared" si="49"/>
        <v>0.65999999999999992</v>
      </c>
      <c r="L239" s="78"/>
      <c r="M239" s="78"/>
      <c r="N239" s="78"/>
      <c r="O239" s="36"/>
      <c r="P239" s="24" t="str">
        <f t="shared" si="47"/>
        <v xml:space="preserve"> </v>
      </c>
      <c r="Q239" s="25" t="str">
        <f t="shared" si="47"/>
        <v xml:space="preserve"> </v>
      </c>
      <c r="R239" s="25" t="str">
        <f t="shared" si="47"/>
        <v xml:space="preserve"> </v>
      </c>
      <c r="S239" s="26" t="str">
        <f t="shared" si="42"/>
        <v xml:space="preserve"> </v>
      </c>
      <c r="T239" s="7" t="str">
        <f t="shared" si="43"/>
        <v xml:space="preserve"> </v>
      </c>
      <c r="U239" s="8" t="str">
        <f t="shared" si="44"/>
        <v xml:space="preserve"> </v>
      </c>
      <c r="V239" s="9" t="str">
        <f t="shared" si="45"/>
        <v xml:space="preserve"> </v>
      </c>
      <c r="W239" s="9" t="str">
        <f t="shared" si="46"/>
        <v/>
      </c>
      <c r="X239" s="32"/>
      <c r="Y239" s="36"/>
    </row>
    <row r="240" spans="1:25" s="4" customFormat="1" ht="18" customHeight="1">
      <c r="A240" s="36"/>
      <c r="B240" s="69">
        <v>117.71000000000031</v>
      </c>
      <c r="C240" s="69" t="s">
        <v>532</v>
      </c>
      <c r="D240" s="31" t="s">
        <v>708</v>
      </c>
      <c r="E240" s="29" t="s">
        <v>34</v>
      </c>
      <c r="F240" s="28">
        <v>0.7</v>
      </c>
      <c r="G240" s="29">
        <v>0.04</v>
      </c>
      <c r="H240" s="29">
        <v>-0.04</v>
      </c>
      <c r="I240" s="30" t="s">
        <v>39</v>
      </c>
      <c r="J240" s="12">
        <f t="shared" si="48"/>
        <v>0.74</v>
      </c>
      <c r="K240" s="12">
        <f t="shared" si="49"/>
        <v>0.65999999999999992</v>
      </c>
      <c r="L240" s="78"/>
      <c r="M240" s="78"/>
      <c r="N240" s="78"/>
      <c r="O240" s="36"/>
      <c r="P240" s="24" t="str">
        <f t="shared" si="47"/>
        <v xml:space="preserve"> </v>
      </c>
      <c r="Q240" s="25" t="str">
        <f t="shared" si="47"/>
        <v xml:space="preserve"> </v>
      </c>
      <c r="R240" s="25" t="str">
        <f t="shared" si="47"/>
        <v xml:space="preserve"> </v>
      </c>
      <c r="S240" s="26" t="str">
        <f t="shared" si="42"/>
        <v xml:space="preserve"> </v>
      </c>
      <c r="T240" s="7" t="str">
        <f t="shared" si="43"/>
        <v xml:space="preserve"> </v>
      </c>
      <c r="U240" s="8" t="str">
        <f t="shared" si="44"/>
        <v xml:space="preserve"> </v>
      </c>
      <c r="V240" s="9" t="str">
        <f t="shared" si="45"/>
        <v xml:space="preserve"> </v>
      </c>
      <c r="W240" s="9" t="str">
        <f t="shared" si="46"/>
        <v/>
      </c>
      <c r="X240" s="32"/>
      <c r="Y240" s="36"/>
    </row>
    <row r="241" spans="1:25" s="4" customFormat="1" ht="18" customHeight="1">
      <c r="A241" s="36"/>
      <c r="B241" s="69">
        <v>117.72000000000031</v>
      </c>
      <c r="C241" s="69" t="s">
        <v>533</v>
      </c>
      <c r="D241" s="31" t="s">
        <v>708</v>
      </c>
      <c r="E241" s="29" t="s">
        <v>34</v>
      </c>
      <c r="F241" s="28">
        <v>0.7</v>
      </c>
      <c r="G241" s="29">
        <v>0.04</v>
      </c>
      <c r="H241" s="29">
        <v>-0.04</v>
      </c>
      <c r="I241" s="30" t="s">
        <v>39</v>
      </c>
      <c r="J241" s="12">
        <f t="shared" si="48"/>
        <v>0.74</v>
      </c>
      <c r="K241" s="12">
        <f t="shared" si="49"/>
        <v>0.65999999999999992</v>
      </c>
      <c r="L241" s="78"/>
      <c r="M241" s="78"/>
      <c r="N241" s="78"/>
      <c r="O241" s="36"/>
      <c r="P241" s="24" t="str">
        <f t="shared" si="47"/>
        <v xml:space="preserve"> </v>
      </c>
      <c r="Q241" s="25" t="str">
        <f t="shared" si="47"/>
        <v xml:space="preserve"> </v>
      </c>
      <c r="R241" s="25" t="str">
        <f t="shared" si="47"/>
        <v xml:space="preserve"> </v>
      </c>
      <c r="S241" s="26" t="str">
        <f t="shared" si="42"/>
        <v xml:space="preserve"> </v>
      </c>
      <c r="T241" s="7" t="str">
        <f t="shared" si="43"/>
        <v xml:space="preserve"> </v>
      </c>
      <c r="U241" s="8" t="str">
        <f t="shared" si="44"/>
        <v xml:space="preserve"> </v>
      </c>
      <c r="V241" s="9" t="str">
        <f t="shared" si="45"/>
        <v xml:space="preserve"> </v>
      </c>
      <c r="W241" s="9" t="str">
        <f t="shared" si="46"/>
        <v/>
      </c>
      <c r="X241" s="32"/>
      <c r="Y241" s="36"/>
    </row>
    <row r="242" spans="1:25" s="4" customFormat="1" ht="18" customHeight="1">
      <c r="A242" s="36"/>
      <c r="B242" s="69">
        <v>117.73000000000032</v>
      </c>
      <c r="C242" s="69" t="s">
        <v>534</v>
      </c>
      <c r="D242" s="31" t="s">
        <v>708</v>
      </c>
      <c r="E242" s="29" t="s">
        <v>34</v>
      </c>
      <c r="F242" s="28">
        <v>0.7</v>
      </c>
      <c r="G242" s="29">
        <v>0.04</v>
      </c>
      <c r="H242" s="29">
        <v>-0.04</v>
      </c>
      <c r="I242" s="30" t="s">
        <v>39</v>
      </c>
      <c r="J242" s="12">
        <f t="shared" si="48"/>
        <v>0.74</v>
      </c>
      <c r="K242" s="12">
        <f t="shared" si="49"/>
        <v>0.65999999999999992</v>
      </c>
      <c r="L242" s="78"/>
      <c r="M242" s="78"/>
      <c r="N242" s="78"/>
      <c r="O242" s="36"/>
      <c r="P242" s="24" t="str">
        <f t="shared" si="47"/>
        <v xml:space="preserve"> </v>
      </c>
      <c r="Q242" s="25" t="str">
        <f t="shared" si="47"/>
        <v xml:space="preserve"> </v>
      </c>
      <c r="R242" s="25" t="str">
        <f t="shared" si="47"/>
        <v xml:space="preserve"> </v>
      </c>
      <c r="S242" s="26" t="str">
        <f t="shared" si="42"/>
        <v xml:space="preserve"> </v>
      </c>
      <c r="T242" s="7" t="str">
        <f t="shared" si="43"/>
        <v xml:space="preserve"> </v>
      </c>
      <c r="U242" s="8" t="str">
        <f t="shared" si="44"/>
        <v xml:space="preserve"> </v>
      </c>
      <c r="V242" s="9" t="str">
        <f t="shared" si="45"/>
        <v xml:space="preserve"> </v>
      </c>
      <c r="W242" s="9" t="str">
        <f t="shared" si="46"/>
        <v/>
      </c>
      <c r="X242" s="32"/>
      <c r="Y242" s="36"/>
    </row>
    <row r="243" spans="1:25" s="4" customFormat="1" ht="18" customHeight="1">
      <c r="A243" s="36"/>
      <c r="B243" s="69">
        <v>117.74000000000032</v>
      </c>
      <c r="C243" s="69" t="s">
        <v>535</v>
      </c>
      <c r="D243" s="31" t="s">
        <v>708</v>
      </c>
      <c r="E243" s="29" t="s">
        <v>34</v>
      </c>
      <c r="F243" s="28">
        <v>0.7</v>
      </c>
      <c r="G243" s="29">
        <v>0.04</v>
      </c>
      <c r="H243" s="29">
        <v>-0.04</v>
      </c>
      <c r="I243" s="30" t="s">
        <v>39</v>
      </c>
      <c r="J243" s="12">
        <f t="shared" si="48"/>
        <v>0.74</v>
      </c>
      <c r="K243" s="12">
        <f t="shared" si="49"/>
        <v>0.65999999999999992</v>
      </c>
      <c r="L243" s="78"/>
      <c r="M243" s="78"/>
      <c r="N243" s="78"/>
      <c r="O243" s="36"/>
      <c r="P243" s="24" t="str">
        <f t="shared" si="47"/>
        <v xml:space="preserve"> </v>
      </c>
      <c r="Q243" s="25" t="str">
        <f t="shared" si="47"/>
        <v xml:space="preserve"> </v>
      </c>
      <c r="R243" s="25" t="str">
        <f t="shared" si="47"/>
        <v xml:space="preserve"> </v>
      </c>
      <c r="S243" s="26" t="str">
        <f t="shared" si="42"/>
        <v xml:space="preserve"> </v>
      </c>
      <c r="T243" s="7" t="str">
        <f t="shared" si="43"/>
        <v xml:space="preserve"> </v>
      </c>
      <c r="U243" s="8" t="str">
        <f t="shared" si="44"/>
        <v xml:space="preserve"> </v>
      </c>
      <c r="V243" s="9" t="str">
        <f t="shared" si="45"/>
        <v xml:space="preserve"> </v>
      </c>
      <c r="W243" s="9" t="str">
        <f t="shared" si="46"/>
        <v/>
      </c>
      <c r="X243" s="32"/>
      <c r="Y243" s="36"/>
    </row>
    <row r="244" spans="1:25" s="4" customFormat="1" ht="18" customHeight="1">
      <c r="A244" s="36"/>
      <c r="B244" s="69">
        <v>117.75000000000033</v>
      </c>
      <c r="C244" s="69" t="s">
        <v>536</v>
      </c>
      <c r="D244" s="31" t="s">
        <v>708</v>
      </c>
      <c r="E244" s="29" t="s">
        <v>34</v>
      </c>
      <c r="F244" s="28">
        <v>0.7</v>
      </c>
      <c r="G244" s="29">
        <v>0.04</v>
      </c>
      <c r="H244" s="29">
        <v>-0.04</v>
      </c>
      <c r="I244" s="30" t="s">
        <v>39</v>
      </c>
      <c r="J244" s="12">
        <f t="shared" si="48"/>
        <v>0.74</v>
      </c>
      <c r="K244" s="12">
        <f t="shared" si="49"/>
        <v>0.65999999999999992</v>
      </c>
      <c r="L244" s="78"/>
      <c r="M244" s="78"/>
      <c r="N244" s="78"/>
      <c r="O244" s="36"/>
      <c r="P244" s="24" t="str">
        <f t="shared" si="47"/>
        <v xml:space="preserve"> </v>
      </c>
      <c r="Q244" s="25" t="str">
        <f t="shared" si="47"/>
        <v xml:space="preserve"> </v>
      </c>
      <c r="R244" s="25" t="str">
        <f t="shared" si="47"/>
        <v xml:space="preserve"> </v>
      </c>
      <c r="S244" s="26" t="str">
        <f t="shared" si="42"/>
        <v xml:space="preserve"> </v>
      </c>
      <c r="T244" s="7" t="str">
        <f t="shared" si="43"/>
        <v xml:space="preserve"> </v>
      </c>
      <c r="U244" s="8" t="str">
        <f t="shared" si="44"/>
        <v xml:space="preserve"> </v>
      </c>
      <c r="V244" s="9" t="str">
        <f t="shared" si="45"/>
        <v xml:space="preserve"> </v>
      </c>
      <c r="W244" s="9" t="str">
        <f t="shared" si="46"/>
        <v/>
      </c>
      <c r="X244" s="32"/>
      <c r="Y244" s="36"/>
    </row>
    <row r="245" spans="1:25" s="4" customFormat="1" ht="18" customHeight="1">
      <c r="A245" s="36"/>
      <c r="B245" s="69">
        <v>117.76000000000033</v>
      </c>
      <c r="C245" s="69" t="s">
        <v>537</v>
      </c>
      <c r="D245" s="31" t="s">
        <v>708</v>
      </c>
      <c r="E245" s="29" t="s">
        <v>34</v>
      </c>
      <c r="F245" s="28">
        <v>0.7</v>
      </c>
      <c r="G245" s="29">
        <v>0.04</v>
      </c>
      <c r="H245" s="29">
        <v>-0.04</v>
      </c>
      <c r="I245" s="30" t="s">
        <v>39</v>
      </c>
      <c r="J245" s="12">
        <f t="shared" si="48"/>
        <v>0.74</v>
      </c>
      <c r="K245" s="12">
        <f t="shared" si="49"/>
        <v>0.65999999999999992</v>
      </c>
      <c r="L245" s="78"/>
      <c r="M245" s="78"/>
      <c r="N245" s="78"/>
      <c r="O245" s="36"/>
      <c r="P245" s="24" t="str">
        <f t="shared" si="47"/>
        <v xml:space="preserve"> </v>
      </c>
      <c r="Q245" s="25" t="str">
        <f t="shared" si="47"/>
        <v xml:space="preserve"> </v>
      </c>
      <c r="R245" s="25" t="str">
        <f t="shared" si="47"/>
        <v xml:space="preserve"> </v>
      </c>
      <c r="S245" s="26" t="str">
        <f t="shared" si="42"/>
        <v xml:space="preserve"> </v>
      </c>
      <c r="T245" s="7" t="str">
        <f t="shared" si="43"/>
        <v xml:space="preserve"> </v>
      </c>
      <c r="U245" s="8" t="str">
        <f t="shared" si="44"/>
        <v xml:space="preserve"> </v>
      </c>
      <c r="V245" s="9" t="str">
        <f t="shared" si="45"/>
        <v xml:space="preserve"> </v>
      </c>
      <c r="W245" s="9" t="str">
        <f t="shared" si="46"/>
        <v/>
      </c>
      <c r="X245" s="32"/>
      <c r="Y245" s="36"/>
    </row>
    <row r="246" spans="1:25" s="4" customFormat="1" ht="18" customHeight="1">
      <c r="A246" s="36"/>
      <c r="B246" s="69">
        <v>117.77000000000034</v>
      </c>
      <c r="C246" s="69" t="s">
        <v>538</v>
      </c>
      <c r="D246" s="31" t="s">
        <v>708</v>
      </c>
      <c r="E246" s="29" t="s">
        <v>34</v>
      </c>
      <c r="F246" s="28">
        <v>0.7</v>
      </c>
      <c r="G246" s="29">
        <v>0.04</v>
      </c>
      <c r="H246" s="29">
        <v>-0.04</v>
      </c>
      <c r="I246" s="30" t="s">
        <v>39</v>
      </c>
      <c r="J246" s="12">
        <f t="shared" si="48"/>
        <v>0.74</v>
      </c>
      <c r="K246" s="12">
        <f t="shared" si="49"/>
        <v>0.65999999999999992</v>
      </c>
      <c r="L246" s="78"/>
      <c r="M246" s="78"/>
      <c r="N246" s="78"/>
      <c r="O246" s="36"/>
      <c r="P246" s="24" t="str">
        <f t="shared" si="47"/>
        <v xml:space="preserve"> </v>
      </c>
      <c r="Q246" s="25" t="str">
        <f t="shared" si="47"/>
        <v xml:space="preserve"> </v>
      </c>
      <c r="R246" s="25" t="str">
        <f t="shared" si="47"/>
        <v xml:space="preserve"> </v>
      </c>
      <c r="S246" s="26" t="str">
        <f t="shared" si="42"/>
        <v xml:space="preserve"> </v>
      </c>
      <c r="T246" s="7" t="str">
        <f t="shared" si="43"/>
        <v xml:space="preserve"> </v>
      </c>
      <c r="U246" s="8" t="str">
        <f t="shared" si="44"/>
        <v xml:space="preserve"> </v>
      </c>
      <c r="V246" s="9" t="str">
        <f t="shared" si="45"/>
        <v xml:space="preserve"> </v>
      </c>
      <c r="W246" s="9" t="str">
        <f t="shared" si="46"/>
        <v/>
      </c>
      <c r="X246" s="32"/>
      <c r="Y246" s="36"/>
    </row>
    <row r="247" spans="1:25" s="4" customFormat="1" ht="18" customHeight="1">
      <c r="A247" s="36"/>
      <c r="B247" s="69">
        <v>117.78000000000034</v>
      </c>
      <c r="C247" s="69" t="s">
        <v>539</v>
      </c>
      <c r="D247" s="31" t="s">
        <v>708</v>
      </c>
      <c r="E247" s="29" t="s">
        <v>34</v>
      </c>
      <c r="F247" s="28">
        <v>0.7</v>
      </c>
      <c r="G247" s="29">
        <v>0.04</v>
      </c>
      <c r="H247" s="29">
        <v>-0.04</v>
      </c>
      <c r="I247" s="30" t="s">
        <v>39</v>
      </c>
      <c r="J247" s="12">
        <f t="shared" si="48"/>
        <v>0.74</v>
      </c>
      <c r="K247" s="12">
        <f t="shared" si="49"/>
        <v>0.65999999999999992</v>
      </c>
      <c r="L247" s="78"/>
      <c r="M247" s="78"/>
      <c r="N247" s="78"/>
      <c r="O247" s="36"/>
      <c r="P247" s="24" t="str">
        <f t="shared" si="47"/>
        <v xml:space="preserve"> </v>
      </c>
      <c r="Q247" s="25" t="str">
        <f t="shared" si="47"/>
        <v xml:space="preserve"> </v>
      </c>
      <c r="R247" s="25" t="str">
        <f t="shared" si="47"/>
        <v xml:space="preserve"> </v>
      </c>
      <c r="S247" s="26" t="str">
        <f t="shared" si="42"/>
        <v xml:space="preserve"> </v>
      </c>
      <c r="T247" s="7" t="str">
        <f t="shared" si="43"/>
        <v xml:space="preserve"> </v>
      </c>
      <c r="U247" s="8" t="str">
        <f t="shared" si="44"/>
        <v xml:space="preserve"> </v>
      </c>
      <c r="V247" s="9" t="str">
        <f t="shared" si="45"/>
        <v xml:space="preserve"> </v>
      </c>
      <c r="W247" s="9" t="str">
        <f t="shared" si="46"/>
        <v/>
      </c>
      <c r="X247" s="32"/>
      <c r="Y247" s="36"/>
    </row>
    <row r="248" spans="1:25" s="4" customFormat="1" ht="18" customHeight="1">
      <c r="A248" s="36"/>
      <c r="B248" s="69">
        <v>117.79000000000035</v>
      </c>
      <c r="C248" s="69" t="s">
        <v>540</v>
      </c>
      <c r="D248" s="31" t="s">
        <v>708</v>
      </c>
      <c r="E248" s="29" t="s">
        <v>34</v>
      </c>
      <c r="F248" s="28">
        <v>0.7</v>
      </c>
      <c r="G248" s="29">
        <v>0.04</v>
      </c>
      <c r="H248" s="29">
        <v>-0.04</v>
      </c>
      <c r="I248" s="30" t="s">
        <v>39</v>
      </c>
      <c r="J248" s="12">
        <f t="shared" si="48"/>
        <v>0.74</v>
      </c>
      <c r="K248" s="12">
        <f t="shared" si="49"/>
        <v>0.65999999999999992</v>
      </c>
      <c r="L248" s="78"/>
      <c r="M248" s="78"/>
      <c r="N248" s="78"/>
      <c r="O248" s="36"/>
      <c r="P248" s="24" t="str">
        <f t="shared" si="47"/>
        <v xml:space="preserve"> </v>
      </c>
      <c r="Q248" s="25" t="str">
        <f t="shared" si="47"/>
        <v xml:space="preserve"> </v>
      </c>
      <c r="R248" s="25" t="str">
        <f t="shared" si="47"/>
        <v xml:space="preserve"> </v>
      </c>
      <c r="S248" s="26" t="str">
        <f t="shared" si="42"/>
        <v xml:space="preserve"> </v>
      </c>
      <c r="T248" s="7" t="str">
        <f t="shared" si="43"/>
        <v xml:space="preserve"> </v>
      </c>
      <c r="U248" s="8" t="str">
        <f t="shared" si="44"/>
        <v xml:space="preserve"> </v>
      </c>
      <c r="V248" s="9" t="str">
        <f t="shared" si="45"/>
        <v xml:space="preserve"> </v>
      </c>
      <c r="W248" s="9" t="str">
        <f t="shared" si="46"/>
        <v/>
      </c>
      <c r="X248" s="32"/>
      <c r="Y248" s="36"/>
    </row>
    <row r="249" spans="1:25" s="4" customFormat="1" ht="18" customHeight="1">
      <c r="A249" s="36"/>
      <c r="B249" s="69" t="s">
        <v>881</v>
      </c>
      <c r="C249" s="69" t="s">
        <v>541</v>
      </c>
      <c r="D249" s="31" t="s">
        <v>708</v>
      </c>
      <c r="E249" s="29" t="s">
        <v>34</v>
      </c>
      <c r="F249" s="28">
        <v>0.7</v>
      </c>
      <c r="G249" s="29">
        <v>0.04</v>
      </c>
      <c r="H249" s="29">
        <v>-0.04</v>
      </c>
      <c r="I249" s="30" t="s">
        <v>39</v>
      </c>
      <c r="J249" s="12">
        <f t="shared" si="48"/>
        <v>0.74</v>
      </c>
      <c r="K249" s="12">
        <f t="shared" si="49"/>
        <v>0.65999999999999992</v>
      </c>
      <c r="L249" s="78"/>
      <c r="M249" s="78"/>
      <c r="N249" s="78"/>
      <c r="O249" s="36"/>
      <c r="P249" s="24" t="str">
        <f t="shared" si="47"/>
        <v xml:space="preserve"> </v>
      </c>
      <c r="Q249" s="25" t="str">
        <f t="shared" si="47"/>
        <v xml:space="preserve"> </v>
      </c>
      <c r="R249" s="25" t="str">
        <f t="shared" si="47"/>
        <v xml:space="preserve"> </v>
      </c>
      <c r="S249" s="26" t="str">
        <f t="shared" si="42"/>
        <v xml:space="preserve"> </v>
      </c>
      <c r="T249" s="7" t="str">
        <f t="shared" si="43"/>
        <v xml:space="preserve"> </v>
      </c>
      <c r="U249" s="8" t="str">
        <f t="shared" si="44"/>
        <v xml:space="preserve"> </v>
      </c>
      <c r="V249" s="9" t="str">
        <f t="shared" si="45"/>
        <v xml:space="preserve"> </v>
      </c>
      <c r="W249" s="9" t="str">
        <f t="shared" si="46"/>
        <v/>
      </c>
      <c r="X249" s="32"/>
      <c r="Y249" s="36"/>
    </row>
    <row r="250" spans="1:25" s="4" customFormat="1" ht="18" customHeight="1">
      <c r="A250" s="36"/>
      <c r="B250" s="69">
        <v>117.81000000000036</v>
      </c>
      <c r="C250" s="69" t="s">
        <v>542</v>
      </c>
      <c r="D250" s="31" t="s">
        <v>708</v>
      </c>
      <c r="E250" s="29" t="s">
        <v>34</v>
      </c>
      <c r="F250" s="28">
        <v>0.7</v>
      </c>
      <c r="G250" s="29">
        <v>0.04</v>
      </c>
      <c r="H250" s="29">
        <v>-0.04</v>
      </c>
      <c r="I250" s="30" t="s">
        <v>39</v>
      </c>
      <c r="J250" s="12">
        <f t="shared" si="48"/>
        <v>0.74</v>
      </c>
      <c r="K250" s="12">
        <f t="shared" si="49"/>
        <v>0.65999999999999992</v>
      </c>
      <c r="L250" s="78"/>
      <c r="M250" s="78"/>
      <c r="N250" s="78"/>
      <c r="O250" s="36"/>
      <c r="P250" s="24" t="str">
        <f t="shared" si="47"/>
        <v xml:space="preserve"> </v>
      </c>
      <c r="Q250" s="25" t="str">
        <f t="shared" si="47"/>
        <v xml:space="preserve"> </v>
      </c>
      <c r="R250" s="25" t="str">
        <f t="shared" si="47"/>
        <v xml:space="preserve"> </v>
      </c>
      <c r="S250" s="26" t="str">
        <f t="shared" si="42"/>
        <v xml:space="preserve"> </v>
      </c>
      <c r="T250" s="7" t="str">
        <f t="shared" si="43"/>
        <v xml:space="preserve"> </v>
      </c>
      <c r="U250" s="8" t="str">
        <f t="shared" si="44"/>
        <v xml:space="preserve"> </v>
      </c>
      <c r="V250" s="9" t="str">
        <f t="shared" si="45"/>
        <v xml:space="preserve"> </v>
      </c>
      <c r="W250" s="9" t="str">
        <f t="shared" si="46"/>
        <v/>
      </c>
      <c r="X250" s="32"/>
      <c r="Y250" s="36"/>
    </row>
    <row r="251" spans="1:25" s="4" customFormat="1" ht="18" customHeight="1">
      <c r="A251" s="36"/>
      <c r="B251" s="69">
        <v>117.82000000000036</v>
      </c>
      <c r="C251" s="69" t="s">
        <v>543</v>
      </c>
      <c r="D251" s="31" t="s">
        <v>708</v>
      </c>
      <c r="E251" s="29" t="s">
        <v>34</v>
      </c>
      <c r="F251" s="28">
        <v>0.7</v>
      </c>
      <c r="G251" s="29">
        <v>0.04</v>
      </c>
      <c r="H251" s="29">
        <v>-0.04</v>
      </c>
      <c r="I251" s="30" t="s">
        <v>39</v>
      </c>
      <c r="J251" s="12">
        <f t="shared" si="48"/>
        <v>0.74</v>
      </c>
      <c r="K251" s="12">
        <f t="shared" si="49"/>
        <v>0.65999999999999992</v>
      </c>
      <c r="L251" s="78"/>
      <c r="M251" s="78"/>
      <c r="N251" s="78"/>
      <c r="O251" s="36"/>
      <c r="P251" s="24" t="str">
        <f t="shared" si="47"/>
        <v xml:space="preserve"> </v>
      </c>
      <c r="Q251" s="25" t="str">
        <f t="shared" si="47"/>
        <v xml:space="preserve"> </v>
      </c>
      <c r="R251" s="25" t="str">
        <f t="shared" si="47"/>
        <v xml:space="preserve"> </v>
      </c>
      <c r="S251" s="26" t="str">
        <f t="shared" si="42"/>
        <v xml:space="preserve"> </v>
      </c>
      <c r="T251" s="7" t="str">
        <f t="shared" si="43"/>
        <v xml:space="preserve"> </v>
      </c>
      <c r="U251" s="8" t="str">
        <f t="shared" si="44"/>
        <v xml:space="preserve"> </v>
      </c>
      <c r="V251" s="9" t="str">
        <f t="shared" si="45"/>
        <v xml:space="preserve"> </v>
      </c>
      <c r="W251" s="9" t="str">
        <f t="shared" si="46"/>
        <v/>
      </c>
      <c r="X251" s="32"/>
      <c r="Y251" s="36"/>
    </row>
    <row r="252" spans="1:25" s="4" customFormat="1" ht="18" customHeight="1">
      <c r="A252" s="36"/>
      <c r="B252" s="69">
        <v>117.83000000000037</v>
      </c>
      <c r="C252" s="69" t="s">
        <v>544</v>
      </c>
      <c r="D252" s="31" t="s">
        <v>708</v>
      </c>
      <c r="E252" s="29" t="s">
        <v>34</v>
      </c>
      <c r="F252" s="28">
        <v>0.7</v>
      </c>
      <c r="G252" s="29">
        <v>0.04</v>
      </c>
      <c r="H252" s="29">
        <v>-0.04</v>
      </c>
      <c r="I252" s="30" t="s">
        <v>39</v>
      </c>
      <c r="J252" s="12">
        <f t="shared" si="48"/>
        <v>0.74</v>
      </c>
      <c r="K252" s="12">
        <f t="shared" si="49"/>
        <v>0.65999999999999992</v>
      </c>
      <c r="L252" s="78"/>
      <c r="M252" s="78"/>
      <c r="N252" s="78"/>
      <c r="O252" s="36"/>
      <c r="P252" s="24" t="str">
        <f t="shared" si="47"/>
        <v xml:space="preserve"> </v>
      </c>
      <c r="Q252" s="25" t="str">
        <f t="shared" si="47"/>
        <v xml:space="preserve"> </v>
      </c>
      <c r="R252" s="25" t="str">
        <f t="shared" si="47"/>
        <v xml:space="preserve"> </v>
      </c>
      <c r="S252" s="26" t="str">
        <f t="shared" si="42"/>
        <v xml:space="preserve"> </v>
      </c>
      <c r="T252" s="7" t="str">
        <f t="shared" si="43"/>
        <v xml:space="preserve"> </v>
      </c>
      <c r="U252" s="8" t="str">
        <f t="shared" si="44"/>
        <v xml:space="preserve"> </v>
      </c>
      <c r="V252" s="9" t="str">
        <f t="shared" si="45"/>
        <v xml:space="preserve"> </v>
      </c>
      <c r="W252" s="9" t="str">
        <f t="shared" si="46"/>
        <v/>
      </c>
      <c r="X252" s="32"/>
      <c r="Y252" s="36"/>
    </row>
    <row r="253" spans="1:25" s="4" customFormat="1" ht="18" customHeight="1">
      <c r="A253" s="36"/>
      <c r="B253" s="69">
        <v>117.84000000000037</v>
      </c>
      <c r="C253" s="69" t="s">
        <v>545</v>
      </c>
      <c r="D253" s="31" t="s">
        <v>708</v>
      </c>
      <c r="E253" s="29" t="s">
        <v>34</v>
      </c>
      <c r="F253" s="28">
        <v>0.7</v>
      </c>
      <c r="G253" s="29">
        <v>0.04</v>
      </c>
      <c r="H253" s="29">
        <v>-0.04</v>
      </c>
      <c r="I253" s="30" t="s">
        <v>39</v>
      </c>
      <c r="J253" s="12">
        <f t="shared" si="48"/>
        <v>0.74</v>
      </c>
      <c r="K253" s="12">
        <f t="shared" si="49"/>
        <v>0.65999999999999992</v>
      </c>
      <c r="L253" s="78"/>
      <c r="M253" s="78"/>
      <c r="N253" s="78"/>
      <c r="O253" s="36"/>
      <c r="P253" s="24" t="str">
        <f t="shared" si="47"/>
        <v xml:space="preserve"> </v>
      </c>
      <c r="Q253" s="25" t="str">
        <f t="shared" si="47"/>
        <v xml:space="preserve"> </v>
      </c>
      <c r="R253" s="25" t="str">
        <f t="shared" si="47"/>
        <v xml:space="preserve"> </v>
      </c>
      <c r="S253" s="26" t="str">
        <f t="shared" si="42"/>
        <v xml:space="preserve"> </v>
      </c>
      <c r="T253" s="7" t="str">
        <f t="shared" si="43"/>
        <v xml:space="preserve"> </v>
      </c>
      <c r="U253" s="8" t="str">
        <f t="shared" si="44"/>
        <v xml:space="preserve"> </v>
      </c>
      <c r="V253" s="9" t="str">
        <f t="shared" si="45"/>
        <v xml:space="preserve"> </v>
      </c>
      <c r="W253" s="9" t="str">
        <f t="shared" si="46"/>
        <v/>
      </c>
      <c r="X253" s="32"/>
      <c r="Y253" s="36"/>
    </row>
    <row r="254" spans="1:25" s="4" customFormat="1" ht="18" customHeight="1">
      <c r="A254" s="36"/>
      <c r="B254" s="69">
        <v>117.85000000000038</v>
      </c>
      <c r="C254" s="69" t="s">
        <v>546</v>
      </c>
      <c r="D254" s="31" t="s">
        <v>708</v>
      </c>
      <c r="E254" s="29" t="s">
        <v>34</v>
      </c>
      <c r="F254" s="28">
        <v>0.7</v>
      </c>
      <c r="G254" s="29">
        <v>0.04</v>
      </c>
      <c r="H254" s="29">
        <v>-0.04</v>
      </c>
      <c r="I254" s="30" t="s">
        <v>39</v>
      </c>
      <c r="J254" s="12">
        <f t="shared" si="48"/>
        <v>0.74</v>
      </c>
      <c r="K254" s="12">
        <f t="shared" si="49"/>
        <v>0.65999999999999992</v>
      </c>
      <c r="L254" s="78"/>
      <c r="M254" s="78"/>
      <c r="N254" s="78"/>
      <c r="O254" s="36"/>
      <c r="P254" s="24" t="str">
        <f t="shared" si="47"/>
        <v xml:space="preserve"> </v>
      </c>
      <c r="Q254" s="25" t="str">
        <f t="shared" si="47"/>
        <v xml:space="preserve"> </v>
      </c>
      <c r="R254" s="25" t="str">
        <f t="shared" si="47"/>
        <v xml:space="preserve"> </v>
      </c>
      <c r="S254" s="26" t="str">
        <f t="shared" si="42"/>
        <v xml:space="preserve"> </v>
      </c>
      <c r="T254" s="7" t="str">
        <f t="shared" si="43"/>
        <v xml:space="preserve"> </v>
      </c>
      <c r="U254" s="8" t="str">
        <f t="shared" si="44"/>
        <v xml:space="preserve"> </v>
      </c>
      <c r="V254" s="9" t="str">
        <f t="shared" si="45"/>
        <v xml:space="preserve"> </v>
      </c>
      <c r="W254" s="9" t="str">
        <f t="shared" si="46"/>
        <v/>
      </c>
      <c r="X254" s="32"/>
      <c r="Y254" s="36"/>
    </row>
    <row r="255" spans="1:25" s="4" customFormat="1" ht="18" customHeight="1">
      <c r="A255" s="36"/>
      <c r="B255" s="69">
        <v>117.86000000000038</v>
      </c>
      <c r="C255" s="69" t="s">
        <v>547</v>
      </c>
      <c r="D255" s="31" t="s">
        <v>708</v>
      </c>
      <c r="E255" s="29" t="s">
        <v>34</v>
      </c>
      <c r="F255" s="28">
        <v>0.7</v>
      </c>
      <c r="G255" s="29">
        <v>0.04</v>
      </c>
      <c r="H255" s="29">
        <v>-0.04</v>
      </c>
      <c r="I255" s="30" t="s">
        <v>39</v>
      </c>
      <c r="J255" s="12">
        <f t="shared" si="48"/>
        <v>0.74</v>
      </c>
      <c r="K255" s="12">
        <f t="shared" si="49"/>
        <v>0.65999999999999992</v>
      </c>
      <c r="L255" s="78"/>
      <c r="M255" s="78"/>
      <c r="N255" s="78"/>
      <c r="O255" s="36"/>
      <c r="P255" s="24" t="str">
        <f t="shared" si="47"/>
        <v xml:space="preserve"> </v>
      </c>
      <c r="Q255" s="25" t="str">
        <f t="shared" si="47"/>
        <v xml:space="preserve"> </v>
      </c>
      <c r="R255" s="25" t="str">
        <f t="shared" si="47"/>
        <v xml:space="preserve"> </v>
      </c>
      <c r="S255" s="26" t="str">
        <f t="shared" si="42"/>
        <v xml:space="preserve"> </v>
      </c>
      <c r="T255" s="7" t="str">
        <f t="shared" si="43"/>
        <v xml:space="preserve"> </v>
      </c>
      <c r="U255" s="8" t="str">
        <f t="shared" si="44"/>
        <v xml:space="preserve"> </v>
      </c>
      <c r="V255" s="9" t="str">
        <f t="shared" si="45"/>
        <v xml:space="preserve"> </v>
      </c>
      <c r="W255" s="9" t="str">
        <f t="shared" si="46"/>
        <v/>
      </c>
      <c r="X255" s="32"/>
      <c r="Y255" s="36"/>
    </row>
    <row r="256" spans="1:25" s="4" customFormat="1" ht="18" customHeight="1">
      <c r="A256" s="36"/>
      <c r="B256" s="69">
        <v>117.87000000000039</v>
      </c>
      <c r="C256" s="69" t="s">
        <v>548</v>
      </c>
      <c r="D256" s="31" t="s">
        <v>708</v>
      </c>
      <c r="E256" s="29" t="s">
        <v>34</v>
      </c>
      <c r="F256" s="28">
        <v>0.7</v>
      </c>
      <c r="G256" s="29">
        <v>0.04</v>
      </c>
      <c r="H256" s="29">
        <v>-0.04</v>
      </c>
      <c r="I256" s="30" t="s">
        <v>39</v>
      </c>
      <c r="J256" s="12">
        <f t="shared" si="48"/>
        <v>0.74</v>
      </c>
      <c r="K256" s="12">
        <f t="shared" si="49"/>
        <v>0.65999999999999992</v>
      </c>
      <c r="L256" s="78"/>
      <c r="M256" s="78"/>
      <c r="N256" s="78"/>
      <c r="O256" s="36"/>
      <c r="P256" s="24" t="str">
        <f t="shared" si="47"/>
        <v xml:space="preserve"> </v>
      </c>
      <c r="Q256" s="25" t="str">
        <f t="shared" si="47"/>
        <v xml:space="preserve"> </v>
      </c>
      <c r="R256" s="25" t="str">
        <f t="shared" si="47"/>
        <v xml:space="preserve"> </v>
      </c>
      <c r="S256" s="26" t="str">
        <f t="shared" si="42"/>
        <v xml:space="preserve"> </v>
      </c>
      <c r="T256" s="7" t="str">
        <f t="shared" si="43"/>
        <v xml:space="preserve"> </v>
      </c>
      <c r="U256" s="8" t="str">
        <f t="shared" si="44"/>
        <v xml:space="preserve"> </v>
      </c>
      <c r="V256" s="9" t="str">
        <f t="shared" si="45"/>
        <v xml:space="preserve"> </v>
      </c>
      <c r="W256" s="9" t="str">
        <f t="shared" si="46"/>
        <v/>
      </c>
      <c r="X256" s="32"/>
      <c r="Y256" s="36"/>
    </row>
    <row r="257" spans="1:25" s="4" customFormat="1" ht="18" customHeight="1">
      <c r="A257" s="36"/>
      <c r="B257" s="69">
        <v>117.88000000000039</v>
      </c>
      <c r="C257" s="69" t="s">
        <v>549</v>
      </c>
      <c r="D257" s="31" t="s">
        <v>708</v>
      </c>
      <c r="E257" s="29" t="s">
        <v>34</v>
      </c>
      <c r="F257" s="28">
        <v>0.7</v>
      </c>
      <c r="G257" s="29">
        <v>0.04</v>
      </c>
      <c r="H257" s="29">
        <v>-0.04</v>
      </c>
      <c r="I257" s="30" t="s">
        <v>39</v>
      </c>
      <c r="J257" s="12">
        <f t="shared" si="48"/>
        <v>0.74</v>
      </c>
      <c r="K257" s="12">
        <f t="shared" si="49"/>
        <v>0.65999999999999992</v>
      </c>
      <c r="L257" s="78"/>
      <c r="M257" s="78"/>
      <c r="N257" s="78"/>
      <c r="O257" s="36"/>
      <c r="P257" s="24" t="str">
        <f t="shared" si="47"/>
        <v xml:space="preserve"> </v>
      </c>
      <c r="Q257" s="25" t="str">
        <f t="shared" si="47"/>
        <v xml:space="preserve"> </v>
      </c>
      <c r="R257" s="25" t="str">
        <f t="shared" si="47"/>
        <v xml:space="preserve"> </v>
      </c>
      <c r="S257" s="26" t="str">
        <f t="shared" si="42"/>
        <v xml:space="preserve"> </v>
      </c>
      <c r="T257" s="7" t="str">
        <f t="shared" si="43"/>
        <v xml:space="preserve"> </v>
      </c>
      <c r="U257" s="8" t="str">
        <f t="shared" si="44"/>
        <v xml:space="preserve"> </v>
      </c>
      <c r="V257" s="9" t="str">
        <f t="shared" si="45"/>
        <v xml:space="preserve"> </v>
      </c>
      <c r="W257" s="9" t="str">
        <f t="shared" si="46"/>
        <v/>
      </c>
      <c r="X257" s="32"/>
      <c r="Y257" s="36"/>
    </row>
    <row r="258" spans="1:25" s="4" customFormat="1" ht="18" customHeight="1">
      <c r="A258" s="36"/>
      <c r="B258" s="69">
        <v>117.8900000000004</v>
      </c>
      <c r="C258" s="69" t="s">
        <v>550</v>
      </c>
      <c r="D258" s="31" t="s">
        <v>708</v>
      </c>
      <c r="E258" s="29" t="s">
        <v>34</v>
      </c>
      <c r="F258" s="28">
        <v>0.7</v>
      </c>
      <c r="G258" s="29">
        <v>0.04</v>
      </c>
      <c r="H258" s="29">
        <v>-0.04</v>
      </c>
      <c r="I258" s="30" t="s">
        <v>39</v>
      </c>
      <c r="J258" s="12">
        <f t="shared" si="48"/>
        <v>0.74</v>
      </c>
      <c r="K258" s="12">
        <f t="shared" si="49"/>
        <v>0.65999999999999992</v>
      </c>
      <c r="L258" s="78"/>
      <c r="M258" s="78"/>
      <c r="N258" s="78"/>
      <c r="O258" s="36"/>
      <c r="P258" s="24" t="str">
        <f t="shared" si="47"/>
        <v xml:space="preserve"> </v>
      </c>
      <c r="Q258" s="25" t="str">
        <f t="shared" si="47"/>
        <v xml:space="preserve"> </v>
      </c>
      <c r="R258" s="25" t="str">
        <f t="shared" si="47"/>
        <v xml:space="preserve"> </v>
      </c>
      <c r="S258" s="26" t="str">
        <f t="shared" si="42"/>
        <v xml:space="preserve"> </v>
      </c>
      <c r="T258" s="7" t="str">
        <f t="shared" si="43"/>
        <v xml:space="preserve"> </v>
      </c>
      <c r="U258" s="8" t="str">
        <f t="shared" si="44"/>
        <v xml:space="preserve"> </v>
      </c>
      <c r="V258" s="9" t="str">
        <f t="shared" si="45"/>
        <v xml:space="preserve"> </v>
      </c>
      <c r="W258" s="9" t="str">
        <f t="shared" si="46"/>
        <v/>
      </c>
      <c r="X258" s="32"/>
      <c r="Y258" s="36"/>
    </row>
    <row r="259" spans="1:25" s="4" customFormat="1" ht="18" customHeight="1">
      <c r="A259" s="36"/>
      <c r="B259" s="69" t="s">
        <v>883</v>
      </c>
      <c r="C259" s="69" t="s">
        <v>551</v>
      </c>
      <c r="D259" s="31" t="s">
        <v>708</v>
      </c>
      <c r="E259" s="29" t="s">
        <v>34</v>
      </c>
      <c r="F259" s="28">
        <v>0.7</v>
      </c>
      <c r="G259" s="29">
        <v>0.04</v>
      </c>
      <c r="H259" s="29">
        <v>-0.04</v>
      </c>
      <c r="I259" s="30" t="s">
        <v>39</v>
      </c>
      <c r="J259" s="12">
        <f t="shared" si="48"/>
        <v>0.74</v>
      </c>
      <c r="K259" s="12">
        <f t="shared" si="49"/>
        <v>0.65999999999999992</v>
      </c>
      <c r="L259" s="78"/>
      <c r="M259" s="78"/>
      <c r="N259" s="78"/>
      <c r="O259" s="36"/>
      <c r="P259" s="24" t="str">
        <f t="shared" si="47"/>
        <v xml:space="preserve"> </v>
      </c>
      <c r="Q259" s="25" t="str">
        <f t="shared" si="47"/>
        <v xml:space="preserve"> </v>
      </c>
      <c r="R259" s="25" t="str">
        <f t="shared" si="47"/>
        <v xml:space="preserve"> </v>
      </c>
      <c r="S259" s="26" t="str">
        <f t="shared" si="42"/>
        <v xml:space="preserve"> </v>
      </c>
      <c r="T259" s="7" t="str">
        <f t="shared" si="43"/>
        <v xml:space="preserve"> </v>
      </c>
      <c r="U259" s="8" t="str">
        <f t="shared" si="44"/>
        <v xml:space="preserve"> </v>
      </c>
      <c r="V259" s="9" t="str">
        <f t="shared" si="45"/>
        <v xml:space="preserve"> </v>
      </c>
      <c r="W259" s="9" t="str">
        <f t="shared" si="46"/>
        <v/>
      </c>
      <c r="X259" s="32"/>
      <c r="Y259" s="36"/>
    </row>
    <row r="260" spans="1:25" s="4" customFormat="1" ht="18" customHeight="1">
      <c r="A260" s="36"/>
      <c r="B260" s="69">
        <v>117.91000000000041</v>
      </c>
      <c r="C260" s="69" t="s">
        <v>552</v>
      </c>
      <c r="D260" s="31" t="s">
        <v>708</v>
      </c>
      <c r="E260" s="29" t="s">
        <v>34</v>
      </c>
      <c r="F260" s="28">
        <v>0.7</v>
      </c>
      <c r="G260" s="29">
        <v>0.04</v>
      </c>
      <c r="H260" s="29">
        <v>-0.04</v>
      </c>
      <c r="I260" s="30" t="s">
        <v>39</v>
      </c>
      <c r="J260" s="12">
        <f t="shared" si="48"/>
        <v>0.74</v>
      </c>
      <c r="K260" s="12">
        <f t="shared" si="49"/>
        <v>0.65999999999999992</v>
      </c>
      <c r="L260" s="78"/>
      <c r="M260" s="78"/>
      <c r="N260" s="78"/>
      <c r="O260" s="36"/>
      <c r="P260" s="24" t="str">
        <f t="shared" si="47"/>
        <v xml:space="preserve"> </v>
      </c>
      <c r="Q260" s="25" t="str">
        <f t="shared" si="47"/>
        <v xml:space="preserve"> </v>
      </c>
      <c r="R260" s="25" t="str">
        <f t="shared" si="47"/>
        <v xml:space="preserve"> </v>
      </c>
      <c r="S260" s="26" t="str">
        <f t="shared" si="42"/>
        <v xml:space="preserve"> </v>
      </c>
      <c r="T260" s="7" t="str">
        <f t="shared" si="43"/>
        <v xml:space="preserve"> </v>
      </c>
      <c r="U260" s="8" t="str">
        <f t="shared" si="44"/>
        <v xml:space="preserve"> </v>
      </c>
      <c r="V260" s="9" t="str">
        <f t="shared" si="45"/>
        <v xml:space="preserve"> </v>
      </c>
      <c r="W260" s="9" t="str">
        <f t="shared" si="46"/>
        <v/>
      </c>
      <c r="X260" s="32"/>
      <c r="Y260" s="36"/>
    </row>
    <row r="261" spans="1:25" s="4" customFormat="1" ht="18" customHeight="1">
      <c r="A261" s="36"/>
      <c r="B261" s="69">
        <v>117.92000000000041</v>
      </c>
      <c r="C261" s="69" t="s">
        <v>553</v>
      </c>
      <c r="D261" s="31" t="s">
        <v>708</v>
      </c>
      <c r="E261" s="29" t="s">
        <v>34</v>
      </c>
      <c r="F261" s="28">
        <v>0.7</v>
      </c>
      <c r="G261" s="29">
        <v>0.04</v>
      </c>
      <c r="H261" s="29">
        <v>-0.04</v>
      </c>
      <c r="I261" s="30" t="s">
        <v>39</v>
      </c>
      <c r="J261" s="12">
        <f t="shared" si="48"/>
        <v>0.74</v>
      </c>
      <c r="K261" s="12">
        <f t="shared" si="49"/>
        <v>0.65999999999999992</v>
      </c>
      <c r="L261" s="78"/>
      <c r="M261" s="78"/>
      <c r="N261" s="78"/>
      <c r="O261" s="36"/>
      <c r="P261" s="24" t="str">
        <f t="shared" si="47"/>
        <v xml:space="preserve"> </v>
      </c>
      <c r="Q261" s="25" t="str">
        <f t="shared" si="47"/>
        <v xml:space="preserve"> </v>
      </c>
      <c r="R261" s="25" t="str">
        <f t="shared" si="47"/>
        <v xml:space="preserve"> </v>
      </c>
      <c r="S261" s="26" t="str">
        <f t="shared" si="42"/>
        <v xml:space="preserve"> </v>
      </c>
      <c r="T261" s="7" t="str">
        <f t="shared" si="43"/>
        <v xml:space="preserve"> </v>
      </c>
      <c r="U261" s="8" t="str">
        <f t="shared" si="44"/>
        <v xml:space="preserve"> </v>
      </c>
      <c r="V261" s="9" t="str">
        <f t="shared" si="45"/>
        <v xml:space="preserve"> </v>
      </c>
      <c r="W261" s="9" t="str">
        <f t="shared" si="46"/>
        <v/>
      </c>
      <c r="X261" s="32"/>
      <c r="Y261" s="36"/>
    </row>
    <row r="262" spans="1:25" s="4" customFormat="1" ht="18" customHeight="1">
      <c r="A262" s="36"/>
      <c r="B262" s="69">
        <v>117.93000000000042</v>
      </c>
      <c r="C262" s="69" t="s">
        <v>554</v>
      </c>
      <c r="D262" s="31" t="s">
        <v>708</v>
      </c>
      <c r="E262" s="29" t="s">
        <v>34</v>
      </c>
      <c r="F262" s="28">
        <v>0.7</v>
      </c>
      <c r="G262" s="29">
        <v>0.04</v>
      </c>
      <c r="H262" s="29">
        <v>-0.04</v>
      </c>
      <c r="I262" s="30" t="s">
        <v>39</v>
      </c>
      <c r="J262" s="12">
        <f t="shared" si="48"/>
        <v>0.74</v>
      </c>
      <c r="K262" s="12">
        <f t="shared" si="49"/>
        <v>0.65999999999999992</v>
      </c>
      <c r="L262" s="78"/>
      <c r="M262" s="78"/>
      <c r="N262" s="78"/>
      <c r="O262" s="36"/>
      <c r="P262" s="24" t="str">
        <f t="shared" si="47"/>
        <v xml:space="preserve"> </v>
      </c>
      <c r="Q262" s="25" t="str">
        <f t="shared" si="47"/>
        <v xml:space="preserve"> </v>
      </c>
      <c r="R262" s="25" t="str">
        <f t="shared" si="47"/>
        <v xml:space="preserve"> </v>
      </c>
      <c r="S262" s="26" t="str">
        <f t="shared" si="42"/>
        <v xml:space="preserve"> </v>
      </c>
      <c r="T262" s="7" t="str">
        <f t="shared" si="43"/>
        <v xml:space="preserve"> </v>
      </c>
      <c r="U262" s="8" t="str">
        <f t="shared" si="44"/>
        <v xml:space="preserve"> </v>
      </c>
      <c r="V262" s="9" t="str">
        <f t="shared" si="45"/>
        <v xml:space="preserve"> </v>
      </c>
      <c r="W262" s="9" t="str">
        <f t="shared" si="46"/>
        <v/>
      </c>
      <c r="X262" s="32"/>
      <c r="Y262" s="36"/>
    </row>
    <row r="263" spans="1:25" s="4" customFormat="1" ht="18" customHeight="1">
      <c r="A263" s="36"/>
      <c r="B263" s="69">
        <v>117.94000000000042</v>
      </c>
      <c r="C263" s="69" t="s">
        <v>555</v>
      </c>
      <c r="D263" s="31" t="s">
        <v>708</v>
      </c>
      <c r="E263" s="29" t="s">
        <v>34</v>
      </c>
      <c r="F263" s="28">
        <v>0.7</v>
      </c>
      <c r="G263" s="29">
        <v>0.04</v>
      </c>
      <c r="H263" s="29">
        <v>-0.04</v>
      </c>
      <c r="I263" s="30" t="s">
        <v>39</v>
      </c>
      <c r="J263" s="12">
        <f t="shared" si="48"/>
        <v>0.74</v>
      </c>
      <c r="K263" s="12">
        <f t="shared" si="49"/>
        <v>0.65999999999999992</v>
      </c>
      <c r="L263" s="78"/>
      <c r="M263" s="78"/>
      <c r="N263" s="78"/>
      <c r="O263" s="36"/>
      <c r="P263" s="24" t="str">
        <f t="shared" si="47"/>
        <v xml:space="preserve"> </v>
      </c>
      <c r="Q263" s="25" t="str">
        <f t="shared" si="47"/>
        <v xml:space="preserve"> </v>
      </c>
      <c r="R263" s="25" t="str">
        <f t="shared" si="47"/>
        <v xml:space="preserve"> </v>
      </c>
      <c r="S263" s="26" t="str">
        <f t="shared" si="42"/>
        <v xml:space="preserve"> </v>
      </c>
      <c r="T263" s="7" t="str">
        <f t="shared" si="43"/>
        <v xml:space="preserve"> </v>
      </c>
      <c r="U263" s="8" t="str">
        <f t="shared" si="44"/>
        <v xml:space="preserve"> </v>
      </c>
      <c r="V263" s="9" t="str">
        <f t="shared" si="45"/>
        <v xml:space="preserve"> </v>
      </c>
      <c r="W263" s="9" t="str">
        <f t="shared" si="46"/>
        <v/>
      </c>
      <c r="X263" s="32"/>
      <c r="Y263" s="36"/>
    </row>
    <row r="264" spans="1:25" s="4" customFormat="1" ht="18" customHeight="1">
      <c r="A264" s="36"/>
      <c r="B264" s="69">
        <v>117.95000000000043</v>
      </c>
      <c r="C264" s="69" t="s">
        <v>556</v>
      </c>
      <c r="D264" s="31" t="s">
        <v>708</v>
      </c>
      <c r="E264" s="29" t="s">
        <v>34</v>
      </c>
      <c r="F264" s="28">
        <v>0.7</v>
      </c>
      <c r="G264" s="29">
        <v>0.04</v>
      </c>
      <c r="H264" s="29">
        <v>-0.04</v>
      </c>
      <c r="I264" s="30" t="s">
        <v>39</v>
      </c>
      <c r="J264" s="12">
        <f t="shared" si="48"/>
        <v>0.74</v>
      </c>
      <c r="K264" s="12">
        <f t="shared" si="49"/>
        <v>0.65999999999999992</v>
      </c>
      <c r="L264" s="78"/>
      <c r="M264" s="78"/>
      <c r="N264" s="78"/>
      <c r="O264" s="36"/>
      <c r="P264" s="24" t="str">
        <f t="shared" si="47"/>
        <v xml:space="preserve"> </v>
      </c>
      <c r="Q264" s="25" t="str">
        <f t="shared" si="47"/>
        <v xml:space="preserve"> </v>
      </c>
      <c r="R264" s="25" t="str">
        <f t="shared" si="47"/>
        <v xml:space="preserve"> </v>
      </c>
      <c r="S264" s="26" t="str">
        <f t="shared" si="42"/>
        <v xml:space="preserve"> </v>
      </c>
      <c r="T264" s="7" t="str">
        <f t="shared" si="43"/>
        <v xml:space="preserve"> </v>
      </c>
      <c r="U264" s="8" t="str">
        <f t="shared" si="44"/>
        <v xml:space="preserve"> </v>
      </c>
      <c r="V264" s="9" t="str">
        <f t="shared" si="45"/>
        <v xml:space="preserve"> </v>
      </c>
      <c r="W264" s="9" t="str">
        <f t="shared" si="46"/>
        <v/>
      </c>
      <c r="X264" s="32"/>
      <c r="Y264" s="36"/>
    </row>
    <row r="265" spans="1:25" s="4" customFormat="1" ht="18" customHeight="1">
      <c r="A265" s="36"/>
      <c r="B265" s="69">
        <v>117.96000000000043</v>
      </c>
      <c r="C265" s="69" t="s">
        <v>557</v>
      </c>
      <c r="D265" s="31" t="s">
        <v>708</v>
      </c>
      <c r="E265" s="29" t="s">
        <v>34</v>
      </c>
      <c r="F265" s="28">
        <v>0.7</v>
      </c>
      <c r="G265" s="29">
        <v>0.04</v>
      </c>
      <c r="H265" s="29">
        <v>-0.04</v>
      </c>
      <c r="I265" s="30" t="s">
        <v>39</v>
      </c>
      <c r="J265" s="12">
        <f t="shared" si="48"/>
        <v>0.74</v>
      </c>
      <c r="K265" s="12">
        <f t="shared" si="49"/>
        <v>0.65999999999999992</v>
      </c>
      <c r="L265" s="78"/>
      <c r="M265" s="78"/>
      <c r="N265" s="78"/>
      <c r="O265" s="36"/>
      <c r="P265" s="24" t="str">
        <f t="shared" si="47"/>
        <v xml:space="preserve"> </v>
      </c>
      <c r="Q265" s="25" t="str">
        <f t="shared" si="47"/>
        <v xml:space="preserve"> </v>
      </c>
      <c r="R265" s="25" t="str">
        <f t="shared" si="47"/>
        <v xml:space="preserve"> </v>
      </c>
      <c r="S265" s="26" t="str">
        <f t="shared" si="42"/>
        <v xml:space="preserve"> </v>
      </c>
      <c r="T265" s="7" t="str">
        <f t="shared" si="43"/>
        <v xml:space="preserve"> </v>
      </c>
      <c r="U265" s="8" t="str">
        <f t="shared" si="44"/>
        <v xml:space="preserve"> </v>
      </c>
      <c r="V265" s="9" t="str">
        <f t="shared" si="45"/>
        <v xml:space="preserve"> </v>
      </c>
      <c r="W265" s="9" t="str">
        <f t="shared" si="46"/>
        <v/>
      </c>
      <c r="X265" s="32"/>
      <c r="Y265" s="36"/>
    </row>
    <row r="266" spans="1:25" s="4" customFormat="1" ht="18" customHeight="1">
      <c r="A266" s="36"/>
      <c r="B266" s="69">
        <v>117.97000000000044</v>
      </c>
      <c r="C266" s="69" t="s">
        <v>558</v>
      </c>
      <c r="D266" s="31" t="s">
        <v>708</v>
      </c>
      <c r="E266" s="29" t="s">
        <v>34</v>
      </c>
      <c r="F266" s="28">
        <v>0.7</v>
      </c>
      <c r="G266" s="29">
        <v>0.04</v>
      </c>
      <c r="H266" s="29">
        <v>-0.04</v>
      </c>
      <c r="I266" s="30" t="s">
        <v>39</v>
      </c>
      <c r="J266" s="12">
        <f t="shared" si="48"/>
        <v>0.74</v>
      </c>
      <c r="K266" s="12">
        <f t="shared" si="49"/>
        <v>0.65999999999999992</v>
      </c>
      <c r="L266" s="78"/>
      <c r="M266" s="78"/>
      <c r="N266" s="78"/>
      <c r="O266" s="36"/>
      <c r="P266" s="24" t="str">
        <f t="shared" si="47"/>
        <v xml:space="preserve"> </v>
      </c>
      <c r="Q266" s="25" t="str">
        <f t="shared" si="47"/>
        <v xml:space="preserve"> </v>
      </c>
      <c r="R266" s="25" t="str">
        <f t="shared" si="47"/>
        <v xml:space="preserve"> </v>
      </c>
      <c r="S266" s="26" t="str">
        <f t="shared" si="42"/>
        <v xml:space="preserve"> </v>
      </c>
      <c r="T266" s="7" t="str">
        <f t="shared" si="43"/>
        <v xml:space="preserve"> </v>
      </c>
      <c r="U266" s="8" t="str">
        <f t="shared" si="44"/>
        <v xml:space="preserve"> </v>
      </c>
      <c r="V266" s="9" t="str">
        <f t="shared" si="45"/>
        <v xml:space="preserve"> </v>
      </c>
      <c r="W266" s="9" t="str">
        <f t="shared" si="46"/>
        <v/>
      </c>
      <c r="X266" s="32"/>
      <c r="Y266" s="36"/>
    </row>
    <row r="267" spans="1:25" s="4" customFormat="1" ht="18" customHeight="1">
      <c r="A267" s="36"/>
      <c r="B267" s="69">
        <v>117.98000000000044</v>
      </c>
      <c r="C267" s="69" t="s">
        <v>559</v>
      </c>
      <c r="D267" s="31" t="s">
        <v>708</v>
      </c>
      <c r="E267" s="29" t="s">
        <v>34</v>
      </c>
      <c r="F267" s="28">
        <v>0.7</v>
      </c>
      <c r="G267" s="29">
        <v>0.04</v>
      </c>
      <c r="H267" s="29">
        <v>-0.04</v>
      </c>
      <c r="I267" s="30" t="s">
        <v>39</v>
      </c>
      <c r="J267" s="12">
        <f t="shared" si="48"/>
        <v>0.74</v>
      </c>
      <c r="K267" s="12">
        <f t="shared" si="49"/>
        <v>0.65999999999999992</v>
      </c>
      <c r="L267" s="78"/>
      <c r="M267" s="78"/>
      <c r="N267" s="78"/>
      <c r="O267" s="36"/>
      <c r="P267" s="24" t="str">
        <f t="shared" si="47"/>
        <v xml:space="preserve"> </v>
      </c>
      <c r="Q267" s="25" t="str">
        <f t="shared" si="47"/>
        <v xml:space="preserve"> </v>
      </c>
      <c r="R267" s="25" t="str">
        <f t="shared" si="47"/>
        <v xml:space="preserve"> </v>
      </c>
      <c r="S267" s="26" t="str">
        <f t="shared" si="42"/>
        <v xml:space="preserve"> </v>
      </c>
      <c r="T267" s="7" t="str">
        <f t="shared" si="43"/>
        <v xml:space="preserve"> </v>
      </c>
      <c r="U267" s="8" t="str">
        <f t="shared" si="44"/>
        <v xml:space="preserve"> </v>
      </c>
      <c r="V267" s="9" t="str">
        <f t="shared" si="45"/>
        <v xml:space="preserve"> </v>
      </c>
      <c r="W267" s="9" t="str">
        <f t="shared" si="46"/>
        <v/>
      </c>
      <c r="X267" s="32"/>
      <c r="Y267" s="36"/>
    </row>
    <row r="268" spans="1:25" s="4" customFormat="1" ht="18" customHeight="1">
      <c r="A268" s="36"/>
      <c r="B268" s="69">
        <v>117.99000000000045</v>
      </c>
      <c r="C268" s="69" t="s">
        <v>560</v>
      </c>
      <c r="D268" s="31" t="s">
        <v>708</v>
      </c>
      <c r="E268" s="29" t="s">
        <v>34</v>
      </c>
      <c r="F268" s="28">
        <v>0.7</v>
      </c>
      <c r="G268" s="29">
        <v>0.04</v>
      </c>
      <c r="H268" s="29">
        <v>-0.04</v>
      </c>
      <c r="I268" s="30" t="s">
        <v>39</v>
      </c>
      <c r="J268" s="12">
        <f t="shared" si="48"/>
        <v>0.74</v>
      </c>
      <c r="K268" s="12">
        <f t="shared" si="49"/>
        <v>0.65999999999999992</v>
      </c>
      <c r="L268" s="78"/>
      <c r="M268" s="78"/>
      <c r="N268" s="78"/>
      <c r="O268" s="36"/>
      <c r="P268" s="24" t="str">
        <f t="shared" si="47"/>
        <v xml:space="preserve"> </v>
      </c>
      <c r="Q268" s="25" t="str">
        <f t="shared" si="47"/>
        <v xml:space="preserve"> </v>
      </c>
      <c r="R268" s="25" t="str">
        <f t="shared" si="47"/>
        <v xml:space="preserve"> </v>
      </c>
      <c r="S268" s="26" t="str">
        <f t="shared" si="42"/>
        <v xml:space="preserve"> </v>
      </c>
      <c r="T268" s="7" t="str">
        <f t="shared" si="43"/>
        <v xml:space="preserve"> </v>
      </c>
      <c r="U268" s="8" t="str">
        <f t="shared" si="44"/>
        <v xml:space="preserve"> </v>
      </c>
      <c r="V268" s="9" t="str">
        <f t="shared" si="45"/>
        <v xml:space="preserve"> </v>
      </c>
      <c r="W268" s="9" t="str">
        <f t="shared" si="46"/>
        <v/>
      </c>
      <c r="X268" s="32"/>
      <c r="Y268" s="36"/>
    </row>
    <row r="269" spans="1:25" s="4" customFormat="1" ht="18" customHeight="1">
      <c r="A269" s="36"/>
      <c r="B269" s="69" t="s">
        <v>884</v>
      </c>
      <c r="C269" s="69" t="s">
        <v>561</v>
      </c>
      <c r="D269" s="31" t="s">
        <v>708</v>
      </c>
      <c r="E269" s="29" t="s">
        <v>34</v>
      </c>
      <c r="F269" s="28">
        <v>0.7</v>
      </c>
      <c r="G269" s="29">
        <v>0.04</v>
      </c>
      <c r="H269" s="29">
        <v>-0.04</v>
      </c>
      <c r="I269" s="30" t="s">
        <v>39</v>
      </c>
      <c r="J269" s="12">
        <f t="shared" si="48"/>
        <v>0.74</v>
      </c>
      <c r="K269" s="12">
        <f t="shared" si="49"/>
        <v>0.65999999999999992</v>
      </c>
      <c r="L269" s="78"/>
      <c r="M269" s="78"/>
      <c r="N269" s="78"/>
      <c r="O269" s="36"/>
      <c r="P269" s="24" t="str">
        <f t="shared" si="47"/>
        <v xml:space="preserve"> </v>
      </c>
      <c r="Q269" s="25" t="str">
        <f t="shared" si="47"/>
        <v xml:space="preserve"> </v>
      </c>
      <c r="R269" s="25" t="str">
        <f t="shared" si="47"/>
        <v xml:space="preserve"> </v>
      </c>
      <c r="S269" s="26" t="str">
        <f t="shared" si="42"/>
        <v xml:space="preserve"> </v>
      </c>
      <c r="T269" s="7" t="str">
        <f t="shared" si="43"/>
        <v xml:space="preserve"> </v>
      </c>
      <c r="U269" s="8" t="str">
        <f t="shared" si="44"/>
        <v xml:space="preserve"> </v>
      </c>
      <c r="V269" s="9" t="str">
        <f t="shared" si="45"/>
        <v xml:space="preserve"> </v>
      </c>
      <c r="W269" s="9" t="str">
        <f t="shared" si="46"/>
        <v/>
      </c>
      <c r="X269" s="32"/>
      <c r="Y269" s="36"/>
    </row>
    <row r="270" spans="1:25" s="4" customFormat="1" ht="18" customHeight="1">
      <c r="A270" s="36"/>
      <c r="B270" s="69">
        <v>117.101</v>
      </c>
      <c r="C270" s="69" t="s">
        <v>562</v>
      </c>
      <c r="D270" s="31" t="s">
        <v>708</v>
      </c>
      <c r="E270" s="29" t="s">
        <v>34</v>
      </c>
      <c r="F270" s="28">
        <v>0.7</v>
      </c>
      <c r="G270" s="29">
        <v>0.04</v>
      </c>
      <c r="H270" s="29">
        <v>-0.04</v>
      </c>
      <c r="I270" s="30" t="s">
        <v>39</v>
      </c>
      <c r="J270" s="12">
        <f t="shared" si="48"/>
        <v>0.74</v>
      </c>
      <c r="K270" s="12">
        <f t="shared" si="49"/>
        <v>0.65999999999999992</v>
      </c>
      <c r="L270" s="78"/>
      <c r="M270" s="78"/>
      <c r="N270" s="78"/>
      <c r="O270" s="36"/>
      <c r="P270" s="24" t="str">
        <f t="shared" si="47"/>
        <v xml:space="preserve"> </v>
      </c>
      <c r="Q270" s="25" t="str">
        <f t="shared" si="47"/>
        <v xml:space="preserve"> </v>
      </c>
      <c r="R270" s="25" t="str">
        <f t="shared" si="47"/>
        <v xml:space="preserve"> </v>
      </c>
      <c r="S270" s="26" t="str">
        <f t="shared" si="42"/>
        <v xml:space="preserve"> </v>
      </c>
      <c r="T270" s="7" t="str">
        <f t="shared" si="43"/>
        <v xml:space="preserve"> </v>
      </c>
      <c r="U270" s="8" t="str">
        <f t="shared" si="44"/>
        <v xml:space="preserve"> </v>
      </c>
      <c r="V270" s="9" t="str">
        <f t="shared" si="45"/>
        <v xml:space="preserve"> </v>
      </c>
      <c r="W270" s="9" t="str">
        <f t="shared" si="46"/>
        <v/>
      </c>
      <c r="X270" s="32"/>
      <c r="Y270" s="36"/>
    </row>
    <row r="271" spans="1:25" s="4" customFormat="1" ht="18" customHeight="1">
      <c r="A271" s="36"/>
      <c r="B271" s="69">
        <v>117.102</v>
      </c>
      <c r="C271" s="69" t="s">
        <v>563</v>
      </c>
      <c r="D271" s="31" t="s">
        <v>708</v>
      </c>
      <c r="E271" s="29" t="s">
        <v>34</v>
      </c>
      <c r="F271" s="28">
        <v>0.7</v>
      </c>
      <c r="G271" s="29">
        <v>0.04</v>
      </c>
      <c r="H271" s="29">
        <v>-0.04</v>
      </c>
      <c r="I271" s="30" t="s">
        <v>39</v>
      </c>
      <c r="J271" s="12">
        <f t="shared" si="48"/>
        <v>0.74</v>
      </c>
      <c r="K271" s="12">
        <f t="shared" si="49"/>
        <v>0.65999999999999992</v>
      </c>
      <c r="L271" s="78"/>
      <c r="M271" s="78"/>
      <c r="N271" s="78"/>
      <c r="O271" s="36"/>
      <c r="P271" s="24" t="str">
        <f t="shared" si="47"/>
        <v xml:space="preserve"> </v>
      </c>
      <c r="Q271" s="25" t="str">
        <f t="shared" si="47"/>
        <v xml:space="preserve"> </v>
      </c>
      <c r="R271" s="25" t="str">
        <f t="shared" si="47"/>
        <v xml:space="preserve"> </v>
      </c>
      <c r="S271" s="26" t="str">
        <f t="shared" si="42"/>
        <v xml:space="preserve"> </v>
      </c>
      <c r="T271" s="7" t="str">
        <f t="shared" si="43"/>
        <v xml:space="preserve"> </v>
      </c>
      <c r="U271" s="8" t="str">
        <f t="shared" si="44"/>
        <v xml:space="preserve"> </v>
      </c>
      <c r="V271" s="9" t="str">
        <f t="shared" si="45"/>
        <v xml:space="preserve"> </v>
      </c>
      <c r="W271" s="9" t="str">
        <f t="shared" si="46"/>
        <v/>
      </c>
      <c r="X271" s="32"/>
      <c r="Y271" s="36"/>
    </row>
    <row r="272" spans="1:25" s="4" customFormat="1" ht="18" customHeight="1">
      <c r="A272" s="36"/>
      <c r="B272" s="69">
        <v>117.10299999999999</v>
      </c>
      <c r="C272" s="69" t="s">
        <v>564</v>
      </c>
      <c r="D272" s="31" t="s">
        <v>708</v>
      </c>
      <c r="E272" s="29" t="s">
        <v>34</v>
      </c>
      <c r="F272" s="28">
        <v>0.7</v>
      </c>
      <c r="G272" s="29">
        <v>0.04</v>
      </c>
      <c r="H272" s="29">
        <v>-0.04</v>
      </c>
      <c r="I272" s="30" t="s">
        <v>39</v>
      </c>
      <c r="J272" s="12">
        <f t="shared" si="48"/>
        <v>0.74</v>
      </c>
      <c r="K272" s="12">
        <f t="shared" si="49"/>
        <v>0.65999999999999992</v>
      </c>
      <c r="L272" s="78"/>
      <c r="M272" s="78"/>
      <c r="N272" s="78"/>
      <c r="O272" s="36"/>
      <c r="P272" s="24" t="str">
        <f t="shared" si="47"/>
        <v xml:space="preserve"> </v>
      </c>
      <c r="Q272" s="25" t="str">
        <f t="shared" si="47"/>
        <v xml:space="preserve"> </v>
      </c>
      <c r="R272" s="25" t="str">
        <f t="shared" si="47"/>
        <v xml:space="preserve"> </v>
      </c>
      <c r="S272" s="26" t="str">
        <f t="shared" si="42"/>
        <v xml:space="preserve"> </v>
      </c>
      <c r="T272" s="7" t="str">
        <f t="shared" si="43"/>
        <v xml:space="preserve"> </v>
      </c>
      <c r="U272" s="8" t="str">
        <f t="shared" si="44"/>
        <v xml:space="preserve"> </v>
      </c>
      <c r="V272" s="9" t="str">
        <f t="shared" si="45"/>
        <v xml:space="preserve"> </v>
      </c>
      <c r="W272" s="9" t="str">
        <f t="shared" si="46"/>
        <v/>
      </c>
      <c r="X272" s="32"/>
      <c r="Y272" s="36"/>
    </row>
    <row r="273" spans="1:25" s="4" customFormat="1" ht="18" customHeight="1">
      <c r="A273" s="36"/>
      <c r="B273" s="69">
        <v>117.104</v>
      </c>
      <c r="C273" s="69" t="s">
        <v>565</v>
      </c>
      <c r="D273" s="31" t="s">
        <v>708</v>
      </c>
      <c r="E273" s="29" t="s">
        <v>34</v>
      </c>
      <c r="F273" s="28">
        <v>0.7</v>
      </c>
      <c r="G273" s="29">
        <v>0.04</v>
      </c>
      <c r="H273" s="29">
        <v>-0.04</v>
      </c>
      <c r="I273" s="30" t="s">
        <v>39</v>
      </c>
      <c r="J273" s="12">
        <f t="shared" si="48"/>
        <v>0.74</v>
      </c>
      <c r="K273" s="12">
        <f t="shared" si="49"/>
        <v>0.65999999999999992</v>
      </c>
      <c r="L273" s="78"/>
      <c r="M273" s="78"/>
      <c r="N273" s="78"/>
      <c r="O273" s="36"/>
      <c r="P273" s="24" t="str">
        <f t="shared" si="47"/>
        <v xml:space="preserve"> </v>
      </c>
      <c r="Q273" s="25" t="str">
        <f t="shared" si="47"/>
        <v xml:space="preserve"> </v>
      </c>
      <c r="R273" s="25" t="str">
        <f t="shared" si="47"/>
        <v xml:space="preserve"> </v>
      </c>
      <c r="S273" s="26" t="str">
        <f t="shared" si="42"/>
        <v xml:space="preserve"> </v>
      </c>
      <c r="T273" s="7" t="str">
        <f t="shared" si="43"/>
        <v xml:space="preserve"> </v>
      </c>
      <c r="U273" s="8" t="str">
        <f t="shared" si="44"/>
        <v xml:space="preserve"> </v>
      </c>
      <c r="V273" s="9" t="str">
        <f t="shared" si="45"/>
        <v xml:space="preserve"> </v>
      </c>
      <c r="W273" s="9" t="str">
        <f t="shared" si="46"/>
        <v/>
      </c>
      <c r="X273" s="32"/>
      <c r="Y273" s="36"/>
    </row>
    <row r="274" spans="1:25" s="4" customFormat="1" ht="18" customHeight="1">
      <c r="A274" s="36"/>
      <c r="B274" s="69">
        <v>117.105</v>
      </c>
      <c r="C274" s="69" t="s">
        <v>566</v>
      </c>
      <c r="D274" s="31" t="s">
        <v>708</v>
      </c>
      <c r="E274" s="29" t="s">
        <v>34</v>
      </c>
      <c r="F274" s="28">
        <v>0.7</v>
      </c>
      <c r="G274" s="29">
        <v>0.04</v>
      </c>
      <c r="H274" s="29">
        <v>-0.04</v>
      </c>
      <c r="I274" s="30" t="s">
        <v>39</v>
      </c>
      <c r="J274" s="12">
        <f t="shared" si="48"/>
        <v>0.74</v>
      </c>
      <c r="K274" s="12">
        <f t="shared" si="49"/>
        <v>0.65999999999999992</v>
      </c>
      <c r="L274" s="78"/>
      <c r="M274" s="78"/>
      <c r="N274" s="78"/>
      <c r="O274" s="36"/>
      <c r="P274" s="24" t="str">
        <f t="shared" si="47"/>
        <v xml:space="preserve"> </v>
      </c>
      <c r="Q274" s="25" t="str">
        <f t="shared" si="47"/>
        <v xml:space="preserve"> </v>
      </c>
      <c r="R274" s="25" t="str">
        <f t="shared" si="47"/>
        <v xml:space="preserve"> </v>
      </c>
      <c r="S274" s="26" t="str">
        <f t="shared" si="42"/>
        <v xml:space="preserve"> </v>
      </c>
      <c r="T274" s="7" t="str">
        <f t="shared" si="43"/>
        <v xml:space="preserve"> </v>
      </c>
      <c r="U274" s="8" t="str">
        <f t="shared" si="44"/>
        <v xml:space="preserve"> </v>
      </c>
      <c r="V274" s="9" t="str">
        <f t="shared" si="45"/>
        <v xml:space="preserve"> </v>
      </c>
      <c r="W274" s="9" t="str">
        <f t="shared" si="46"/>
        <v/>
      </c>
      <c r="X274" s="32"/>
      <c r="Y274" s="36"/>
    </row>
    <row r="275" spans="1:25" s="4" customFormat="1" ht="18" customHeight="1">
      <c r="A275" s="36"/>
      <c r="B275" s="69">
        <v>117.10600000000001</v>
      </c>
      <c r="C275" s="69" t="s">
        <v>567</v>
      </c>
      <c r="D275" s="31" t="s">
        <v>708</v>
      </c>
      <c r="E275" s="29" t="s">
        <v>34</v>
      </c>
      <c r="F275" s="28">
        <v>0.7</v>
      </c>
      <c r="G275" s="29">
        <v>0.04</v>
      </c>
      <c r="H275" s="29">
        <v>-0.04</v>
      </c>
      <c r="I275" s="30" t="s">
        <v>39</v>
      </c>
      <c r="J275" s="12">
        <f t="shared" ref="J275:J338" si="50">IF(AND(F275="",G275=""),"",IF(F275="",G275,F275+G275))</f>
        <v>0.74</v>
      </c>
      <c r="K275" s="12">
        <f t="shared" ref="K275:K338" si="51">IF(AND(F275="",H275=""),"",IF(F275="",H275,F275+H275))</f>
        <v>0.65999999999999992</v>
      </c>
      <c r="L275" s="78"/>
      <c r="M275" s="78"/>
      <c r="N275" s="78"/>
      <c r="O275" s="36"/>
      <c r="P275" s="24" t="str">
        <f t="shared" si="47"/>
        <v xml:space="preserve"> </v>
      </c>
      <c r="Q275" s="25" t="str">
        <f t="shared" si="47"/>
        <v xml:space="preserve"> </v>
      </c>
      <c r="R275" s="25" t="str">
        <f t="shared" si="47"/>
        <v xml:space="preserve"> </v>
      </c>
      <c r="S275" s="26" t="str">
        <f t="shared" si="42"/>
        <v xml:space="preserve"> </v>
      </c>
      <c r="T275" s="7" t="str">
        <f t="shared" si="43"/>
        <v xml:space="preserve"> </v>
      </c>
      <c r="U275" s="8" t="str">
        <f t="shared" si="44"/>
        <v xml:space="preserve"> </v>
      </c>
      <c r="V275" s="9" t="str">
        <f t="shared" si="45"/>
        <v xml:space="preserve"> </v>
      </c>
      <c r="W275" s="9" t="str">
        <f t="shared" si="46"/>
        <v/>
      </c>
      <c r="X275" s="32"/>
      <c r="Y275" s="36"/>
    </row>
    <row r="276" spans="1:25" s="4" customFormat="1" ht="18" customHeight="1">
      <c r="A276" s="36"/>
      <c r="B276" s="69">
        <v>117.10700000000001</v>
      </c>
      <c r="C276" s="69" t="s">
        <v>568</v>
      </c>
      <c r="D276" s="31" t="s">
        <v>708</v>
      </c>
      <c r="E276" s="29" t="s">
        <v>34</v>
      </c>
      <c r="F276" s="28">
        <v>0.7</v>
      </c>
      <c r="G276" s="29">
        <v>0.04</v>
      </c>
      <c r="H276" s="29">
        <v>-0.04</v>
      </c>
      <c r="I276" s="30" t="s">
        <v>39</v>
      </c>
      <c r="J276" s="12">
        <f t="shared" si="50"/>
        <v>0.74</v>
      </c>
      <c r="K276" s="12">
        <f t="shared" si="51"/>
        <v>0.65999999999999992</v>
      </c>
      <c r="L276" s="78"/>
      <c r="M276" s="78"/>
      <c r="N276" s="78"/>
      <c r="O276" s="36"/>
      <c r="P276" s="24" t="str">
        <f t="shared" si="47"/>
        <v xml:space="preserve"> </v>
      </c>
      <c r="Q276" s="25" t="str">
        <f t="shared" si="47"/>
        <v xml:space="preserve"> </v>
      </c>
      <c r="R276" s="25" t="str">
        <f t="shared" si="47"/>
        <v xml:space="preserve"> </v>
      </c>
      <c r="S276" s="26" t="str">
        <f t="shared" si="42"/>
        <v xml:space="preserve"> </v>
      </c>
      <c r="T276" s="7" t="str">
        <f t="shared" si="43"/>
        <v xml:space="preserve"> </v>
      </c>
      <c r="U276" s="8" t="str">
        <f t="shared" si="44"/>
        <v xml:space="preserve"> </v>
      </c>
      <c r="V276" s="9" t="str">
        <f t="shared" si="45"/>
        <v xml:space="preserve"> </v>
      </c>
      <c r="W276" s="9" t="str">
        <f t="shared" si="46"/>
        <v/>
      </c>
      <c r="X276" s="32"/>
      <c r="Y276" s="36"/>
    </row>
    <row r="277" spans="1:25" s="4" customFormat="1" ht="18" customHeight="1">
      <c r="A277" s="36"/>
      <c r="B277" s="69">
        <v>117.10800000000002</v>
      </c>
      <c r="C277" s="69" t="s">
        <v>569</v>
      </c>
      <c r="D277" s="31" t="s">
        <v>708</v>
      </c>
      <c r="E277" s="29" t="s">
        <v>34</v>
      </c>
      <c r="F277" s="28">
        <v>0.7</v>
      </c>
      <c r="G277" s="29">
        <v>0.04</v>
      </c>
      <c r="H277" s="29">
        <v>-0.04</v>
      </c>
      <c r="I277" s="30" t="s">
        <v>39</v>
      </c>
      <c r="J277" s="12">
        <f t="shared" si="50"/>
        <v>0.74</v>
      </c>
      <c r="K277" s="12">
        <f t="shared" si="51"/>
        <v>0.65999999999999992</v>
      </c>
      <c r="L277" s="78"/>
      <c r="M277" s="78"/>
      <c r="N277" s="78"/>
      <c r="O277" s="36"/>
      <c r="P277" s="24" t="str">
        <f t="shared" si="47"/>
        <v xml:space="preserve"> </v>
      </c>
      <c r="Q277" s="25" t="str">
        <f t="shared" si="47"/>
        <v xml:space="preserve"> </v>
      </c>
      <c r="R277" s="25" t="str">
        <f t="shared" si="47"/>
        <v xml:space="preserve"> </v>
      </c>
      <c r="S277" s="26" t="str">
        <f t="shared" si="42"/>
        <v xml:space="preserve"> </v>
      </c>
      <c r="T277" s="7" t="str">
        <f t="shared" si="43"/>
        <v xml:space="preserve"> </v>
      </c>
      <c r="U277" s="8" t="str">
        <f t="shared" si="44"/>
        <v xml:space="preserve"> </v>
      </c>
      <c r="V277" s="9" t="str">
        <f t="shared" si="45"/>
        <v xml:space="preserve"> </v>
      </c>
      <c r="W277" s="9" t="str">
        <f t="shared" si="46"/>
        <v/>
      </c>
      <c r="X277" s="32"/>
      <c r="Y277" s="36"/>
    </row>
    <row r="278" spans="1:25" s="4" customFormat="1" ht="18" customHeight="1">
      <c r="A278" s="36"/>
      <c r="B278" s="69">
        <v>117.10900000000002</v>
      </c>
      <c r="C278" s="69" t="s">
        <v>570</v>
      </c>
      <c r="D278" s="31" t="s">
        <v>708</v>
      </c>
      <c r="E278" s="29" t="s">
        <v>34</v>
      </c>
      <c r="F278" s="28">
        <v>0.7</v>
      </c>
      <c r="G278" s="29">
        <v>0.04</v>
      </c>
      <c r="H278" s="29">
        <v>-0.04</v>
      </c>
      <c r="I278" s="30" t="s">
        <v>39</v>
      </c>
      <c r="J278" s="12">
        <f t="shared" si="50"/>
        <v>0.74</v>
      </c>
      <c r="K278" s="12">
        <f t="shared" si="51"/>
        <v>0.65999999999999992</v>
      </c>
      <c r="L278" s="78"/>
      <c r="M278" s="78"/>
      <c r="N278" s="78"/>
      <c r="O278" s="36"/>
      <c r="P278" s="24" t="str">
        <f t="shared" si="47"/>
        <v xml:space="preserve"> </v>
      </c>
      <c r="Q278" s="25" t="str">
        <f t="shared" si="47"/>
        <v xml:space="preserve"> </v>
      </c>
      <c r="R278" s="25" t="str">
        <f t="shared" si="47"/>
        <v xml:space="preserve"> </v>
      </c>
      <c r="S278" s="26" t="str">
        <f t="shared" si="42"/>
        <v xml:space="preserve"> </v>
      </c>
      <c r="T278" s="7" t="str">
        <f t="shared" si="43"/>
        <v xml:space="preserve"> </v>
      </c>
      <c r="U278" s="8" t="str">
        <f t="shared" si="44"/>
        <v xml:space="preserve"> </v>
      </c>
      <c r="V278" s="9" t="str">
        <f t="shared" si="45"/>
        <v xml:space="preserve"> </v>
      </c>
      <c r="W278" s="9" t="str">
        <f t="shared" si="46"/>
        <v/>
      </c>
      <c r="X278" s="32"/>
      <c r="Y278" s="36"/>
    </row>
    <row r="279" spans="1:25" s="4" customFormat="1" ht="18" customHeight="1">
      <c r="A279" s="36"/>
      <c r="B279" s="69" t="s">
        <v>886</v>
      </c>
      <c r="C279" s="69" t="s">
        <v>571</v>
      </c>
      <c r="D279" s="31" t="s">
        <v>708</v>
      </c>
      <c r="E279" s="29" t="s">
        <v>34</v>
      </c>
      <c r="F279" s="28">
        <v>0.7</v>
      </c>
      <c r="G279" s="29">
        <v>0.04</v>
      </c>
      <c r="H279" s="29">
        <v>-0.04</v>
      </c>
      <c r="I279" s="30" t="s">
        <v>39</v>
      </c>
      <c r="J279" s="12">
        <f t="shared" si="50"/>
        <v>0.74</v>
      </c>
      <c r="K279" s="12">
        <f t="shared" si="51"/>
        <v>0.65999999999999992</v>
      </c>
      <c r="L279" s="78"/>
      <c r="M279" s="78"/>
      <c r="N279" s="78"/>
      <c r="O279" s="36"/>
      <c r="P279" s="24" t="str">
        <f t="shared" si="47"/>
        <v xml:space="preserve"> </v>
      </c>
      <c r="Q279" s="25" t="str">
        <f t="shared" si="47"/>
        <v xml:space="preserve"> </v>
      </c>
      <c r="R279" s="25" t="str">
        <f t="shared" si="47"/>
        <v xml:space="preserve"> </v>
      </c>
      <c r="S279" s="26" t="str">
        <f t="shared" si="42"/>
        <v xml:space="preserve"> </v>
      </c>
      <c r="T279" s="7" t="str">
        <f t="shared" si="43"/>
        <v xml:space="preserve"> </v>
      </c>
      <c r="U279" s="8" t="str">
        <f t="shared" si="44"/>
        <v xml:space="preserve"> </v>
      </c>
      <c r="V279" s="9" t="str">
        <f t="shared" si="45"/>
        <v xml:space="preserve"> </v>
      </c>
      <c r="W279" s="9" t="str">
        <f t="shared" si="46"/>
        <v/>
      </c>
      <c r="X279" s="32"/>
      <c r="Y279" s="36"/>
    </row>
    <row r="280" spans="1:25" s="4" customFormat="1" ht="18" customHeight="1">
      <c r="A280" s="36"/>
      <c r="B280" s="69">
        <v>118.01</v>
      </c>
      <c r="C280" s="69" t="s">
        <v>572</v>
      </c>
      <c r="D280" s="31" t="s">
        <v>708</v>
      </c>
      <c r="E280" s="29" t="s">
        <v>34</v>
      </c>
      <c r="F280" s="28">
        <v>0.85</v>
      </c>
      <c r="G280" s="29">
        <v>0.04</v>
      </c>
      <c r="H280" s="29">
        <v>-0.04</v>
      </c>
      <c r="I280" s="30" t="s">
        <v>39</v>
      </c>
      <c r="J280" s="12">
        <f t="shared" si="50"/>
        <v>0.89</v>
      </c>
      <c r="K280" s="12">
        <f t="shared" si="51"/>
        <v>0.80999999999999994</v>
      </c>
      <c r="L280" s="78"/>
      <c r="M280" s="78"/>
      <c r="N280" s="78"/>
      <c r="O280" s="36"/>
      <c r="P280" s="24" t="str">
        <f t="shared" si="47"/>
        <v xml:space="preserve"> </v>
      </c>
      <c r="Q280" s="25" t="str">
        <f t="shared" si="47"/>
        <v xml:space="preserve"> </v>
      </c>
      <c r="R280" s="25" t="str">
        <f t="shared" si="47"/>
        <v xml:space="preserve"> </v>
      </c>
      <c r="S280" s="26" t="str">
        <f t="shared" si="42"/>
        <v xml:space="preserve"> </v>
      </c>
      <c r="T280" s="7" t="str">
        <f t="shared" si="43"/>
        <v xml:space="preserve"> </v>
      </c>
      <c r="U280" s="8" t="str">
        <f t="shared" si="44"/>
        <v xml:space="preserve"> </v>
      </c>
      <c r="V280" s="9" t="str">
        <f t="shared" si="45"/>
        <v xml:space="preserve"> </v>
      </c>
      <c r="W280" s="9" t="str">
        <f t="shared" si="46"/>
        <v/>
      </c>
      <c r="X280" s="32"/>
      <c r="Y280" s="36"/>
    </row>
    <row r="281" spans="1:25" s="4" customFormat="1" ht="18" customHeight="1">
      <c r="A281" s="36"/>
      <c r="B281" s="69">
        <v>118.02</v>
      </c>
      <c r="C281" s="69" t="s">
        <v>573</v>
      </c>
      <c r="D281" s="31" t="s">
        <v>708</v>
      </c>
      <c r="E281" s="29" t="s">
        <v>34</v>
      </c>
      <c r="F281" s="28">
        <v>0.85</v>
      </c>
      <c r="G281" s="29">
        <v>0.04</v>
      </c>
      <c r="H281" s="29">
        <v>-0.04</v>
      </c>
      <c r="I281" s="30" t="s">
        <v>39</v>
      </c>
      <c r="J281" s="12">
        <f t="shared" si="50"/>
        <v>0.89</v>
      </c>
      <c r="K281" s="12">
        <f t="shared" si="51"/>
        <v>0.80999999999999994</v>
      </c>
      <c r="L281" s="78"/>
      <c r="M281" s="78"/>
      <c r="N281" s="78"/>
      <c r="O281" s="36"/>
      <c r="P281" s="24" t="str">
        <f t="shared" si="47"/>
        <v xml:space="preserve"> </v>
      </c>
      <c r="Q281" s="25" t="str">
        <f t="shared" si="47"/>
        <v xml:space="preserve"> </v>
      </c>
      <c r="R281" s="25" t="str">
        <f t="shared" si="47"/>
        <v xml:space="preserve"> </v>
      </c>
      <c r="S281" s="26" t="str">
        <f t="shared" si="42"/>
        <v xml:space="preserve"> </v>
      </c>
      <c r="T281" s="7" t="str">
        <f t="shared" si="43"/>
        <v xml:space="preserve"> </v>
      </c>
      <c r="U281" s="8" t="str">
        <f t="shared" si="44"/>
        <v xml:space="preserve"> </v>
      </c>
      <c r="V281" s="9" t="str">
        <f t="shared" si="45"/>
        <v xml:space="preserve"> </v>
      </c>
      <c r="W281" s="9" t="str">
        <f t="shared" si="46"/>
        <v/>
      </c>
      <c r="X281" s="32"/>
      <c r="Y281" s="36"/>
    </row>
    <row r="282" spans="1:25" s="4" customFormat="1" ht="18" customHeight="1">
      <c r="A282" s="36"/>
      <c r="B282" s="69">
        <v>118.03</v>
      </c>
      <c r="C282" s="69" t="s">
        <v>574</v>
      </c>
      <c r="D282" s="31" t="s">
        <v>708</v>
      </c>
      <c r="E282" s="29" t="s">
        <v>34</v>
      </c>
      <c r="F282" s="28">
        <v>0.85</v>
      </c>
      <c r="G282" s="29">
        <v>0.04</v>
      </c>
      <c r="H282" s="29">
        <v>-0.04</v>
      </c>
      <c r="I282" s="30" t="s">
        <v>39</v>
      </c>
      <c r="J282" s="12">
        <f t="shared" si="50"/>
        <v>0.89</v>
      </c>
      <c r="K282" s="12">
        <f t="shared" si="51"/>
        <v>0.80999999999999994</v>
      </c>
      <c r="L282" s="78"/>
      <c r="M282" s="78"/>
      <c r="N282" s="78"/>
      <c r="O282" s="36"/>
      <c r="P282" s="24" t="str">
        <f t="shared" ref="P282:R366" si="52">IF(ISERR(L282/L282)=TRUE," ",L282-$F282)</f>
        <v xml:space="preserve"> </v>
      </c>
      <c r="Q282" s="25" t="str">
        <f t="shared" si="52"/>
        <v xml:space="preserve"> </v>
      </c>
      <c r="R282" s="25" t="str">
        <f t="shared" si="52"/>
        <v xml:space="preserve"> </v>
      </c>
      <c r="S282" s="26" t="str">
        <f t="shared" si="42"/>
        <v xml:space="preserve"> </v>
      </c>
      <c r="T282" s="7" t="str">
        <f t="shared" si="43"/>
        <v xml:space="preserve"> </v>
      </c>
      <c r="U282" s="8" t="str">
        <f t="shared" si="44"/>
        <v xml:space="preserve"> </v>
      </c>
      <c r="V282" s="9" t="str">
        <f t="shared" si="45"/>
        <v xml:space="preserve"> </v>
      </c>
      <c r="W282" s="9" t="str">
        <f t="shared" si="46"/>
        <v/>
      </c>
      <c r="X282" s="32"/>
      <c r="Y282" s="36"/>
    </row>
    <row r="283" spans="1:25" s="4" customFormat="1" ht="18" customHeight="1">
      <c r="A283" s="36"/>
      <c r="B283" s="69">
        <v>118.04</v>
      </c>
      <c r="C283" s="69" t="s">
        <v>575</v>
      </c>
      <c r="D283" s="31" t="s">
        <v>708</v>
      </c>
      <c r="E283" s="29" t="s">
        <v>34</v>
      </c>
      <c r="F283" s="28">
        <v>0.85</v>
      </c>
      <c r="G283" s="29">
        <v>0.04</v>
      </c>
      <c r="H283" s="29">
        <v>-0.04</v>
      </c>
      <c r="I283" s="30" t="s">
        <v>39</v>
      </c>
      <c r="J283" s="12">
        <f t="shared" si="50"/>
        <v>0.89</v>
      </c>
      <c r="K283" s="12">
        <f t="shared" si="51"/>
        <v>0.80999999999999994</v>
      </c>
      <c r="L283" s="78"/>
      <c r="M283" s="78"/>
      <c r="N283" s="78"/>
      <c r="O283" s="36"/>
      <c r="P283" s="24" t="str">
        <f t="shared" si="52"/>
        <v xml:space="preserve"> </v>
      </c>
      <c r="Q283" s="25" t="str">
        <f t="shared" si="52"/>
        <v xml:space="preserve"> </v>
      </c>
      <c r="R283" s="25" t="str">
        <f t="shared" si="52"/>
        <v xml:space="preserve"> </v>
      </c>
      <c r="S283" s="26" t="str">
        <f t="shared" si="42"/>
        <v xml:space="preserve"> </v>
      </c>
      <c r="T283" s="7" t="str">
        <f t="shared" si="43"/>
        <v xml:space="preserve"> </v>
      </c>
      <c r="U283" s="8" t="str">
        <f t="shared" si="44"/>
        <v xml:space="preserve"> </v>
      </c>
      <c r="V283" s="9" t="str">
        <f t="shared" si="45"/>
        <v xml:space="preserve"> </v>
      </c>
      <c r="W283" s="9" t="str">
        <f t="shared" si="46"/>
        <v/>
      </c>
      <c r="X283" s="32"/>
      <c r="Y283" s="36"/>
    </row>
    <row r="284" spans="1:25" s="4" customFormat="1" ht="18" customHeight="1">
      <c r="A284" s="36"/>
      <c r="B284" s="69">
        <v>118.05</v>
      </c>
      <c r="C284" s="69" t="s">
        <v>576</v>
      </c>
      <c r="D284" s="31" t="s">
        <v>708</v>
      </c>
      <c r="E284" s="29" t="s">
        <v>34</v>
      </c>
      <c r="F284" s="28">
        <v>0.85</v>
      </c>
      <c r="G284" s="29">
        <v>0.04</v>
      </c>
      <c r="H284" s="29">
        <v>-0.04</v>
      </c>
      <c r="I284" s="30" t="s">
        <v>39</v>
      </c>
      <c r="J284" s="12">
        <f t="shared" si="50"/>
        <v>0.89</v>
      </c>
      <c r="K284" s="12">
        <f t="shared" si="51"/>
        <v>0.80999999999999994</v>
      </c>
      <c r="L284" s="78"/>
      <c r="M284" s="78"/>
      <c r="N284" s="78"/>
      <c r="O284" s="36"/>
      <c r="P284" s="24" t="str">
        <f t="shared" si="52"/>
        <v xml:space="preserve"> </v>
      </c>
      <c r="Q284" s="25" t="str">
        <f t="shared" si="52"/>
        <v xml:space="preserve"> </v>
      </c>
      <c r="R284" s="25" t="str">
        <f t="shared" si="52"/>
        <v xml:space="preserve"> </v>
      </c>
      <c r="S284" s="26" t="str">
        <f t="shared" si="42"/>
        <v xml:space="preserve"> </v>
      </c>
      <c r="T284" s="7" t="str">
        <f t="shared" si="43"/>
        <v xml:space="preserve"> </v>
      </c>
      <c r="U284" s="8" t="str">
        <f t="shared" si="44"/>
        <v xml:space="preserve"> </v>
      </c>
      <c r="V284" s="9" t="str">
        <f t="shared" si="45"/>
        <v xml:space="preserve"> </v>
      </c>
      <c r="W284" s="9" t="str">
        <f t="shared" si="46"/>
        <v/>
      </c>
      <c r="X284" s="32"/>
      <c r="Y284" s="36"/>
    </row>
    <row r="285" spans="1:25" s="4" customFormat="1" ht="18" customHeight="1">
      <c r="A285" s="36"/>
      <c r="B285" s="69">
        <v>118.06</v>
      </c>
      <c r="C285" s="69" t="s">
        <v>577</v>
      </c>
      <c r="D285" s="31" t="s">
        <v>708</v>
      </c>
      <c r="E285" s="29" t="s">
        <v>34</v>
      </c>
      <c r="F285" s="28">
        <v>0.85</v>
      </c>
      <c r="G285" s="29">
        <v>0.04</v>
      </c>
      <c r="H285" s="29">
        <v>-0.04</v>
      </c>
      <c r="I285" s="30" t="s">
        <v>39</v>
      </c>
      <c r="J285" s="12">
        <f t="shared" si="50"/>
        <v>0.89</v>
      </c>
      <c r="K285" s="12">
        <f t="shared" si="51"/>
        <v>0.80999999999999994</v>
      </c>
      <c r="L285" s="78"/>
      <c r="M285" s="78"/>
      <c r="N285" s="78"/>
      <c r="O285" s="36"/>
      <c r="P285" s="24" t="str">
        <f t="shared" si="52"/>
        <v xml:space="preserve"> </v>
      </c>
      <c r="Q285" s="25" t="str">
        <f t="shared" si="52"/>
        <v xml:space="preserve"> </v>
      </c>
      <c r="R285" s="25" t="str">
        <f t="shared" si="52"/>
        <v xml:space="preserve"> </v>
      </c>
      <c r="S285" s="26" t="str">
        <f t="shared" si="42"/>
        <v xml:space="preserve"> </v>
      </c>
      <c r="T285" s="7" t="str">
        <f t="shared" si="43"/>
        <v xml:space="preserve"> </v>
      </c>
      <c r="U285" s="8" t="str">
        <f t="shared" si="44"/>
        <v xml:space="preserve"> </v>
      </c>
      <c r="V285" s="9" t="str">
        <f t="shared" si="45"/>
        <v xml:space="preserve"> </v>
      </c>
      <c r="W285" s="9" t="str">
        <f t="shared" si="46"/>
        <v/>
      </c>
      <c r="X285" s="32"/>
      <c r="Y285" s="36"/>
    </row>
    <row r="286" spans="1:25" s="4" customFormat="1" ht="18" customHeight="1">
      <c r="A286" s="36"/>
      <c r="B286" s="69">
        <v>118.07</v>
      </c>
      <c r="C286" s="69" t="s">
        <v>578</v>
      </c>
      <c r="D286" s="31" t="s">
        <v>708</v>
      </c>
      <c r="E286" s="29" t="s">
        <v>34</v>
      </c>
      <c r="F286" s="28">
        <v>0.85</v>
      </c>
      <c r="G286" s="29">
        <v>0.04</v>
      </c>
      <c r="H286" s="29">
        <v>-0.04</v>
      </c>
      <c r="I286" s="30" t="s">
        <v>39</v>
      </c>
      <c r="J286" s="12">
        <f t="shared" si="50"/>
        <v>0.89</v>
      </c>
      <c r="K286" s="12">
        <f t="shared" si="51"/>
        <v>0.80999999999999994</v>
      </c>
      <c r="L286" s="78"/>
      <c r="M286" s="78"/>
      <c r="N286" s="78"/>
      <c r="O286" s="36"/>
      <c r="P286" s="24" t="str">
        <f t="shared" si="52"/>
        <v xml:space="preserve"> </v>
      </c>
      <c r="Q286" s="25" t="str">
        <f t="shared" si="52"/>
        <v xml:space="preserve"> </v>
      </c>
      <c r="R286" s="25" t="str">
        <f t="shared" si="52"/>
        <v xml:space="preserve"> </v>
      </c>
      <c r="S286" s="26" t="str">
        <f t="shared" si="42"/>
        <v xml:space="preserve"> </v>
      </c>
      <c r="T286" s="7" t="str">
        <f t="shared" si="43"/>
        <v xml:space="preserve"> </v>
      </c>
      <c r="U286" s="8" t="str">
        <f t="shared" si="44"/>
        <v xml:space="preserve"> </v>
      </c>
      <c r="V286" s="9" t="str">
        <f t="shared" si="45"/>
        <v xml:space="preserve"> </v>
      </c>
      <c r="W286" s="9" t="str">
        <f t="shared" si="46"/>
        <v/>
      </c>
      <c r="X286" s="32"/>
      <c r="Y286" s="36"/>
    </row>
    <row r="287" spans="1:25" s="4" customFormat="1" ht="18" customHeight="1">
      <c r="A287" s="36"/>
      <c r="B287" s="69">
        <v>118.08</v>
      </c>
      <c r="C287" s="69" t="s">
        <v>579</v>
      </c>
      <c r="D287" s="31" t="s">
        <v>708</v>
      </c>
      <c r="E287" s="29" t="s">
        <v>34</v>
      </c>
      <c r="F287" s="28">
        <v>0.85</v>
      </c>
      <c r="G287" s="29">
        <v>0.04</v>
      </c>
      <c r="H287" s="29">
        <v>-0.04</v>
      </c>
      <c r="I287" s="30" t="s">
        <v>39</v>
      </c>
      <c r="J287" s="12">
        <f t="shared" si="50"/>
        <v>0.89</v>
      </c>
      <c r="K287" s="12">
        <f t="shared" si="51"/>
        <v>0.80999999999999994</v>
      </c>
      <c r="L287" s="78"/>
      <c r="M287" s="78"/>
      <c r="N287" s="78"/>
      <c r="O287" s="36"/>
      <c r="P287" s="24" t="str">
        <f t="shared" si="52"/>
        <v xml:space="preserve"> </v>
      </c>
      <c r="Q287" s="25" t="str">
        <f t="shared" si="52"/>
        <v xml:space="preserve"> </v>
      </c>
      <c r="R287" s="25" t="str">
        <f t="shared" si="52"/>
        <v xml:space="preserve"> </v>
      </c>
      <c r="S287" s="26" t="str">
        <f t="shared" si="42"/>
        <v xml:space="preserve"> </v>
      </c>
      <c r="T287" s="7" t="str">
        <f t="shared" si="43"/>
        <v xml:space="preserve"> </v>
      </c>
      <c r="U287" s="8" t="str">
        <f t="shared" si="44"/>
        <v xml:space="preserve"> </v>
      </c>
      <c r="V287" s="9" t="str">
        <f t="shared" si="45"/>
        <v xml:space="preserve"> </v>
      </c>
      <c r="W287" s="9" t="str">
        <f t="shared" si="46"/>
        <v/>
      </c>
      <c r="X287" s="32"/>
      <c r="Y287" s="36"/>
    </row>
    <row r="288" spans="1:25" s="4" customFormat="1" ht="18" customHeight="1">
      <c r="A288" s="36"/>
      <c r="B288" s="69">
        <v>118.09</v>
      </c>
      <c r="C288" s="69" t="s">
        <v>580</v>
      </c>
      <c r="D288" s="31" t="s">
        <v>708</v>
      </c>
      <c r="E288" s="29" t="s">
        <v>34</v>
      </c>
      <c r="F288" s="28">
        <v>0.85</v>
      </c>
      <c r="G288" s="29">
        <v>0.04</v>
      </c>
      <c r="H288" s="29">
        <v>-0.04</v>
      </c>
      <c r="I288" s="30" t="s">
        <v>39</v>
      </c>
      <c r="J288" s="12">
        <f t="shared" si="50"/>
        <v>0.89</v>
      </c>
      <c r="K288" s="12">
        <f t="shared" si="51"/>
        <v>0.80999999999999994</v>
      </c>
      <c r="L288" s="78"/>
      <c r="M288" s="78"/>
      <c r="N288" s="78"/>
      <c r="O288" s="36"/>
      <c r="P288" s="24" t="str">
        <f t="shared" si="52"/>
        <v xml:space="preserve"> </v>
      </c>
      <c r="Q288" s="25" t="str">
        <f t="shared" si="52"/>
        <v xml:space="preserve"> </v>
      </c>
      <c r="R288" s="25" t="str">
        <f t="shared" si="52"/>
        <v xml:space="preserve"> </v>
      </c>
      <c r="S288" s="26" t="str">
        <f t="shared" si="42"/>
        <v xml:space="preserve"> </v>
      </c>
      <c r="T288" s="7" t="str">
        <f t="shared" si="43"/>
        <v xml:space="preserve"> </v>
      </c>
      <c r="U288" s="8" t="str">
        <f t="shared" si="44"/>
        <v xml:space="preserve"> </v>
      </c>
      <c r="V288" s="9" t="str">
        <f t="shared" si="45"/>
        <v xml:space="preserve"> </v>
      </c>
      <c r="W288" s="9" t="str">
        <f t="shared" si="46"/>
        <v/>
      </c>
      <c r="X288" s="32"/>
      <c r="Y288" s="36"/>
    </row>
    <row r="289" spans="1:25" s="4" customFormat="1" ht="18" customHeight="1">
      <c r="A289" s="36"/>
      <c r="B289" s="69" t="s">
        <v>887</v>
      </c>
      <c r="C289" s="69" t="s">
        <v>581</v>
      </c>
      <c r="D289" s="31" t="s">
        <v>708</v>
      </c>
      <c r="E289" s="29" t="s">
        <v>34</v>
      </c>
      <c r="F289" s="28">
        <v>0.85</v>
      </c>
      <c r="G289" s="29">
        <v>0.04</v>
      </c>
      <c r="H289" s="29">
        <v>-0.04</v>
      </c>
      <c r="I289" s="30" t="s">
        <v>39</v>
      </c>
      <c r="J289" s="12">
        <f t="shared" si="50"/>
        <v>0.89</v>
      </c>
      <c r="K289" s="12">
        <f t="shared" si="51"/>
        <v>0.80999999999999994</v>
      </c>
      <c r="L289" s="78"/>
      <c r="M289" s="78"/>
      <c r="N289" s="78"/>
      <c r="O289" s="36"/>
      <c r="P289" s="24" t="str">
        <f t="shared" si="52"/>
        <v xml:space="preserve"> </v>
      </c>
      <c r="Q289" s="25" t="str">
        <f t="shared" si="52"/>
        <v xml:space="preserve"> </v>
      </c>
      <c r="R289" s="25" t="str">
        <f t="shared" si="52"/>
        <v xml:space="preserve"> </v>
      </c>
      <c r="S289" s="26" t="str">
        <f t="shared" si="42"/>
        <v xml:space="preserve"> </v>
      </c>
      <c r="T289" s="7" t="str">
        <f t="shared" si="43"/>
        <v xml:space="preserve"> </v>
      </c>
      <c r="U289" s="8" t="str">
        <f t="shared" si="44"/>
        <v xml:space="preserve"> </v>
      </c>
      <c r="V289" s="9" t="str">
        <f t="shared" si="45"/>
        <v xml:space="preserve"> </v>
      </c>
      <c r="W289" s="9" t="str">
        <f t="shared" si="46"/>
        <v/>
      </c>
      <c r="X289" s="32"/>
      <c r="Y289" s="36"/>
    </row>
    <row r="290" spans="1:25" s="4" customFormat="1" ht="18" customHeight="1">
      <c r="A290" s="36"/>
      <c r="B290" s="69">
        <v>118.11</v>
      </c>
      <c r="C290" s="69" t="s">
        <v>582</v>
      </c>
      <c r="D290" s="31" t="s">
        <v>708</v>
      </c>
      <c r="E290" s="29" t="s">
        <v>34</v>
      </c>
      <c r="F290" s="28">
        <v>0.85</v>
      </c>
      <c r="G290" s="29">
        <v>0.04</v>
      </c>
      <c r="H290" s="29">
        <v>-0.04</v>
      </c>
      <c r="I290" s="30" t="s">
        <v>39</v>
      </c>
      <c r="J290" s="12">
        <f t="shared" si="50"/>
        <v>0.89</v>
      </c>
      <c r="K290" s="12">
        <f t="shared" si="51"/>
        <v>0.80999999999999994</v>
      </c>
      <c r="L290" s="78"/>
      <c r="M290" s="78"/>
      <c r="N290" s="78"/>
      <c r="O290" s="36"/>
      <c r="P290" s="24" t="str">
        <f t="shared" si="52"/>
        <v xml:space="preserve"> </v>
      </c>
      <c r="Q290" s="25" t="str">
        <f t="shared" si="52"/>
        <v xml:space="preserve"> </v>
      </c>
      <c r="R290" s="25" t="str">
        <f t="shared" si="52"/>
        <v xml:space="preserve"> </v>
      </c>
      <c r="S290" s="26" t="str">
        <f t="shared" si="42"/>
        <v xml:space="preserve"> </v>
      </c>
      <c r="T290" s="7" t="str">
        <f t="shared" si="43"/>
        <v xml:space="preserve"> </v>
      </c>
      <c r="U290" s="8" t="str">
        <f t="shared" si="44"/>
        <v xml:space="preserve"> </v>
      </c>
      <c r="V290" s="9" t="str">
        <f t="shared" si="45"/>
        <v xml:space="preserve"> </v>
      </c>
      <c r="W290" s="9" t="str">
        <f t="shared" si="46"/>
        <v/>
      </c>
      <c r="X290" s="32"/>
      <c r="Y290" s="36"/>
    </row>
    <row r="291" spans="1:25" s="4" customFormat="1" ht="18" customHeight="1">
      <c r="A291" s="36"/>
      <c r="B291" s="69">
        <v>118.12</v>
      </c>
      <c r="C291" s="69" t="s">
        <v>583</v>
      </c>
      <c r="D291" s="31" t="s">
        <v>708</v>
      </c>
      <c r="E291" s="29" t="s">
        <v>34</v>
      </c>
      <c r="F291" s="28">
        <v>0.85</v>
      </c>
      <c r="G291" s="29">
        <v>0.04</v>
      </c>
      <c r="H291" s="29">
        <v>-0.04</v>
      </c>
      <c r="I291" s="30" t="s">
        <v>39</v>
      </c>
      <c r="J291" s="12">
        <f t="shared" si="50"/>
        <v>0.89</v>
      </c>
      <c r="K291" s="12">
        <f t="shared" si="51"/>
        <v>0.80999999999999994</v>
      </c>
      <c r="L291" s="78"/>
      <c r="M291" s="78"/>
      <c r="N291" s="78"/>
      <c r="O291" s="36"/>
      <c r="P291" s="24" t="str">
        <f t="shared" si="52"/>
        <v xml:space="preserve"> </v>
      </c>
      <c r="Q291" s="25" t="str">
        <f t="shared" si="52"/>
        <v xml:space="preserve"> </v>
      </c>
      <c r="R291" s="25" t="str">
        <f t="shared" si="52"/>
        <v xml:space="preserve"> </v>
      </c>
      <c r="S291" s="26" t="str">
        <f t="shared" si="42"/>
        <v xml:space="preserve"> </v>
      </c>
      <c r="T291" s="7" t="str">
        <f t="shared" si="43"/>
        <v xml:space="preserve"> </v>
      </c>
      <c r="U291" s="8" t="str">
        <f t="shared" si="44"/>
        <v xml:space="preserve"> </v>
      </c>
      <c r="V291" s="9" t="str">
        <f t="shared" si="45"/>
        <v xml:space="preserve"> </v>
      </c>
      <c r="W291" s="9" t="str">
        <f t="shared" si="46"/>
        <v/>
      </c>
      <c r="X291" s="32"/>
      <c r="Y291" s="36"/>
    </row>
    <row r="292" spans="1:25" s="4" customFormat="1" ht="18" customHeight="1">
      <c r="A292" s="36"/>
      <c r="B292" s="69">
        <v>118.13</v>
      </c>
      <c r="C292" s="69" t="s">
        <v>584</v>
      </c>
      <c r="D292" s="31" t="s">
        <v>708</v>
      </c>
      <c r="E292" s="29" t="s">
        <v>34</v>
      </c>
      <c r="F292" s="28">
        <v>0.85</v>
      </c>
      <c r="G292" s="29">
        <v>0.04</v>
      </c>
      <c r="H292" s="29">
        <v>-0.04</v>
      </c>
      <c r="I292" s="30" t="s">
        <v>39</v>
      </c>
      <c r="J292" s="12">
        <f t="shared" si="50"/>
        <v>0.89</v>
      </c>
      <c r="K292" s="12">
        <f t="shared" si="51"/>
        <v>0.80999999999999994</v>
      </c>
      <c r="L292" s="78"/>
      <c r="M292" s="78"/>
      <c r="N292" s="78"/>
      <c r="O292" s="36"/>
      <c r="P292" s="24" t="str">
        <f t="shared" si="52"/>
        <v xml:space="preserve"> </v>
      </c>
      <c r="Q292" s="25" t="str">
        <f t="shared" si="52"/>
        <v xml:space="preserve"> </v>
      </c>
      <c r="R292" s="25" t="str">
        <f t="shared" si="52"/>
        <v xml:space="preserve"> </v>
      </c>
      <c r="S292" s="26" t="str">
        <f t="shared" si="42"/>
        <v xml:space="preserve"> </v>
      </c>
      <c r="T292" s="7" t="str">
        <f t="shared" si="43"/>
        <v xml:space="preserve"> </v>
      </c>
      <c r="U292" s="8" t="str">
        <f t="shared" si="44"/>
        <v xml:space="preserve"> </v>
      </c>
      <c r="V292" s="9" t="str">
        <f t="shared" si="45"/>
        <v xml:space="preserve"> </v>
      </c>
      <c r="W292" s="9" t="str">
        <f t="shared" si="46"/>
        <v/>
      </c>
      <c r="X292" s="32"/>
      <c r="Y292" s="36"/>
    </row>
    <row r="293" spans="1:25" s="4" customFormat="1" ht="18" customHeight="1">
      <c r="A293" s="36"/>
      <c r="B293" s="69">
        <v>118.14</v>
      </c>
      <c r="C293" s="69" t="s">
        <v>585</v>
      </c>
      <c r="D293" s="31" t="s">
        <v>708</v>
      </c>
      <c r="E293" s="29" t="s">
        <v>34</v>
      </c>
      <c r="F293" s="28">
        <v>0.85</v>
      </c>
      <c r="G293" s="29">
        <v>0.04</v>
      </c>
      <c r="H293" s="29">
        <v>-0.04</v>
      </c>
      <c r="I293" s="30" t="s">
        <v>39</v>
      </c>
      <c r="J293" s="12">
        <f t="shared" si="50"/>
        <v>0.89</v>
      </c>
      <c r="K293" s="12">
        <f t="shared" si="51"/>
        <v>0.80999999999999994</v>
      </c>
      <c r="L293" s="78"/>
      <c r="M293" s="78"/>
      <c r="N293" s="78"/>
      <c r="O293" s="36"/>
      <c r="P293" s="24" t="str">
        <f t="shared" si="52"/>
        <v xml:space="preserve"> </v>
      </c>
      <c r="Q293" s="25" t="str">
        <f t="shared" si="52"/>
        <v xml:space="preserve"> </v>
      </c>
      <c r="R293" s="25" t="str">
        <f t="shared" si="52"/>
        <v xml:space="preserve"> </v>
      </c>
      <c r="S293" s="26" t="str">
        <f t="shared" si="42"/>
        <v xml:space="preserve"> </v>
      </c>
      <c r="T293" s="7" t="str">
        <f t="shared" si="43"/>
        <v xml:space="preserve"> </v>
      </c>
      <c r="U293" s="8" t="str">
        <f t="shared" si="44"/>
        <v xml:space="preserve"> </v>
      </c>
      <c r="V293" s="9" t="str">
        <f t="shared" si="45"/>
        <v xml:space="preserve"> </v>
      </c>
      <c r="W293" s="9" t="str">
        <f t="shared" si="46"/>
        <v/>
      </c>
      <c r="X293" s="32"/>
      <c r="Y293" s="36"/>
    </row>
    <row r="294" spans="1:25" s="4" customFormat="1" ht="18" customHeight="1">
      <c r="A294" s="36"/>
      <c r="B294" s="69">
        <v>118.15</v>
      </c>
      <c r="C294" s="69" t="s">
        <v>586</v>
      </c>
      <c r="D294" s="31" t="s">
        <v>708</v>
      </c>
      <c r="E294" s="29" t="s">
        <v>34</v>
      </c>
      <c r="F294" s="28">
        <v>0.85</v>
      </c>
      <c r="G294" s="29">
        <v>0.04</v>
      </c>
      <c r="H294" s="29">
        <v>-0.04</v>
      </c>
      <c r="I294" s="30" t="s">
        <v>39</v>
      </c>
      <c r="J294" s="12">
        <f t="shared" si="50"/>
        <v>0.89</v>
      </c>
      <c r="K294" s="12">
        <f t="shared" si="51"/>
        <v>0.80999999999999994</v>
      </c>
      <c r="L294" s="78"/>
      <c r="M294" s="78"/>
      <c r="N294" s="78"/>
      <c r="O294" s="36"/>
      <c r="P294" s="24" t="str">
        <f t="shared" si="52"/>
        <v xml:space="preserve"> </v>
      </c>
      <c r="Q294" s="25" t="str">
        <f t="shared" si="52"/>
        <v xml:space="preserve"> </v>
      </c>
      <c r="R294" s="25" t="str">
        <f t="shared" si="52"/>
        <v xml:space="preserve"> </v>
      </c>
      <c r="S294" s="26" t="str">
        <f t="shared" si="42"/>
        <v xml:space="preserve"> </v>
      </c>
      <c r="T294" s="7" t="str">
        <f t="shared" si="43"/>
        <v xml:space="preserve"> </v>
      </c>
      <c r="U294" s="8" t="str">
        <f t="shared" si="44"/>
        <v xml:space="preserve"> </v>
      </c>
      <c r="V294" s="9" t="str">
        <f t="shared" si="45"/>
        <v xml:space="preserve"> </v>
      </c>
      <c r="W294" s="9" t="str">
        <f t="shared" si="46"/>
        <v/>
      </c>
      <c r="X294" s="32"/>
      <c r="Y294" s="36"/>
    </row>
    <row r="295" spans="1:25" s="4" customFormat="1" ht="18" customHeight="1">
      <c r="A295" s="36"/>
      <c r="B295" s="69">
        <v>118.16</v>
      </c>
      <c r="C295" s="69" t="s">
        <v>587</v>
      </c>
      <c r="D295" s="31" t="s">
        <v>708</v>
      </c>
      <c r="E295" s="29" t="s">
        <v>34</v>
      </c>
      <c r="F295" s="28">
        <v>0.85</v>
      </c>
      <c r="G295" s="29">
        <v>0.04</v>
      </c>
      <c r="H295" s="29">
        <v>-0.04</v>
      </c>
      <c r="I295" s="30" t="s">
        <v>39</v>
      </c>
      <c r="J295" s="12">
        <f t="shared" si="50"/>
        <v>0.89</v>
      </c>
      <c r="K295" s="12">
        <f t="shared" si="51"/>
        <v>0.80999999999999994</v>
      </c>
      <c r="L295" s="78"/>
      <c r="M295" s="78"/>
      <c r="N295" s="78"/>
      <c r="O295" s="36"/>
      <c r="P295" s="24" t="str">
        <f t="shared" si="52"/>
        <v xml:space="preserve"> </v>
      </c>
      <c r="Q295" s="25" t="str">
        <f t="shared" si="52"/>
        <v xml:space="preserve"> </v>
      </c>
      <c r="R295" s="25" t="str">
        <f t="shared" si="52"/>
        <v xml:space="preserve"> </v>
      </c>
      <c r="S295" s="26" t="str">
        <f t="shared" si="42"/>
        <v xml:space="preserve"> </v>
      </c>
      <c r="T295" s="7" t="str">
        <f t="shared" si="43"/>
        <v xml:space="preserve"> </v>
      </c>
      <c r="U295" s="8" t="str">
        <f t="shared" si="44"/>
        <v xml:space="preserve"> </v>
      </c>
      <c r="V295" s="9" t="str">
        <f t="shared" si="45"/>
        <v xml:space="preserve"> </v>
      </c>
      <c r="W295" s="9" t="str">
        <f t="shared" si="46"/>
        <v/>
      </c>
      <c r="X295" s="32"/>
      <c r="Y295" s="36"/>
    </row>
    <row r="296" spans="1:25" s="4" customFormat="1" ht="18" customHeight="1">
      <c r="A296" s="36"/>
      <c r="B296" s="69">
        <v>118.17</v>
      </c>
      <c r="C296" s="69" t="s">
        <v>588</v>
      </c>
      <c r="D296" s="31" t="s">
        <v>708</v>
      </c>
      <c r="E296" s="29" t="s">
        <v>34</v>
      </c>
      <c r="F296" s="28">
        <v>0.85</v>
      </c>
      <c r="G296" s="29">
        <v>0.04</v>
      </c>
      <c r="H296" s="29">
        <v>-0.04</v>
      </c>
      <c r="I296" s="30" t="s">
        <v>39</v>
      </c>
      <c r="J296" s="12">
        <f t="shared" si="50"/>
        <v>0.89</v>
      </c>
      <c r="K296" s="12">
        <f t="shared" si="51"/>
        <v>0.80999999999999994</v>
      </c>
      <c r="L296" s="78"/>
      <c r="M296" s="78"/>
      <c r="N296" s="78"/>
      <c r="O296" s="36"/>
      <c r="P296" s="24" t="str">
        <f t="shared" si="52"/>
        <v xml:space="preserve"> </v>
      </c>
      <c r="Q296" s="25" t="str">
        <f t="shared" si="52"/>
        <v xml:space="preserve"> </v>
      </c>
      <c r="R296" s="25" t="str">
        <f t="shared" si="52"/>
        <v xml:space="preserve"> </v>
      </c>
      <c r="S296" s="26" t="str">
        <f t="shared" si="42"/>
        <v xml:space="preserve"> </v>
      </c>
      <c r="T296" s="7" t="str">
        <f t="shared" si="43"/>
        <v xml:space="preserve"> </v>
      </c>
      <c r="U296" s="8" t="str">
        <f t="shared" si="44"/>
        <v xml:space="preserve"> </v>
      </c>
      <c r="V296" s="9" t="str">
        <f t="shared" si="45"/>
        <v xml:space="preserve"> </v>
      </c>
      <c r="W296" s="9" t="str">
        <f t="shared" si="46"/>
        <v/>
      </c>
      <c r="X296" s="32"/>
      <c r="Y296" s="36"/>
    </row>
    <row r="297" spans="1:25" s="4" customFormat="1" ht="18" customHeight="1">
      <c r="A297" s="36"/>
      <c r="B297" s="69">
        <v>118.18</v>
      </c>
      <c r="C297" s="69" t="s">
        <v>589</v>
      </c>
      <c r="D297" s="31" t="s">
        <v>708</v>
      </c>
      <c r="E297" s="29" t="s">
        <v>34</v>
      </c>
      <c r="F297" s="28">
        <v>0.85</v>
      </c>
      <c r="G297" s="29">
        <v>0.04</v>
      </c>
      <c r="H297" s="29">
        <v>-0.04</v>
      </c>
      <c r="I297" s="30" t="s">
        <v>39</v>
      </c>
      <c r="J297" s="12">
        <f t="shared" si="50"/>
        <v>0.89</v>
      </c>
      <c r="K297" s="12">
        <f t="shared" si="51"/>
        <v>0.80999999999999994</v>
      </c>
      <c r="L297" s="78"/>
      <c r="M297" s="78"/>
      <c r="N297" s="78"/>
      <c r="O297" s="36"/>
      <c r="P297" s="24" t="str">
        <f t="shared" si="52"/>
        <v xml:space="preserve"> </v>
      </c>
      <c r="Q297" s="25" t="str">
        <f t="shared" si="52"/>
        <v xml:space="preserve"> </v>
      </c>
      <c r="R297" s="25" t="str">
        <f t="shared" si="52"/>
        <v xml:space="preserve"> </v>
      </c>
      <c r="S297" s="26" t="str">
        <f t="shared" si="42"/>
        <v xml:space="preserve"> </v>
      </c>
      <c r="T297" s="7" t="str">
        <f t="shared" si="43"/>
        <v xml:space="preserve"> </v>
      </c>
      <c r="U297" s="8" t="str">
        <f t="shared" si="44"/>
        <v xml:space="preserve"> </v>
      </c>
      <c r="V297" s="9" t="str">
        <f t="shared" si="45"/>
        <v xml:space="preserve"> </v>
      </c>
      <c r="W297" s="9" t="str">
        <f t="shared" si="46"/>
        <v/>
      </c>
      <c r="X297" s="32"/>
      <c r="Y297" s="36"/>
    </row>
    <row r="298" spans="1:25" s="4" customFormat="1" ht="18" customHeight="1">
      <c r="A298" s="36"/>
      <c r="B298" s="69">
        <v>118.19</v>
      </c>
      <c r="C298" s="69" t="s">
        <v>590</v>
      </c>
      <c r="D298" s="31" t="s">
        <v>708</v>
      </c>
      <c r="E298" s="29" t="s">
        <v>34</v>
      </c>
      <c r="F298" s="28">
        <v>0.85</v>
      </c>
      <c r="G298" s="29">
        <v>0.04</v>
      </c>
      <c r="H298" s="29">
        <v>-0.04</v>
      </c>
      <c r="I298" s="30" t="s">
        <v>39</v>
      </c>
      <c r="J298" s="12">
        <f t="shared" si="50"/>
        <v>0.89</v>
      </c>
      <c r="K298" s="12">
        <f t="shared" si="51"/>
        <v>0.80999999999999994</v>
      </c>
      <c r="L298" s="78"/>
      <c r="M298" s="78"/>
      <c r="N298" s="78"/>
      <c r="O298" s="36"/>
      <c r="P298" s="24" t="str">
        <f t="shared" si="52"/>
        <v xml:space="preserve"> </v>
      </c>
      <c r="Q298" s="25" t="str">
        <f t="shared" si="52"/>
        <v xml:space="preserve"> </v>
      </c>
      <c r="R298" s="25" t="str">
        <f t="shared" si="52"/>
        <v xml:space="preserve"> </v>
      </c>
      <c r="S298" s="26" t="str">
        <f t="shared" si="42"/>
        <v xml:space="preserve"> </v>
      </c>
      <c r="T298" s="7" t="str">
        <f t="shared" si="43"/>
        <v xml:space="preserve"> </v>
      </c>
      <c r="U298" s="8" t="str">
        <f t="shared" si="44"/>
        <v xml:space="preserve"> </v>
      </c>
      <c r="V298" s="9" t="str">
        <f t="shared" si="45"/>
        <v xml:space="preserve"> </v>
      </c>
      <c r="W298" s="9" t="str">
        <f t="shared" si="46"/>
        <v/>
      </c>
      <c r="X298" s="32"/>
      <c r="Y298" s="36"/>
    </row>
    <row r="299" spans="1:25" s="4" customFormat="1" ht="18" customHeight="1">
      <c r="A299" s="36"/>
      <c r="B299" s="69" t="s">
        <v>888</v>
      </c>
      <c r="C299" s="69" t="s">
        <v>591</v>
      </c>
      <c r="D299" s="31" t="s">
        <v>708</v>
      </c>
      <c r="E299" s="29" t="s">
        <v>34</v>
      </c>
      <c r="F299" s="28">
        <v>0.85</v>
      </c>
      <c r="G299" s="29">
        <v>0.04</v>
      </c>
      <c r="H299" s="29">
        <v>-0.04</v>
      </c>
      <c r="I299" s="30" t="s">
        <v>39</v>
      </c>
      <c r="J299" s="12">
        <f t="shared" si="50"/>
        <v>0.89</v>
      </c>
      <c r="K299" s="12">
        <f t="shared" si="51"/>
        <v>0.80999999999999994</v>
      </c>
      <c r="L299" s="78"/>
      <c r="M299" s="78"/>
      <c r="N299" s="78"/>
      <c r="O299" s="36"/>
      <c r="P299" s="24" t="str">
        <f t="shared" si="52"/>
        <v xml:space="preserve"> </v>
      </c>
      <c r="Q299" s="25" t="str">
        <f t="shared" si="52"/>
        <v xml:space="preserve"> </v>
      </c>
      <c r="R299" s="25" t="str">
        <f t="shared" si="52"/>
        <v xml:space="preserve"> </v>
      </c>
      <c r="S299" s="26" t="str">
        <f t="shared" si="42"/>
        <v xml:space="preserve"> </v>
      </c>
      <c r="T299" s="7" t="str">
        <f t="shared" si="43"/>
        <v xml:space="preserve"> </v>
      </c>
      <c r="U299" s="8" t="str">
        <f t="shared" si="44"/>
        <v xml:space="preserve"> </v>
      </c>
      <c r="V299" s="9" t="str">
        <f t="shared" si="45"/>
        <v xml:space="preserve"> </v>
      </c>
      <c r="W299" s="9" t="str">
        <f t="shared" si="46"/>
        <v/>
      </c>
      <c r="X299" s="32"/>
      <c r="Y299" s="36"/>
    </row>
    <row r="300" spans="1:25" s="4" customFormat="1" ht="18" customHeight="1">
      <c r="A300" s="36"/>
      <c r="B300" s="69">
        <v>118.21</v>
      </c>
      <c r="C300" s="69" t="s">
        <v>592</v>
      </c>
      <c r="D300" s="31" t="s">
        <v>708</v>
      </c>
      <c r="E300" s="29" t="s">
        <v>34</v>
      </c>
      <c r="F300" s="28">
        <v>0.85</v>
      </c>
      <c r="G300" s="29">
        <v>0.04</v>
      </c>
      <c r="H300" s="29">
        <v>-0.04</v>
      </c>
      <c r="I300" s="30" t="s">
        <v>39</v>
      </c>
      <c r="J300" s="12">
        <f t="shared" si="50"/>
        <v>0.89</v>
      </c>
      <c r="K300" s="12">
        <f t="shared" si="51"/>
        <v>0.80999999999999994</v>
      </c>
      <c r="L300" s="78"/>
      <c r="M300" s="78"/>
      <c r="N300" s="78"/>
      <c r="O300" s="36"/>
      <c r="P300" s="24" t="str">
        <f t="shared" si="52"/>
        <v xml:space="preserve"> </v>
      </c>
      <c r="Q300" s="25" t="str">
        <f t="shared" si="52"/>
        <v xml:space="preserve"> </v>
      </c>
      <c r="R300" s="25" t="str">
        <f t="shared" si="52"/>
        <v xml:space="preserve"> </v>
      </c>
      <c r="S300" s="26" t="str">
        <f t="shared" si="42"/>
        <v xml:space="preserve"> </v>
      </c>
      <c r="T300" s="7" t="str">
        <f t="shared" si="43"/>
        <v xml:space="preserve"> </v>
      </c>
      <c r="U300" s="8" t="str">
        <f t="shared" si="44"/>
        <v xml:space="preserve"> </v>
      </c>
      <c r="V300" s="9" t="str">
        <f t="shared" si="45"/>
        <v xml:space="preserve"> </v>
      </c>
      <c r="W300" s="9" t="str">
        <f t="shared" si="46"/>
        <v/>
      </c>
      <c r="X300" s="32"/>
      <c r="Y300" s="36"/>
    </row>
    <row r="301" spans="1:25" s="4" customFormat="1" ht="18" customHeight="1">
      <c r="A301" s="36"/>
      <c r="B301" s="69">
        <v>118.22</v>
      </c>
      <c r="C301" s="69" t="s">
        <v>593</v>
      </c>
      <c r="D301" s="31" t="s">
        <v>708</v>
      </c>
      <c r="E301" s="29" t="s">
        <v>34</v>
      </c>
      <c r="F301" s="28">
        <v>0.85</v>
      </c>
      <c r="G301" s="29">
        <v>0.04</v>
      </c>
      <c r="H301" s="29">
        <v>-0.04</v>
      </c>
      <c r="I301" s="30" t="s">
        <v>39</v>
      </c>
      <c r="J301" s="12">
        <f t="shared" si="50"/>
        <v>0.89</v>
      </c>
      <c r="K301" s="12">
        <f t="shared" si="51"/>
        <v>0.80999999999999994</v>
      </c>
      <c r="L301" s="78"/>
      <c r="M301" s="78"/>
      <c r="N301" s="78"/>
      <c r="O301" s="36"/>
      <c r="P301" s="24" t="str">
        <f t="shared" si="52"/>
        <v xml:space="preserve"> </v>
      </c>
      <c r="Q301" s="25" t="str">
        <f t="shared" si="52"/>
        <v xml:space="preserve"> </v>
      </c>
      <c r="R301" s="25" t="str">
        <f t="shared" si="52"/>
        <v xml:space="preserve"> </v>
      </c>
      <c r="S301" s="26" t="str">
        <f t="shared" si="42"/>
        <v xml:space="preserve"> </v>
      </c>
      <c r="T301" s="7" t="str">
        <f t="shared" si="43"/>
        <v xml:space="preserve"> </v>
      </c>
      <c r="U301" s="8" t="str">
        <f t="shared" si="44"/>
        <v xml:space="preserve"> </v>
      </c>
      <c r="V301" s="9" t="str">
        <f t="shared" si="45"/>
        <v xml:space="preserve"> </v>
      </c>
      <c r="W301" s="9" t="str">
        <f t="shared" si="46"/>
        <v/>
      </c>
      <c r="X301" s="32"/>
      <c r="Y301" s="36"/>
    </row>
    <row r="302" spans="1:25" s="4" customFormat="1" ht="18" customHeight="1">
      <c r="A302" s="36"/>
      <c r="B302" s="69">
        <v>118.23</v>
      </c>
      <c r="C302" s="69" t="s">
        <v>594</v>
      </c>
      <c r="D302" s="31" t="s">
        <v>708</v>
      </c>
      <c r="E302" s="29" t="s">
        <v>34</v>
      </c>
      <c r="F302" s="28">
        <v>0.85</v>
      </c>
      <c r="G302" s="29">
        <v>0.04</v>
      </c>
      <c r="H302" s="29">
        <v>-0.04</v>
      </c>
      <c r="I302" s="30" t="s">
        <v>39</v>
      </c>
      <c r="J302" s="12">
        <f t="shared" si="50"/>
        <v>0.89</v>
      </c>
      <c r="K302" s="12">
        <f t="shared" si="51"/>
        <v>0.80999999999999994</v>
      </c>
      <c r="L302" s="78"/>
      <c r="M302" s="78"/>
      <c r="N302" s="78"/>
      <c r="O302" s="36"/>
      <c r="P302" s="24" t="str">
        <f t="shared" si="52"/>
        <v xml:space="preserve"> </v>
      </c>
      <c r="Q302" s="25" t="str">
        <f t="shared" si="52"/>
        <v xml:space="preserve"> </v>
      </c>
      <c r="R302" s="25" t="str">
        <f t="shared" si="52"/>
        <v xml:space="preserve"> </v>
      </c>
      <c r="S302" s="26" t="str">
        <f t="shared" si="42"/>
        <v xml:space="preserve"> </v>
      </c>
      <c r="T302" s="7" t="str">
        <f t="shared" si="43"/>
        <v xml:space="preserve"> </v>
      </c>
      <c r="U302" s="8" t="str">
        <f t="shared" si="44"/>
        <v xml:space="preserve"> </v>
      </c>
      <c r="V302" s="9" t="str">
        <f t="shared" si="45"/>
        <v xml:space="preserve"> </v>
      </c>
      <c r="W302" s="9" t="str">
        <f t="shared" si="46"/>
        <v/>
      </c>
      <c r="X302" s="32"/>
      <c r="Y302" s="36"/>
    </row>
    <row r="303" spans="1:25" s="4" customFormat="1" ht="18" customHeight="1">
      <c r="A303" s="36"/>
      <c r="B303" s="69">
        <v>118.24</v>
      </c>
      <c r="C303" s="69" t="s">
        <v>595</v>
      </c>
      <c r="D303" s="31" t="s">
        <v>708</v>
      </c>
      <c r="E303" s="29" t="s">
        <v>34</v>
      </c>
      <c r="F303" s="28">
        <v>0.85</v>
      </c>
      <c r="G303" s="29">
        <v>0.04</v>
      </c>
      <c r="H303" s="29">
        <v>-0.04</v>
      </c>
      <c r="I303" s="30" t="s">
        <v>39</v>
      </c>
      <c r="J303" s="12">
        <f t="shared" si="50"/>
        <v>0.89</v>
      </c>
      <c r="K303" s="12">
        <f t="shared" si="51"/>
        <v>0.80999999999999994</v>
      </c>
      <c r="L303" s="78"/>
      <c r="M303" s="78"/>
      <c r="N303" s="78"/>
      <c r="O303" s="36"/>
      <c r="P303" s="24" t="str">
        <f t="shared" si="52"/>
        <v xml:space="preserve"> </v>
      </c>
      <c r="Q303" s="25" t="str">
        <f t="shared" si="52"/>
        <v xml:space="preserve"> </v>
      </c>
      <c r="R303" s="25" t="str">
        <f t="shared" si="52"/>
        <v xml:space="preserve"> </v>
      </c>
      <c r="S303" s="26" t="str">
        <f t="shared" si="42"/>
        <v xml:space="preserve"> </v>
      </c>
      <c r="T303" s="7" t="str">
        <f t="shared" si="43"/>
        <v xml:space="preserve"> </v>
      </c>
      <c r="U303" s="8" t="str">
        <f t="shared" si="44"/>
        <v xml:space="preserve"> </v>
      </c>
      <c r="V303" s="9" t="str">
        <f t="shared" si="45"/>
        <v xml:space="preserve"> </v>
      </c>
      <c r="W303" s="9" t="str">
        <f t="shared" si="46"/>
        <v/>
      </c>
      <c r="X303" s="32"/>
      <c r="Y303" s="36"/>
    </row>
    <row r="304" spans="1:25" s="4" customFormat="1" ht="18" customHeight="1">
      <c r="A304" s="36"/>
      <c r="B304" s="69">
        <v>118.25</v>
      </c>
      <c r="C304" s="69" t="s">
        <v>596</v>
      </c>
      <c r="D304" s="31" t="s">
        <v>708</v>
      </c>
      <c r="E304" s="29" t="s">
        <v>34</v>
      </c>
      <c r="F304" s="28">
        <v>0.85</v>
      </c>
      <c r="G304" s="29">
        <v>0.04</v>
      </c>
      <c r="H304" s="29">
        <v>-0.04</v>
      </c>
      <c r="I304" s="30" t="s">
        <v>39</v>
      </c>
      <c r="J304" s="12">
        <f t="shared" si="50"/>
        <v>0.89</v>
      </c>
      <c r="K304" s="12">
        <f t="shared" si="51"/>
        <v>0.80999999999999994</v>
      </c>
      <c r="L304" s="78"/>
      <c r="M304" s="78"/>
      <c r="N304" s="78"/>
      <c r="O304" s="36"/>
      <c r="P304" s="24" t="str">
        <f t="shared" si="52"/>
        <v xml:space="preserve"> </v>
      </c>
      <c r="Q304" s="25" t="str">
        <f t="shared" si="52"/>
        <v xml:space="preserve"> </v>
      </c>
      <c r="R304" s="25" t="str">
        <f t="shared" si="52"/>
        <v xml:space="preserve"> </v>
      </c>
      <c r="S304" s="26" t="str">
        <f t="shared" si="42"/>
        <v xml:space="preserve"> </v>
      </c>
      <c r="T304" s="7" t="str">
        <f t="shared" si="43"/>
        <v xml:space="preserve"> </v>
      </c>
      <c r="U304" s="8" t="str">
        <f t="shared" si="44"/>
        <v xml:space="preserve"> </v>
      </c>
      <c r="V304" s="9" t="str">
        <f t="shared" si="45"/>
        <v xml:space="preserve"> </v>
      </c>
      <c r="W304" s="9" t="str">
        <f t="shared" si="46"/>
        <v/>
      </c>
      <c r="X304" s="32"/>
      <c r="Y304" s="36"/>
    </row>
    <row r="305" spans="1:25" s="4" customFormat="1" ht="18" customHeight="1">
      <c r="A305" s="36"/>
      <c r="B305" s="69">
        <v>118.26</v>
      </c>
      <c r="C305" s="69" t="s">
        <v>597</v>
      </c>
      <c r="D305" s="31" t="s">
        <v>708</v>
      </c>
      <c r="E305" s="29" t="s">
        <v>34</v>
      </c>
      <c r="F305" s="28">
        <v>0.85</v>
      </c>
      <c r="G305" s="29">
        <v>0.04</v>
      </c>
      <c r="H305" s="29">
        <v>-0.04</v>
      </c>
      <c r="I305" s="30" t="s">
        <v>39</v>
      </c>
      <c r="J305" s="12">
        <f t="shared" si="50"/>
        <v>0.89</v>
      </c>
      <c r="K305" s="12">
        <f t="shared" si="51"/>
        <v>0.80999999999999994</v>
      </c>
      <c r="L305" s="78"/>
      <c r="M305" s="78"/>
      <c r="N305" s="78"/>
      <c r="O305" s="36"/>
      <c r="P305" s="24" t="str">
        <f t="shared" si="52"/>
        <v xml:space="preserve"> </v>
      </c>
      <c r="Q305" s="25" t="str">
        <f t="shared" si="52"/>
        <v xml:space="preserve"> </v>
      </c>
      <c r="R305" s="25" t="str">
        <f t="shared" si="52"/>
        <v xml:space="preserve"> </v>
      </c>
      <c r="S305" s="26" t="str">
        <f t="shared" si="42"/>
        <v xml:space="preserve"> </v>
      </c>
      <c r="T305" s="7" t="str">
        <f t="shared" si="43"/>
        <v xml:space="preserve"> </v>
      </c>
      <c r="U305" s="8" t="str">
        <f t="shared" si="44"/>
        <v xml:space="preserve"> </v>
      </c>
      <c r="V305" s="9" t="str">
        <f t="shared" si="45"/>
        <v xml:space="preserve"> </v>
      </c>
      <c r="W305" s="9" t="str">
        <f t="shared" si="46"/>
        <v/>
      </c>
      <c r="X305" s="32"/>
      <c r="Y305" s="36"/>
    </row>
    <row r="306" spans="1:25" s="4" customFormat="1" ht="18" customHeight="1">
      <c r="A306" s="36"/>
      <c r="B306" s="69">
        <v>118.27</v>
      </c>
      <c r="C306" s="69" t="s">
        <v>598</v>
      </c>
      <c r="D306" s="31" t="s">
        <v>708</v>
      </c>
      <c r="E306" s="29" t="s">
        <v>34</v>
      </c>
      <c r="F306" s="28">
        <v>0.85</v>
      </c>
      <c r="G306" s="29">
        <v>0.04</v>
      </c>
      <c r="H306" s="29">
        <v>-0.04</v>
      </c>
      <c r="I306" s="30" t="s">
        <v>39</v>
      </c>
      <c r="J306" s="12">
        <f t="shared" si="50"/>
        <v>0.89</v>
      </c>
      <c r="K306" s="12">
        <f t="shared" si="51"/>
        <v>0.80999999999999994</v>
      </c>
      <c r="L306" s="78"/>
      <c r="M306" s="78"/>
      <c r="N306" s="78"/>
      <c r="O306" s="36"/>
      <c r="P306" s="24" t="str">
        <f t="shared" si="52"/>
        <v xml:space="preserve"> </v>
      </c>
      <c r="Q306" s="25" t="str">
        <f t="shared" si="52"/>
        <v xml:space="preserve"> </v>
      </c>
      <c r="R306" s="25" t="str">
        <f t="shared" si="52"/>
        <v xml:space="preserve"> </v>
      </c>
      <c r="S306" s="26" t="str">
        <f t="shared" si="42"/>
        <v xml:space="preserve"> </v>
      </c>
      <c r="T306" s="7" t="str">
        <f t="shared" si="43"/>
        <v xml:space="preserve"> </v>
      </c>
      <c r="U306" s="8" t="str">
        <f t="shared" si="44"/>
        <v xml:space="preserve"> </v>
      </c>
      <c r="V306" s="9" t="str">
        <f t="shared" si="45"/>
        <v xml:space="preserve"> </v>
      </c>
      <c r="W306" s="9" t="str">
        <f t="shared" si="46"/>
        <v/>
      </c>
      <c r="X306" s="32"/>
      <c r="Y306" s="36"/>
    </row>
    <row r="307" spans="1:25" s="4" customFormat="1" ht="18" customHeight="1">
      <c r="A307" s="36"/>
      <c r="B307" s="69">
        <v>118.28</v>
      </c>
      <c r="C307" s="69" t="s">
        <v>599</v>
      </c>
      <c r="D307" s="31" t="s">
        <v>708</v>
      </c>
      <c r="E307" s="29" t="s">
        <v>34</v>
      </c>
      <c r="F307" s="28">
        <v>0.85</v>
      </c>
      <c r="G307" s="29">
        <v>0.04</v>
      </c>
      <c r="H307" s="29">
        <v>-0.04</v>
      </c>
      <c r="I307" s="30" t="s">
        <v>39</v>
      </c>
      <c r="J307" s="12">
        <f t="shared" si="50"/>
        <v>0.89</v>
      </c>
      <c r="K307" s="12">
        <f t="shared" si="51"/>
        <v>0.80999999999999994</v>
      </c>
      <c r="L307" s="78"/>
      <c r="M307" s="78"/>
      <c r="N307" s="78"/>
      <c r="O307" s="36"/>
      <c r="P307" s="24" t="str">
        <f t="shared" si="52"/>
        <v xml:space="preserve"> </v>
      </c>
      <c r="Q307" s="25" t="str">
        <f t="shared" si="52"/>
        <v xml:space="preserve"> </v>
      </c>
      <c r="R307" s="25" t="str">
        <f t="shared" si="52"/>
        <v xml:space="preserve"> </v>
      </c>
      <c r="S307" s="26" t="str">
        <f t="shared" si="42"/>
        <v xml:space="preserve"> </v>
      </c>
      <c r="T307" s="7" t="str">
        <f t="shared" si="43"/>
        <v xml:space="preserve"> </v>
      </c>
      <c r="U307" s="8" t="str">
        <f t="shared" si="44"/>
        <v xml:space="preserve"> </v>
      </c>
      <c r="V307" s="9" t="str">
        <f t="shared" si="45"/>
        <v xml:space="preserve"> </v>
      </c>
      <c r="W307" s="9" t="str">
        <f t="shared" si="46"/>
        <v/>
      </c>
      <c r="X307" s="32"/>
      <c r="Y307" s="36"/>
    </row>
    <row r="308" spans="1:25" s="4" customFormat="1" ht="18" customHeight="1">
      <c r="A308" s="36"/>
      <c r="B308" s="69">
        <v>118.29</v>
      </c>
      <c r="C308" s="69" t="s">
        <v>600</v>
      </c>
      <c r="D308" s="31" t="s">
        <v>708</v>
      </c>
      <c r="E308" s="29" t="s">
        <v>34</v>
      </c>
      <c r="F308" s="28">
        <v>0.85</v>
      </c>
      <c r="G308" s="29">
        <v>0.04</v>
      </c>
      <c r="H308" s="29">
        <v>-0.04</v>
      </c>
      <c r="I308" s="30" t="s">
        <v>39</v>
      </c>
      <c r="J308" s="12">
        <f t="shared" si="50"/>
        <v>0.89</v>
      </c>
      <c r="K308" s="12">
        <f t="shared" si="51"/>
        <v>0.80999999999999994</v>
      </c>
      <c r="L308" s="78"/>
      <c r="M308" s="78"/>
      <c r="N308" s="78"/>
      <c r="O308" s="36"/>
      <c r="P308" s="24" t="str">
        <f t="shared" si="52"/>
        <v xml:space="preserve"> </v>
      </c>
      <c r="Q308" s="25" t="str">
        <f t="shared" si="52"/>
        <v xml:space="preserve"> </v>
      </c>
      <c r="R308" s="25" t="str">
        <f t="shared" si="52"/>
        <v xml:space="preserve"> </v>
      </c>
      <c r="S308" s="26" t="str">
        <f t="shared" si="42"/>
        <v xml:space="preserve"> </v>
      </c>
      <c r="T308" s="7" t="str">
        <f t="shared" si="43"/>
        <v xml:space="preserve"> </v>
      </c>
      <c r="U308" s="8" t="str">
        <f t="shared" si="44"/>
        <v xml:space="preserve"> </v>
      </c>
      <c r="V308" s="9" t="str">
        <f t="shared" si="45"/>
        <v xml:space="preserve"> </v>
      </c>
      <c r="W308" s="9" t="str">
        <f t="shared" si="46"/>
        <v/>
      </c>
      <c r="X308" s="32"/>
      <c r="Y308" s="36"/>
    </row>
    <row r="309" spans="1:25" s="4" customFormat="1" ht="18" customHeight="1">
      <c r="A309" s="36"/>
      <c r="B309" s="69" t="s">
        <v>889</v>
      </c>
      <c r="C309" s="69" t="s">
        <v>601</v>
      </c>
      <c r="D309" s="31" t="s">
        <v>708</v>
      </c>
      <c r="E309" s="29" t="s">
        <v>34</v>
      </c>
      <c r="F309" s="28">
        <v>0.85</v>
      </c>
      <c r="G309" s="29">
        <v>0.04</v>
      </c>
      <c r="H309" s="29">
        <v>-0.04</v>
      </c>
      <c r="I309" s="30" t="s">
        <v>39</v>
      </c>
      <c r="J309" s="12">
        <f t="shared" si="50"/>
        <v>0.89</v>
      </c>
      <c r="K309" s="12">
        <f t="shared" si="51"/>
        <v>0.80999999999999994</v>
      </c>
      <c r="L309" s="78"/>
      <c r="M309" s="78"/>
      <c r="N309" s="78"/>
      <c r="O309" s="36"/>
      <c r="P309" s="24" t="str">
        <f t="shared" si="52"/>
        <v xml:space="preserve"> </v>
      </c>
      <c r="Q309" s="25" t="str">
        <f t="shared" si="52"/>
        <v xml:space="preserve"> </v>
      </c>
      <c r="R309" s="25" t="str">
        <f t="shared" si="52"/>
        <v xml:space="preserve"> </v>
      </c>
      <c r="S309" s="26" t="str">
        <f t="shared" si="42"/>
        <v xml:space="preserve"> </v>
      </c>
      <c r="T309" s="7" t="str">
        <f t="shared" si="43"/>
        <v xml:space="preserve"> </v>
      </c>
      <c r="U309" s="8" t="str">
        <f t="shared" si="44"/>
        <v xml:space="preserve"> </v>
      </c>
      <c r="V309" s="9" t="str">
        <f t="shared" si="45"/>
        <v xml:space="preserve"> </v>
      </c>
      <c r="W309" s="9" t="str">
        <f t="shared" si="46"/>
        <v/>
      </c>
      <c r="X309" s="32"/>
      <c r="Y309" s="36"/>
    </row>
    <row r="310" spans="1:25" s="4" customFormat="1" ht="18" customHeight="1">
      <c r="A310" s="36"/>
      <c r="B310" s="69">
        <v>118.31</v>
      </c>
      <c r="C310" s="69" t="s">
        <v>602</v>
      </c>
      <c r="D310" s="31" t="s">
        <v>708</v>
      </c>
      <c r="E310" s="29" t="s">
        <v>34</v>
      </c>
      <c r="F310" s="28">
        <v>0.85</v>
      </c>
      <c r="G310" s="29">
        <v>0.04</v>
      </c>
      <c r="H310" s="29">
        <v>-0.04</v>
      </c>
      <c r="I310" s="30" t="s">
        <v>39</v>
      </c>
      <c r="J310" s="12">
        <f t="shared" si="50"/>
        <v>0.89</v>
      </c>
      <c r="K310" s="12">
        <f t="shared" si="51"/>
        <v>0.80999999999999994</v>
      </c>
      <c r="L310" s="78"/>
      <c r="M310" s="78"/>
      <c r="N310" s="78"/>
      <c r="O310" s="36"/>
      <c r="P310" s="24" t="str">
        <f t="shared" si="52"/>
        <v xml:space="preserve"> </v>
      </c>
      <c r="Q310" s="25" t="str">
        <f t="shared" si="52"/>
        <v xml:space="preserve"> </v>
      </c>
      <c r="R310" s="25" t="str">
        <f t="shared" si="52"/>
        <v xml:space="preserve"> </v>
      </c>
      <c r="S310" s="26" t="str">
        <f t="shared" si="42"/>
        <v xml:space="preserve"> </v>
      </c>
      <c r="T310" s="7" t="str">
        <f t="shared" si="43"/>
        <v xml:space="preserve"> </v>
      </c>
      <c r="U310" s="8" t="str">
        <f t="shared" si="44"/>
        <v xml:space="preserve"> </v>
      </c>
      <c r="V310" s="9" t="str">
        <f t="shared" si="45"/>
        <v xml:space="preserve"> </v>
      </c>
      <c r="W310" s="9" t="str">
        <f t="shared" si="46"/>
        <v/>
      </c>
      <c r="X310" s="32"/>
      <c r="Y310" s="36"/>
    </row>
    <row r="311" spans="1:25" s="4" customFormat="1" ht="18" customHeight="1">
      <c r="A311" s="36"/>
      <c r="B311" s="69">
        <v>118.32</v>
      </c>
      <c r="C311" s="69" t="s">
        <v>603</v>
      </c>
      <c r="D311" s="31" t="s">
        <v>708</v>
      </c>
      <c r="E311" s="29" t="s">
        <v>34</v>
      </c>
      <c r="F311" s="28">
        <v>0.85</v>
      </c>
      <c r="G311" s="29">
        <v>0.04</v>
      </c>
      <c r="H311" s="29">
        <v>-0.04</v>
      </c>
      <c r="I311" s="30" t="s">
        <v>39</v>
      </c>
      <c r="J311" s="12">
        <f t="shared" si="50"/>
        <v>0.89</v>
      </c>
      <c r="K311" s="12">
        <f t="shared" si="51"/>
        <v>0.80999999999999994</v>
      </c>
      <c r="L311" s="78"/>
      <c r="M311" s="78"/>
      <c r="N311" s="78"/>
      <c r="O311" s="36"/>
      <c r="P311" s="24" t="str">
        <f t="shared" si="52"/>
        <v xml:space="preserve"> </v>
      </c>
      <c r="Q311" s="25" t="str">
        <f t="shared" si="52"/>
        <v xml:space="preserve"> </v>
      </c>
      <c r="R311" s="25" t="str">
        <f t="shared" si="52"/>
        <v xml:space="preserve"> </v>
      </c>
      <c r="S311" s="26" t="str">
        <f t="shared" si="42"/>
        <v xml:space="preserve"> </v>
      </c>
      <c r="T311" s="7" t="str">
        <f t="shared" si="43"/>
        <v xml:space="preserve"> </v>
      </c>
      <c r="U311" s="8" t="str">
        <f t="shared" si="44"/>
        <v xml:space="preserve"> </v>
      </c>
      <c r="V311" s="9" t="str">
        <f t="shared" si="45"/>
        <v xml:space="preserve"> </v>
      </c>
      <c r="W311" s="9" t="str">
        <f t="shared" si="46"/>
        <v/>
      </c>
      <c r="X311" s="32"/>
      <c r="Y311" s="36"/>
    </row>
    <row r="312" spans="1:25" s="4" customFormat="1" ht="18" customHeight="1">
      <c r="A312" s="36"/>
      <c r="B312" s="69">
        <v>118.33</v>
      </c>
      <c r="C312" s="69" t="s">
        <v>604</v>
      </c>
      <c r="D312" s="31" t="s">
        <v>708</v>
      </c>
      <c r="E312" s="29" t="s">
        <v>34</v>
      </c>
      <c r="F312" s="28">
        <v>0.85</v>
      </c>
      <c r="G312" s="29">
        <v>0.04</v>
      </c>
      <c r="H312" s="29">
        <v>-0.04</v>
      </c>
      <c r="I312" s="30" t="s">
        <v>39</v>
      </c>
      <c r="J312" s="12">
        <f t="shared" si="50"/>
        <v>0.89</v>
      </c>
      <c r="K312" s="12">
        <f t="shared" si="51"/>
        <v>0.80999999999999994</v>
      </c>
      <c r="L312" s="78"/>
      <c r="M312" s="78"/>
      <c r="N312" s="78"/>
      <c r="O312" s="36"/>
      <c r="P312" s="24" t="str">
        <f t="shared" si="52"/>
        <v xml:space="preserve"> </v>
      </c>
      <c r="Q312" s="25" t="str">
        <f t="shared" si="52"/>
        <v xml:space="preserve"> </v>
      </c>
      <c r="R312" s="25" t="str">
        <f t="shared" si="52"/>
        <v xml:space="preserve"> </v>
      </c>
      <c r="S312" s="26" t="str">
        <f t="shared" si="42"/>
        <v xml:space="preserve"> </v>
      </c>
      <c r="T312" s="7" t="str">
        <f t="shared" si="43"/>
        <v xml:space="preserve"> </v>
      </c>
      <c r="U312" s="8" t="str">
        <f t="shared" si="44"/>
        <v xml:space="preserve"> </v>
      </c>
      <c r="V312" s="9" t="str">
        <f t="shared" si="45"/>
        <v xml:space="preserve"> </v>
      </c>
      <c r="W312" s="9" t="str">
        <f t="shared" si="46"/>
        <v/>
      </c>
      <c r="X312" s="32"/>
      <c r="Y312" s="36"/>
    </row>
    <row r="313" spans="1:25" s="4" customFormat="1" ht="18" customHeight="1">
      <c r="A313" s="36"/>
      <c r="B313" s="69">
        <v>118.34</v>
      </c>
      <c r="C313" s="69" t="s">
        <v>605</v>
      </c>
      <c r="D313" s="31" t="s">
        <v>708</v>
      </c>
      <c r="E313" s="29" t="s">
        <v>34</v>
      </c>
      <c r="F313" s="28">
        <v>0.85</v>
      </c>
      <c r="G313" s="29">
        <v>0.04</v>
      </c>
      <c r="H313" s="29">
        <v>-0.04</v>
      </c>
      <c r="I313" s="30" t="s">
        <v>39</v>
      </c>
      <c r="J313" s="12">
        <f t="shared" si="50"/>
        <v>0.89</v>
      </c>
      <c r="K313" s="12">
        <f t="shared" si="51"/>
        <v>0.80999999999999994</v>
      </c>
      <c r="L313" s="78"/>
      <c r="M313" s="78"/>
      <c r="N313" s="78"/>
      <c r="O313" s="36"/>
      <c r="P313" s="24" t="str">
        <f t="shared" si="52"/>
        <v xml:space="preserve"> </v>
      </c>
      <c r="Q313" s="25" t="str">
        <f t="shared" si="52"/>
        <v xml:space="preserve"> </v>
      </c>
      <c r="R313" s="25" t="str">
        <f t="shared" si="52"/>
        <v xml:space="preserve"> </v>
      </c>
      <c r="S313" s="26" t="str">
        <f t="shared" si="42"/>
        <v xml:space="preserve"> </v>
      </c>
      <c r="T313" s="7" t="str">
        <f t="shared" si="43"/>
        <v xml:space="preserve"> </v>
      </c>
      <c r="U313" s="8" t="str">
        <f t="shared" si="44"/>
        <v xml:space="preserve"> </v>
      </c>
      <c r="V313" s="9" t="str">
        <f t="shared" si="45"/>
        <v xml:space="preserve"> </v>
      </c>
      <c r="W313" s="9" t="str">
        <f t="shared" si="46"/>
        <v/>
      </c>
      <c r="X313" s="32"/>
      <c r="Y313" s="36"/>
    </row>
    <row r="314" spans="1:25" s="4" customFormat="1" ht="18" customHeight="1">
      <c r="A314" s="36"/>
      <c r="B314" s="69">
        <v>118.35</v>
      </c>
      <c r="C314" s="69" t="s">
        <v>606</v>
      </c>
      <c r="D314" s="31" t="s">
        <v>708</v>
      </c>
      <c r="E314" s="29" t="s">
        <v>34</v>
      </c>
      <c r="F314" s="28">
        <v>0.85</v>
      </c>
      <c r="G314" s="29">
        <v>0.04</v>
      </c>
      <c r="H314" s="29">
        <v>-0.04</v>
      </c>
      <c r="I314" s="30" t="s">
        <v>39</v>
      </c>
      <c r="J314" s="12">
        <f t="shared" si="50"/>
        <v>0.89</v>
      </c>
      <c r="K314" s="12">
        <f t="shared" si="51"/>
        <v>0.80999999999999994</v>
      </c>
      <c r="L314" s="78"/>
      <c r="M314" s="78"/>
      <c r="N314" s="78"/>
      <c r="O314" s="36"/>
      <c r="P314" s="24" t="str">
        <f t="shared" si="52"/>
        <v xml:space="preserve"> </v>
      </c>
      <c r="Q314" s="25" t="str">
        <f t="shared" si="52"/>
        <v xml:space="preserve"> </v>
      </c>
      <c r="R314" s="25" t="str">
        <f t="shared" si="52"/>
        <v xml:space="preserve"> </v>
      </c>
      <c r="S314" s="26" t="str">
        <f t="shared" si="42"/>
        <v xml:space="preserve"> </v>
      </c>
      <c r="T314" s="7" t="str">
        <f t="shared" si="43"/>
        <v xml:space="preserve"> </v>
      </c>
      <c r="U314" s="8" t="str">
        <f t="shared" si="44"/>
        <v xml:space="preserve"> </v>
      </c>
      <c r="V314" s="9" t="str">
        <f t="shared" si="45"/>
        <v xml:space="preserve"> </v>
      </c>
      <c r="W314" s="9" t="str">
        <f t="shared" si="46"/>
        <v/>
      </c>
      <c r="X314" s="32"/>
      <c r="Y314" s="36"/>
    </row>
    <row r="315" spans="1:25" s="4" customFormat="1" ht="18" customHeight="1">
      <c r="A315" s="36"/>
      <c r="B315" s="69">
        <v>118.36</v>
      </c>
      <c r="C315" s="69" t="s">
        <v>607</v>
      </c>
      <c r="D315" s="31" t="s">
        <v>708</v>
      </c>
      <c r="E315" s="29" t="s">
        <v>34</v>
      </c>
      <c r="F315" s="28">
        <v>0.85</v>
      </c>
      <c r="G315" s="29">
        <v>0.04</v>
      </c>
      <c r="H315" s="29">
        <v>-0.04</v>
      </c>
      <c r="I315" s="30" t="s">
        <v>39</v>
      </c>
      <c r="J315" s="12">
        <f t="shared" si="50"/>
        <v>0.89</v>
      </c>
      <c r="K315" s="12">
        <f t="shared" si="51"/>
        <v>0.80999999999999994</v>
      </c>
      <c r="L315" s="78"/>
      <c r="M315" s="78"/>
      <c r="N315" s="78"/>
      <c r="O315" s="36"/>
      <c r="P315" s="24" t="str">
        <f t="shared" si="52"/>
        <v xml:space="preserve"> </v>
      </c>
      <c r="Q315" s="25" t="str">
        <f t="shared" si="52"/>
        <v xml:space="preserve"> </v>
      </c>
      <c r="R315" s="25" t="str">
        <f t="shared" si="52"/>
        <v xml:space="preserve"> </v>
      </c>
      <c r="S315" s="26" t="str">
        <f t="shared" si="42"/>
        <v xml:space="preserve"> </v>
      </c>
      <c r="T315" s="7" t="str">
        <f t="shared" si="43"/>
        <v xml:space="preserve"> </v>
      </c>
      <c r="U315" s="8" t="str">
        <f t="shared" si="44"/>
        <v xml:space="preserve"> </v>
      </c>
      <c r="V315" s="9" t="str">
        <f t="shared" si="45"/>
        <v xml:space="preserve"> </v>
      </c>
      <c r="W315" s="9" t="str">
        <f t="shared" si="46"/>
        <v/>
      </c>
      <c r="X315" s="32"/>
      <c r="Y315" s="36"/>
    </row>
    <row r="316" spans="1:25" s="4" customFormat="1" ht="18" customHeight="1">
      <c r="A316" s="36"/>
      <c r="B316" s="69">
        <v>118.37</v>
      </c>
      <c r="C316" s="69" t="s">
        <v>608</v>
      </c>
      <c r="D316" s="31" t="s">
        <v>708</v>
      </c>
      <c r="E316" s="29" t="s">
        <v>34</v>
      </c>
      <c r="F316" s="28">
        <v>0.85</v>
      </c>
      <c r="G316" s="29">
        <v>0.04</v>
      </c>
      <c r="H316" s="29">
        <v>-0.04</v>
      </c>
      <c r="I316" s="30" t="s">
        <v>39</v>
      </c>
      <c r="J316" s="12">
        <f t="shared" si="50"/>
        <v>0.89</v>
      </c>
      <c r="K316" s="12">
        <f t="shared" si="51"/>
        <v>0.80999999999999994</v>
      </c>
      <c r="L316" s="78"/>
      <c r="M316" s="78"/>
      <c r="N316" s="78"/>
      <c r="O316" s="36"/>
      <c r="P316" s="24" t="str">
        <f t="shared" si="52"/>
        <v xml:space="preserve"> </v>
      </c>
      <c r="Q316" s="25" t="str">
        <f t="shared" si="52"/>
        <v xml:space="preserve"> </v>
      </c>
      <c r="R316" s="25" t="str">
        <f t="shared" si="52"/>
        <v xml:space="preserve"> </v>
      </c>
      <c r="S316" s="26" t="str">
        <f t="shared" si="42"/>
        <v xml:space="preserve"> </v>
      </c>
      <c r="T316" s="7" t="str">
        <f t="shared" si="43"/>
        <v xml:space="preserve"> </v>
      </c>
      <c r="U316" s="8" t="str">
        <f t="shared" si="44"/>
        <v xml:space="preserve"> </v>
      </c>
      <c r="V316" s="9" t="str">
        <f t="shared" si="45"/>
        <v xml:space="preserve"> </v>
      </c>
      <c r="W316" s="9" t="str">
        <f t="shared" si="46"/>
        <v/>
      </c>
      <c r="X316" s="32"/>
      <c r="Y316" s="36"/>
    </row>
    <row r="317" spans="1:25" s="4" customFormat="1" ht="18" customHeight="1">
      <c r="A317" s="36"/>
      <c r="B317" s="69">
        <v>118.38</v>
      </c>
      <c r="C317" s="69" t="s">
        <v>609</v>
      </c>
      <c r="D317" s="31" t="s">
        <v>708</v>
      </c>
      <c r="E317" s="29" t="s">
        <v>34</v>
      </c>
      <c r="F317" s="28">
        <v>0.85</v>
      </c>
      <c r="G317" s="29">
        <v>0.04</v>
      </c>
      <c r="H317" s="29">
        <v>-0.04</v>
      </c>
      <c r="I317" s="30" t="s">
        <v>39</v>
      </c>
      <c r="J317" s="12">
        <f t="shared" si="50"/>
        <v>0.89</v>
      </c>
      <c r="K317" s="12">
        <f t="shared" si="51"/>
        <v>0.80999999999999994</v>
      </c>
      <c r="L317" s="78"/>
      <c r="M317" s="78"/>
      <c r="N317" s="78"/>
      <c r="O317" s="36"/>
      <c r="P317" s="24" t="str">
        <f t="shared" si="52"/>
        <v xml:space="preserve"> </v>
      </c>
      <c r="Q317" s="25" t="str">
        <f t="shared" si="52"/>
        <v xml:space="preserve"> </v>
      </c>
      <c r="R317" s="25" t="str">
        <f t="shared" si="52"/>
        <v xml:space="preserve"> </v>
      </c>
      <c r="S317" s="26" t="str">
        <f t="shared" si="42"/>
        <v xml:space="preserve"> </v>
      </c>
      <c r="T317" s="7" t="str">
        <f t="shared" si="43"/>
        <v xml:space="preserve"> </v>
      </c>
      <c r="U317" s="8" t="str">
        <f t="shared" si="44"/>
        <v xml:space="preserve"> </v>
      </c>
      <c r="V317" s="9" t="str">
        <f t="shared" si="45"/>
        <v xml:space="preserve"> </v>
      </c>
      <c r="W317" s="9" t="str">
        <f t="shared" si="46"/>
        <v/>
      </c>
      <c r="X317" s="32"/>
      <c r="Y317" s="36"/>
    </row>
    <row r="318" spans="1:25" s="4" customFormat="1" ht="18" customHeight="1">
      <c r="A318" s="36"/>
      <c r="B318" s="69">
        <v>118.39</v>
      </c>
      <c r="C318" s="69" t="s">
        <v>610</v>
      </c>
      <c r="D318" s="31" t="s">
        <v>708</v>
      </c>
      <c r="E318" s="29" t="s">
        <v>34</v>
      </c>
      <c r="F318" s="28">
        <v>0.85</v>
      </c>
      <c r="G318" s="29">
        <v>0.04</v>
      </c>
      <c r="H318" s="29">
        <v>-0.04</v>
      </c>
      <c r="I318" s="30" t="s">
        <v>39</v>
      </c>
      <c r="J318" s="12">
        <f t="shared" si="50"/>
        <v>0.89</v>
      </c>
      <c r="K318" s="12">
        <f t="shared" si="51"/>
        <v>0.80999999999999994</v>
      </c>
      <c r="L318" s="78"/>
      <c r="M318" s="78"/>
      <c r="N318" s="78"/>
      <c r="O318" s="36"/>
      <c r="P318" s="24" t="str">
        <f t="shared" si="52"/>
        <v xml:space="preserve"> </v>
      </c>
      <c r="Q318" s="25" t="str">
        <f t="shared" si="52"/>
        <v xml:space="preserve"> </v>
      </c>
      <c r="R318" s="25" t="str">
        <f t="shared" si="52"/>
        <v xml:space="preserve"> </v>
      </c>
      <c r="S318" s="26" t="str">
        <f t="shared" si="42"/>
        <v xml:space="preserve"> </v>
      </c>
      <c r="T318" s="7" t="str">
        <f t="shared" si="43"/>
        <v xml:space="preserve"> </v>
      </c>
      <c r="U318" s="8" t="str">
        <f t="shared" si="44"/>
        <v xml:space="preserve"> </v>
      </c>
      <c r="V318" s="9" t="str">
        <f t="shared" si="45"/>
        <v xml:space="preserve"> </v>
      </c>
      <c r="W318" s="9" t="str">
        <f t="shared" si="46"/>
        <v/>
      </c>
      <c r="X318" s="32"/>
      <c r="Y318" s="36"/>
    </row>
    <row r="319" spans="1:25" s="4" customFormat="1" ht="18" customHeight="1">
      <c r="A319" s="36"/>
      <c r="B319" s="69" t="s">
        <v>891</v>
      </c>
      <c r="C319" s="69" t="s">
        <v>611</v>
      </c>
      <c r="D319" s="31" t="s">
        <v>708</v>
      </c>
      <c r="E319" s="29" t="s">
        <v>34</v>
      </c>
      <c r="F319" s="28">
        <v>0.85</v>
      </c>
      <c r="G319" s="29">
        <v>0.04</v>
      </c>
      <c r="H319" s="29">
        <v>-0.04</v>
      </c>
      <c r="I319" s="30" t="s">
        <v>39</v>
      </c>
      <c r="J319" s="12">
        <f t="shared" si="50"/>
        <v>0.89</v>
      </c>
      <c r="K319" s="12">
        <f t="shared" si="51"/>
        <v>0.80999999999999994</v>
      </c>
      <c r="L319" s="78"/>
      <c r="M319" s="78"/>
      <c r="N319" s="78"/>
      <c r="O319" s="36"/>
      <c r="P319" s="24" t="str">
        <f t="shared" si="52"/>
        <v xml:space="preserve"> </v>
      </c>
      <c r="Q319" s="25" t="str">
        <f t="shared" si="52"/>
        <v xml:space="preserve"> </v>
      </c>
      <c r="R319" s="25" t="str">
        <f t="shared" si="52"/>
        <v xml:space="preserve"> </v>
      </c>
      <c r="S319" s="26" t="str">
        <f t="shared" si="42"/>
        <v xml:space="preserve"> </v>
      </c>
      <c r="T319" s="7" t="str">
        <f t="shared" si="43"/>
        <v xml:space="preserve"> </v>
      </c>
      <c r="U319" s="8" t="str">
        <f t="shared" si="44"/>
        <v xml:space="preserve"> </v>
      </c>
      <c r="V319" s="9" t="str">
        <f t="shared" si="45"/>
        <v xml:space="preserve"> </v>
      </c>
      <c r="W319" s="9" t="str">
        <f t="shared" si="46"/>
        <v/>
      </c>
      <c r="X319" s="32"/>
      <c r="Y319" s="36"/>
    </row>
    <row r="320" spans="1:25" s="4" customFormat="1" ht="18" customHeight="1">
      <c r="A320" s="36"/>
      <c r="B320" s="69">
        <v>118.41</v>
      </c>
      <c r="C320" s="69" t="s">
        <v>612</v>
      </c>
      <c r="D320" s="31" t="s">
        <v>708</v>
      </c>
      <c r="E320" s="29" t="s">
        <v>34</v>
      </c>
      <c r="F320" s="28">
        <v>0.85</v>
      </c>
      <c r="G320" s="29">
        <v>0.04</v>
      </c>
      <c r="H320" s="29">
        <v>-0.04</v>
      </c>
      <c r="I320" s="30" t="s">
        <v>39</v>
      </c>
      <c r="J320" s="12">
        <f t="shared" si="50"/>
        <v>0.89</v>
      </c>
      <c r="K320" s="12">
        <f t="shared" si="51"/>
        <v>0.80999999999999994</v>
      </c>
      <c r="L320" s="78"/>
      <c r="M320" s="78"/>
      <c r="N320" s="78"/>
      <c r="O320" s="36"/>
      <c r="P320" s="24" t="str">
        <f t="shared" si="52"/>
        <v xml:space="preserve"> </v>
      </c>
      <c r="Q320" s="25" t="str">
        <f t="shared" si="52"/>
        <v xml:space="preserve"> </v>
      </c>
      <c r="R320" s="25" t="str">
        <f t="shared" si="52"/>
        <v xml:space="preserve"> </v>
      </c>
      <c r="S320" s="26" t="str">
        <f t="shared" si="42"/>
        <v xml:space="preserve"> </v>
      </c>
      <c r="T320" s="7" t="str">
        <f t="shared" si="43"/>
        <v xml:space="preserve"> </v>
      </c>
      <c r="U320" s="8" t="str">
        <f t="shared" si="44"/>
        <v xml:space="preserve"> </v>
      </c>
      <c r="V320" s="9" t="str">
        <f t="shared" si="45"/>
        <v xml:space="preserve"> </v>
      </c>
      <c r="W320" s="9" t="str">
        <f t="shared" si="46"/>
        <v/>
      </c>
      <c r="X320" s="32"/>
      <c r="Y320" s="36"/>
    </row>
    <row r="321" spans="1:25" s="4" customFormat="1" ht="18" customHeight="1">
      <c r="A321" s="36"/>
      <c r="B321" s="69">
        <v>118.42</v>
      </c>
      <c r="C321" s="69" t="s">
        <v>613</v>
      </c>
      <c r="D321" s="31" t="s">
        <v>708</v>
      </c>
      <c r="E321" s="29" t="s">
        <v>34</v>
      </c>
      <c r="F321" s="28">
        <v>0.85</v>
      </c>
      <c r="G321" s="29">
        <v>0.04</v>
      </c>
      <c r="H321" s="29">
        <v>-0.04</v>
      </c>
      <c r="I321" s="30" t="s">
        <v>39</v>
      </c>
      <c r="J321" s="12">
        <f t="shared" si="50"/>
        <v>0.89</v>
      </c>
      <c r="K321" s="12">
        <f t="shared" si="51"/>
        <v>0.80999999999999994</v>
      </c>
      <c r="L321" s="78"/>
      <c r="M321" s="78"/>
      <c r="N321" s="78"/>
      <c r="O321" s="36"/>
      <c r="P321" s="24" t="str">
        <f t="shared" si="52"/>
        <v xml:space="preserve"> </v>
      </c>
      <c r="Q321" s="25" t="str">
        <f t="shared" si="52"/>
        <v xml:space="preserve"> </v>
      </c>
      <c r="R321" s="25" t="str">
        <f t="shared" si="52"/>
        <v xml:space="preserve"> </v>
      </c>
      <c r="S321" s="26" t="str">
        <f t="shared" si="42"/>
        <v xml:space="preserve"> </v>
      </c>
      <c r="T321" s="7" t="str">
        <f t="shared" si="43"/>
        <v xml:space="preserve"> </v>
      </c>
      <c r="U321" s="8" t="str">
        <f t="shared" si="44"/>
        <v xml:space="preserve"> </v>
      </c>
      <c r="V321" s="9" t="str">
        <f t="shared" si="45"/>
        <v xml:space="preserve"> </v>
      </c>
      <c r="W321" s="9" t="str">
        <f t="shared" si="46"/>
        <v/>
      </c>
      <c r="X321" s="32"/>
      <c r="Y321" s="36"/>
    </row>
    <row r="322" spans="1:25" s="4" customFormat="1" ht="18" customHeight="1">
      <c r="A322" s="36"/>
      <c r="B322" s="69">
        <v>118.43</v>
      </c>
      <c r="C322" s="69" t="s">
        <v>614</v>
      </c>
      <c r="D322" s="31" t="s">
        <v>708</v>
      </c>
      <c r="E322" s="29" t="s">
        <v>34</v>
      </c>
      <c r="F322" s="28">
        <v>0.85</v>
      </c>
      <c r="G322" s="29">
        <v>0.04</v>
      </c>
      <c r="H322" s="29">
        <v>-0.04</v>
      </c>
      <c r="I322" s="30" t="s">
        <v>39</v>
      </c>
      <c r="J322" s="12">
        <f t="shared" si="50"/>
        <v>0.89</v>
      </c>
      <c r="K322" s="12">
        <f t="shared" si="51"/>
        <v>0.80999999999999994</v>
      </c>
      <c r="L322" s="78"/>
      <c r="M322" s="78"/>
      <c r="N322" s="78"/>
      <c r="O322" s="36"/>
      <c r="P322" s="24" t="str">
        <f t="shared" si="52"/>
        <v xml:space="preserve"> </v>
      </c>
      <c r="Q322" s="25" t="str">
        <f t="shared" si="52"/>
        <v xml:space="preserve"> </v>
      </c>
      <c r="R322" s="25" t="str">
        <f t="shared" si="52"/>
        <v xml:space="preserve"> </v>
      </c>
      <c r="S322" s="26" t="str">
        <f t="shared" si="42"/>
        <v xml:space="preserve"> </v>
      </c>
      <c r="T322" s="7" t="str">
        <f t="shared" si="43"/>
        <v xml:space="preserve"> </v>
      </c>
      <c r="U322" s="8" t="str">
        <f t="shared" si="44"/>
        <v xml:space="preserve"> </v>
      </c>
      <c r="V322" s="9" t="str">
        <f t="shared" si="45"/>
        <v xml:space="preserve"> </v>
      </c>
      <c r="W322" s="9" t="str">
        <f t="shared" si="46"/>
        <v/>
      </c>
      <c r="X322" s="32"/>
      <c r="Y322" s="36"/>
    </row>
    <row r="323" spans="1:25" s="4" customFormat="1" ht="18" customHeight="1">
      <c r="A323" s="36"/>
      <c r="B323" s="69">
        <v>118.44</v>
      </c>
      <c r="C323" s="69" t="s">
        <v>615</v>
      </c>
      <c r="D323" s="31" t="s">
        <v>708</v>
      </c>
      <c r="E323" s="29" t="s">
        <v>34</v>
      </c>
      <c r="F323" s="28">
        <v>0.85</v>
      </c>
      <c r="G323" s="29">
        <v>0.04</v>
      </c>
      <c r="H323" s="29">
        <v>-0.04</v>
      </c>
      <c r="I323" s="30" t="s">
        <v>39</v>
      </c>
      <c r="J323" s="12">
        <f t="shared" si="50"/>
        <v>0.89</v>
      </c>
      <c r="K323" s="12">
        <f t="shared" si="51"/>
        <v>0.80999999999999994</v>
      </c>
      <c r="L323" s="78"/>
      <c r="M323" s="78"/>
      <c r="N323" s="78"/>
      <c r="O323" s="36"/>
      <c r="P323" s="24" t="str">
        <f t="shared" si="52"/>
        <v xml:space="preserve"> </v>
      </c>
      <c r="Q323" s="25" t="str">
        <f t="shared" si="52"/>
        <v xml:space="preserve"> </v>
      </c>
      <c r="R323" s="25" t="str">
        <f t="shared" si="52"/>
        <v xml:space="preserve"> </v>
      </c>
      <c r="S323" s="26" t="str">
        <f t="shared" si="42"/>
        <v xml:space="preserve"> </v>
      </c>
      <c r="T323" s="7" t="str">
        <f t="shared" si="43"/>
        <v xml:space="preserve"> </v>
      </c>
      <c r="U323" s="8" t="str">
        <f t="shared" si="44"/>
        <v xml:space="preserve"> </v>
      </c>
      <c r="V323" s="9" t="str">
        <f t="shared" si="45"/>
        <v xml:space="preserve"> </v>
      </c>
      <c r="W323" s="9" t="str">
        <f t="shared" si="46"/>
        <v/>
      </c>
      <c r="X323" s="32"/>
      <c r="Y323" s="36"/>
    </row>
    <row r="324" spans="1:25" s="4" customFormat="1" ht="18" customHeight="1">
      <c r="A324" s="36"/>
      <c r="B324" s="69">
        <v>118.45</v>
      </c>
      <c r="C324" s="69" t="s">
        <v>616</v>
      </c>
      <c r="D324" s="31" t="s">
        <v>708</v>
      </c>
      <c r="E324" s="29" t="s">
        <v>34</v>
      </c>
      <c r="F324" s="28">
        <v>0.85</v>
      </c>
      <c r="G324" s="29">
        <v>0.04</v>
      </c>
      <c r="H324" s="29">
        <v>-0.04</v>
      </c>
      <c r="I324" s="30" t="s">
        <v>39</v>
      </c>
      <c r="J324" s="12">
        <f t="shared" si="50"/>
        <v>0.89</v>
      </c>
      <c r="K324" s="12">
        <f t="shared" si="51"/>
        <v>0.80999999999999994</v>
      </c>
      <c r="L324" s="78"/>
      <c r="M324" s="78"/>
      <c r="N324" s="78"/>
      <c r="O324" s="36"/>
      <c r="P324" s="24" t="str">
        <f t="shared" si="52"/>
        <v xml:space="preserve"> </v>
      </c>
      <c r="Q324" s="25" t="str">
        <f t="shared" si="52"/>
        <v xml:space="preserve"> </v>
      </c>
      <c r="R324" s="25" t="str">
        <f t="shared" si="52"/>
        <v xml:space="preserve"> </v>
      </c>
      <c r="S324" s="26" t="str">
        <f t="shared" si="42"/>
        <v xml:space="preserve"> </v>
      </c>
      <c r="T324" s="7" t="str">
        <f t="shared" si="43"/>
        <v xml:space="preserve"> </v>
      </c>
      <c r="U324" s="8" t="str">
        <f t="shared" si="44"/>
        <v xml:space="preserve"> </v>
      </c>
      <c r="V324" s="9" t="str">
        <f t="shared" si="45"/>
        <v xml:space="preserve"> </v>
      </c>
      <c r="W324" s="9" t="str">
        <f t="shared" si="46"/>
        <v/>
      </c>
      <c r="X324" s="32"/>
      <c r="Y324" s="36"/>
    </row>
    <row r="325" spans="1:25" s="4" customFormat="1" ht="18" customHeight="1">
      <c r="A325" s="36"/>
      <c r="B325" s="69">
        <v>118.46</v>
      </c>
      <c r="C325" s="69" t="s">
        <v>617</v>
      </c>
      <c r="D325" s="31" t="s">
        <v>708</v>
      </c>
      <c r="E325" s="29" t="s">
        <v>34</v>
      </c>
      <c r="F325" s="28">
        <v>0.85</v>
      </c>
      <c r="G325" s="29">
        <v>0.04</v>
      </c>
      <c r="H325" s="29">
        <v>-0.04</v>
      </c>
      <c r="I325" s="30" t="s">
        <v>39</v>
      </c>
      <c r="J325" s="12">
        <f t="shared" si="50"/>
        <v>0.89</v>
      </c>
      <c r="K325" s="12">
        <f t="shared" si="51"/>
        <v>0.80999999999999994</v>
      </c>
      <c r="L325" s="78"/>
      <c r="M325" s="78"/>
      <c r="N325" s="78"/>
      <c r="O325" s="36"/>
      <c r="P325" s="24" t="str">
        <f t="shared" si="52"/>
        <v xml:space="preserve"> </v>
      </c>
      <c r="Q325" s="25" t="str">
        <f t="shared" si="52"/>
        <v xml:space="preserve"> </v>
      </c>
      <c r="R325" s="25" t="str">
        <f t="shared" si="52"/>
        <v xml:space="preserve"> </v>
      </c>
      <c r="S325" s="26" t="str">
        <f t="shared" si="42"/>
        <v xml:space="preserve"> </v>
      </c>
      <c r="T325" s="7" t="str">
        <f t="shared" si="43"/>
        <v xml:space="preserve"> </v>
      </c>
      <c r="U325" s="8" t="str">
        <f t="shared" si="44"/>
        <v xml:space="preserve"> </v>
      </c>
      <c r="V325" s="9" t="str">
        <f t="shared" si="45"/>
        <v xml:space="preserve"> </v>
      </c>
      <c r="W325" s="9" t="str">
        <f t="shared" si="46"/>
        <v/>
      </c>
      <c r="X325" s="32"/>
      <c r="Y325" s="36"/>
    </row>
    <row r="326" spans="1:25" s="4" customFormat="1" ht="18" customHeight="1">
      <c r="A326" s="36"/>
      <c r="B326" s="69">
        <v>118.47</v>
      </c>
      <c r="C326" s="69" t="s">
        <v>618</v>
      </c>
      <c r="D326" s="31" t="s">
        <v>708</v>
      </c>
      <c r="E326" s="29" t="s">
        <v>34</v>
      </c>
      <c r="F326" s="28">
        <v>0.85</v>
      </c>
      <c r="G326" s="29">
        <v>0.04</v>
      </c>
      <c r="H326" s="29">
        <v>-0.04</v>
      </c>
      <c r="I326" s="30" t="s">
        <v>39</v>
      </c>
      <c r="J326" s="12">
        <f t="shared" si="50"/>
        <v>0.89</v>
      </c>
      <c r="K326" s="12">
        <f t="shared" si="51"/>
        <v>0.80999999999999994</v>
      </c>
      <c r="L326" s="78"/>
      <c r="M326" s="78"/>
      <c r="N326" s="78"/>
      <c r="O326" s="36"/>
      <c r="P326" s="24" t="str">
        <f t="shared" si="52"/>
        <v xml:space="preserve"> </v>
      </c>
      <c r="Q326" s="25" t="str">
        <f t="shared" si="52"/>
        <v xml:space="preserve"> </v>
      </c>
      <c r="R326" s="25" t="str">
        <f t="shared" si="52"/>
        <v xml:space="preserve"> </v>
      </c>
      <c r="S326" s="26" t="str">
        <f t="shared" si="42"/>
        <v xml:space="preserve"> </v>
      </c>
      <c r="T326" s="7" t="str">
        <f t="shared" si="43"/>
        <v xml:space="preserve"> </v>
      </c>
      <c r="U326" s="8" t="str">
        <f t="shared" si="44"/>
        <v xml:space="preserve"> </v>
      </c>
      <c r="V326" s="9" t="str">
        <f t="shared" si="45"/>
        <v xml:space="preserve"> </v>
      </c>
      <c r="W326" s="9" t="str">
        <f t="shared" si="46"/>
        <v/>
      </c>
      <c r="X326" s="32"/>
      <c r="Y326" s="36"/>
    </row>
    <row r="327" spans="1:25" s="4" customFormat="1" ht="18" customHeight="1">
      <c r="A327" s="36"/>
      <c r="B327" s="69">
        <v>118.48</v>
      </c>
      <c r="C327" s="69" t="s">
        <v>619</v>
      </c>
      <c r="D327" s="31" t="s">
        <v>708</v>
      </c>
      <c r="E327" s="29" t="s">
        <v>34</v>
      </c>
      <c r="F327" s="28">
        <v>0.85</v>
      </c>
      <c r="G327" s="29">
        <v>0.04</v>
      </c>
      <c r="H327" s="29">
        <v>-0.04</v>
      </c>
      <c r="I327" s="30" t="s">
        <v>39</v>
      </c>
      <c r="J327" s="12">
        <f t="shared" si="50"/>
        <v>0.89</v>
      </c>
      <c r="K327" s="12">
        <f t="shared" si="51"/>
        <v>0.80999999999999994</v>
      </c>
      <c r="L327" s="78"/>
      <c r="M327" s="78"/>
      <c r="N327" s="78"/>
      <c r="O327" s="36"/>
      <c r="P327" s="24" t="str">
        <f t="shared" si="52"/>
        <v xml:space="preserve"> </v>
      </c>
      <c r="Q327" s="25" t="str">
        <f t="shared" si="52"/>
        <v xml:space="preserve"> </v>
      </c>
      <c r="R327" s="25" t="str">
        <f t="shared" si="52"/>
        <v xml:space="preserve"> </v>
      </c>
      <c r="S327" s="26" t="str">
        <f t="shared" si="42"/>
        <v xml:space="preserve"> </v>
      </c>
      <c r="T327" s="7" t="str">
        <f t="shared" si="43"/>
        <v xml:space="preserve"> </v>
      </c>
      <c r="U327" s="8" t="str">
        <f t="shared" si="44"/>
        <v xml:space="preserve"> </v>
      </c>
      <c r="V327" s="9" t="str">
        <f t="shared" si="45"/>
        <v xml:space="preserve"> </v>
      </c>
      <c r="W327" s="9" t="str">
        <f t="shared" si="46"/>
        <v/>
      </c>
      <c r="X327" s="32"/>
      <c r="Y327" s="36"/>
    </row>
    <row r="328" spans="1:25" s="4" customFormat="1" ht="18" customHeight="1">
      <c r="A328" s="36"/>
      <c r="B328" s="69">
        <v>118.49</v>
      </c>
      <c r="C328" s="69" t="s">
        <v>620</v>
      </c>
      <c r="D328" s="31" t="s">
        <v>708</v>
      </c>
      <c r="E328" s="29" t="s">
        <v>34</v>
      </c>
      <c r="F328" s="28">
        <v>0.85</v>
      </c>
      <c r="G328" s="29">
        <v>0.04</v>
      </c>
      <c r="H328" s="29">
        <v>-0.04</v>
      </c>
      <c r="I328" s="30" t="s">
        <v>39</v>
      </c>
      <c r="J328" s="12">
        <f t="shared" si="50"/>
        <v>0.89</v>
      </c>
      <c r="K328" s="12">
        <f t="shared" si="51"/>
        <v>0.80999999999999994</v>
      </c>
      <c r="L328" s="78"/>
      <c r="M328" s="78"/>
      <c r="N328" s="78"/>
      <c r="O328" s="36"/>
      <c r="P328" s="24" t="str">
        <f t="shared" si="52"/>
        <v xml:space="preserve"> </v>
      </c>
      <c r="Q328" s="25" t="str">
        <f t="shared" si="52"/>
        <v xml:space="preserve"> </v>
      </c>
      <c r="R328" s="25" t="str">
        <f t="shared" si="52"/>
        <v xml:space="preserve"> </v>
      </c>
      <c r="S328" s="26" t="str">
        <f t="shared" si="42"/>
        <v xml:space="preserve"> </v>
      </c>
      <c r="T328" s="7" t="str">
        <f t="shared" si="43"/>
        <v xml:space="preserve"> </v>
      </c>
      <c r="U328" s="8" t="str">
        <f t="shared" si="44"/>
        <v xml:space="preserve"> </v>
      </c>
      <c r="V328" s="9" t="str">
        <f t="shared" si="45"/>
        <v xml:space="preserve"> </v>
      </c>
      <c r="W328" s="9" t="str">
        <f t="shared" si="46"/>
        <v/>
      </c>
      <c r="X328" s="32"/>
      <c r="Y328" s="36"/>
    </row>
    <row r="329" spans="1:25" s="4" customFormat="1" ht="18" customHeight="1">
      <c r="A329" s="36"/>
      <c r="B329" s="69" t="s">
        <v>893</v>
      </c>
      <c r="C329" s="69" t="s">
        <v>621</v>
      </c>
      <c r="D329" s="31" t="s">
        <v>708</v>
      </c>
      <c r="E329" s="29" t="s">
        <v>34</v>
      </c>
      <c r="F329" s="28">
        <v>0.85</v>
      </c>
      <c r="G329" s="29">
        <v>0.04</v>
      </c>
      <c r="H329" s="29">
        <v>-0.04</v>
      </c>
      <c r="I329" s="30" t="s">
        <v>39</v>
      </c>
      <c r="J329" s="12">
        <f t="shared" si="50"/>
        <v>0.89</v>
      </c>
      <c r="K329" s="12">
        <f t="shared" si="51"/>
        <v>0.80999999999999994</v>
      </c>
      <c r="L329" s="78"/>
      <c r="M329" s="78"/>
      <c r="N329" s="78"/>
      <c r="O329" s="36"/>
      <c r="P329" s="24" t="str">
        <f t="shared" si="52"/>
        <v xml:space="preserve"> </v>
      </c>
      <c r="Q329" s="25" t="str">
        <f t="shared" si="52"/>
        <v xml:space="preserve"> </v>
      </c>
      <c r="R329" s="25" t="str">
        <f t="shared" si="52"/>
        <v xml:space="preserve"> </v>
      </c>
      <c r="S329" s="26" t="str">
        <f t="shared" si="42"/>
        <v xml:space="preserve"> </v>
      </c>
      <c r="T329" s="7" t="str">
        <f t="shared" si="43"/>
        <v xml:space="preserve"> </v>
      </c>
      <c r="U329" s="8" t="str">
        <f t="shared" si="44"/>
        <v xml:space="preserve"> </v>
      </c>
      <c r="V329" s="9" t="str">
        <f t="shared" si="45"/>
        <v xml:space="preserve"> </v>
      </c>
      <c r="W329" s="9" t="str">
        <f t="shared" si="46"/>
        <v/>
      </c>
      <c r="X329" s="32"/>
      <c r="Y329" s="36"/>
    </row>
    <row r="330" spans="1:25" s="4" customFormat="1" ht="18" customHeight="1">
      <c r="A330" s="36"/>
      <c r="B330" s="69">
        <v>118.51</v>
      </c>
      <c r="C330" s="69" t="s">
        <v>622</v>
      </c>
      <c r="D330" s="31" t="s">
        <v>708</v>
      </c>
      <c r="E330" s="29" t="s">
        <v>34</v>
      </c>
      <c r="F330" s="28">
        <v>0.85</v>
      </c>
      <c r="G330" s="29">
        <v>0.04</v>
      </c>
      <c r="H330" s="29">
        <v>-0.04</v>
      </c>
      <c r="I330" s="30" t="s">
        <v>39</v>
      </c>
      <c r="J330" s="12">
        <f t="shared" si="50"/>
        <v>0.89</v>
      </c>
      <c r="K330" s="12">
        <f t="shared" si="51"/>
        <v>0.80999999999999994</v>
      </c>
      <c r="L330" s="78"/>
      <c r="M330" s="78"/>
      <c r="N330" s="78"/>
      <c r="O330" s="36"/>
      <c r="P330" s="24" t="str">
        <f t="shared" si="52"/>
        <v xml:space="preserve"> </v>
      </c>
      <c r="Q330" s="25" t="str">
        <f t="shared" si="52"/>
        <v xml:space="preserve"> </v>
      </c>
      <c r="R330" s="25" t="str">
        <f t="shared" si="52"/>
        <v xml:space="preserve"> </v>
      </c>
      <c r="S330" s="26" t="str">
        <f t="shared" si="42"/>
        <v xml:space="preserve"> </v>
      </c>
      <c r="T330" s="7" t="str">
        <f t="shared" si="43"/>
        <v xml:space="preserve"> </v>
      </c>
      <c r="U330" s="8" t="str">
        <f t="shared" si="44"/>
        <v xml:space="preserve"> </v>
      </c>
      <c r="V330" s="9" t="str">
        <f t="shared" si="45"/>
        <v xml:space="preserve"> </v>
      </c>
      <c r="W330" s="9" t="str">
        <f t="shared" si="46"/>
        <v/>
      </c>
      <c r="X330" s="32"/>
      <c r="Y330" s="36"/>
    </row>
    <row r="331" spans="1:25" s="4" customFormat="1" ht="18" customHeight="1">
      <c r="A331" s="36"/>
      <c r="B331" s="69">
        <v>118.52</v>
      </c>
      <c r="C331" s="69" t="s">
        <v>623</v>
      </c>
      <c r="D331" s="31" t="s">
        <v>708</v>
      </c>
      <c r="E331" s="29" t="s">
        <v>34</v>
      </c>
      <c r="F331" s="28">
        <v>0.85</v>
      </c>
      <c r="G331" s="29">
        <v>0.04</v>
      </c>
      <c r="H331" s="29">
        <v>-0.04</v>
      </c>
      <c r="I331" s="30" t="s">
        <v>39</v>
      </c>
      <c r="J331" s="12">
        <f t="shared" si="50"/>
        <v>0.89</v>
      </c>
      <c r="K331" s="12">
        <f t="shared" si="51"/>
        <v>0.80999999999999994</v>
      </c>
      <c r="L331" s="78"/>
      <c r="M331" s="78"/>
      <c r="N331" s="78"/>
      <c r="O331" s="36"/>
      <c r="P331" s="24" t="str">
        <f t="shared" si="52"/>
        <v xml:space="preserve"> </v>
      </c>
      <c r="Q331" s="25" t="str">
        <f t="shared" si="52"/>
        <v xml:space="preserve"> </v>
      </c>
      <c r="R331" s="25" t="str">
        <f t="shared" si="52"/>
        <v xml:space="preserve"> </v>
      </c>
      <c r="S331" s="26" t="str">
        <f t="shared" si="42"/>
        <v xml:space="preserve"> </v>
      </c>
      <c r="T331" s="7" t="str">
        <f t="shared" si="43"/>
        <v xml:space="preserve"> </v>
      </c>
      <c r="U331" s="8" t="str">
        <f t="shared" si="44"/>
        <v xml:space="preserve"> </v>
      </c>
      <c r="V331" s="9" t="str">
        <f t="shared" si="45"/>
        <v xml:space="preserve"> </v>
      </c>
      <c r="W331" s="9" t="str">
        <f t="shared" si="46"/>
        <v/>
      </c>
      <c r="X331" s="32"/>
      <c r="Y331" s="36"/>
    </row>
    <row r="332" spans="1:25" s="4" customFormat="1" ht="18" customHeight="1">
      <c r="A332" s="36"/>
      <c r="B332" s="69">
        <v>118.53</v>
      </c>
      <c r="C332" s="69" t="s">
        <v>624</v>
      </c>
      <c r="D332" s="31" t="s">
        <v>708</v>
      </c>
      <c r="E332" s="29" t="s">
        <v>34</v>
      </c>
      <c r="F332" s="28">
        <v>0.85</v>
      </c>
      <c r="G332" s="29">
        <v>0.04</v>
      </c>
      <c r="H332" s="29">
        <v>-0.04</v>
      </c>
      <c r="I332" s="30" t="s">
        <v>39</v>
      </c>
      <c r="J332" s="12">
        <f t="shared" si="50"/>
        <v>0.89</v>
      </c>
      <c r="K332" s="12">
        <f t="shared" si="51"/>
        <v>0.80999999999999994</v>
      </c>
      <c r="L332" s="78"/>
      <c r="M332" s="78"/>
      <c r="N332" s="78"/>
      <c r="O332" s="36"/>
      <c r="P332" s="24" t="str">
        <f t="shared" si="52"/>
        <v xml:space="preserve"> </v>
      </c>
      <c r="Q332" s="25" t="str">
        <f t="shared" si="52"/>
        <v xml:space="preserve"> </v>
      </c>
      <c r="R332" s="25" t="str">
        <f t="shared" si="52"/>
        <v xml:space="preserve"> </v>
      </c>
      <c r="S332" s="26" t="str">
        <f t="shared" si="42"/>
        <v xml:space="preserve"> </v>
      </c>
      <c r="T332" s="7" t="str">
        <f t="shared" si="43"/>
        <v xml:space="preserve"> </v>
      </c>
      <c r="U332" s="8" t="str">
        <f t="shared" si="44"/>
        <v xml:space="preserve"> </v>
      </c>
      <c r="V332" s="9" t="str">
        <f t="shared" si="45"/>
        <v xml:space="preserve"> </v>
      </c>
      <c r="W332" s="9" t="str">
        <f t="shared" si="46"/>
        <v/>
      </c>
      <c r="X332" s="32"/>
      <c r="Y332" s="36"/>
    </row>
    <row r="333" spans="1:25" s="4" customFormat="1" ht="18" customHeight="1">
      <c r="A333" s="36"/>
      <c r="B333" s="69">
        <v>118.54</v>
      </c>
      <c r="C333" s="69" t="s">
        <v>625</v>
      </c>
      <c r="D333" s="31" t="s">
        <v>708</v>
      </c>
      <c r="E333" s="29" t="s">
        <v>34</v>
      </c>
      <c r="F333" s="28">
        <v>0.85</v>
      </c>
      <c r="G333" s="29">
        <v>0.04</v>
      </c>
      <c r="H333" s="29">
        <v>-0.04</v>
      </c>
      <c r="I333" s="30" t="s">
        <v>39</v>
      </c>
      <c r="J333" s="12">
        <f t="shared" si="50"/>
        <v>0.89</v>
      </c>
      <c r="K333" s="12">
        <f t="shared" si="51"/>
        <v>0.80999999999999994</v>
      </c>
      <c r="L333" s="78"/>
      <c r="M333" s="78"/>
      <c r="N333" s="78"/>
      <c r="O333" s="36"/>
      <c r="P333" s="24" t="str">
        <f t="shared" si="52"/>
        <v xml:space="preserve"> </v>
      </c>
      <c r="Q333" s="25" t="str">
        <f t="shared" si="52"/>
        <v xml:space="preserve"> </v>
      </c>
      <c r="R333" s="25" t="str">
        <f t="shared" si="52"/>
        <v xml:space="preserve"> </v>
      </c>
      <c r="S333" s="26" t="str">
        <f t="shared" si="42"/>
        <v xml:space="preserve"> </v>
      </c>
      <c r="T333" s="7" t="str">
        <f t="shared" si="43"/>
        <v xml:space="preserve"> </v>
      </c>
      <c r="U333" s="8" t="str">
        <f t="shared" si="44"/>
        <v xml:space="preserve"> </v>
      </c>
      <c r="V333" s="9" t="str">
        <f t="shared" si="45"/>
        <v xml:space="preserve"> </v>
      </c>
      <c r="W333" s="9" t="str">
        <f t="shared" si="46"/>
        <v/>
      </c>
      <c r="X333" s="32"/>
      <c r="Y333" s="36"/>
    </row>
    <row r="334" spans="1:25" s="4" customFormat="1" ht="18" customHeight="1">
      <c r="A334" s="36"/>
      <c r="B334" s="69">
        <v>118.55</v>
      </c>
      <c r="C334" s="69" t="s">
        <v>626</v>
      </c>
      <c r="D334" s="31" t="s">
        <v>708</v>
      </c>
      <c r="E334" s="29" t="s">
        <v>34</v>
      </c>
      <c r="F334" s="28">
        <v>0.85</v>
      </c>
      <c r="G334" s="29">
        <v>0.04</v>
      </c>
      <c r="H334" s="29">
        <v>-0.04</v>
      </c>
      <c r="I334" s="30" t="s">
        <v>39</v>
      </c>
      <c r="J334" s="12">
        <f t="shared" si="50"/>
        <v>0.89</v>
      </c>
      <c r="K334" s="12">
        <f t="shared" si="51"/>
        <v>0.80999999999999994</v>
      </c>
      <c r="L334" s="78"/>
      <c r="M334" s="78"/>
      <c r="N334" s="78"/>
      <c r="O334" s="36"/>
      <c r="P334" s="24" t="str">
        <f t="shared" si="52"/>
        <v xml:space="preserve"> </v>
      </c>
      <c r="Q334" s="25" t="str">
        <f t="shared" si="52"/>
        <v xml:space="preserve"> </v>
      </c>
      <c r="R334" s="25" t="str">
        <f t="shared" si="52"/>
        <v xml:space="preserve"> </v>
      </c>
      <c r="S334" s="26" t="str">
        <f t="shared" si="42"/>
        <v xml:space="preserve"> </v>
      </c>
      <c r="T334" s="7" t="str">
        <f t="shared" si="43"/>
        <v xml:space="preserve"> </v>
      </c>
      <c r="U334" s="8" t="str">
        <f t="shared" si="44"/>
        <v xml:space="preserve"> </v>
      </c>
      <c r="V334" s="9" t="str">
        <f t="shared" si="45"/>
        <v xml:space="preserve"> </v>
      </c>
      <c r="W334" s="9" t="str">
        <f t="shared" si="46"/>
        <v/>
      </c>
      <c r="X334" s="32"/>
      <c r="Y334" s="36"/>
    </row>
    <row r="335" spans="1:25" s="4" customFormat="1" ht="18" customHeight="1">
      <c r="A335" s="36"/>
      <c r="B335" s="69">
        <v>118.56</v>
      </c>
      <c r="C335" s="69" t="s">
        <v>627</v>
      </c>
      <c r="D335" s="31" t="s">
        <v>708</v>
      </c>
      <c r="E335" s="29" t="s">
        <v>34</v>
      </c>
      <c r="F335" s="28">
        <v>0.85</v>
      </c>
      <c r="G335" s="29">
        <v>0.04</v>
      </c>
      <c r="H335" s="29">
        <v>-0.04</v>
      </c>
      <c r="I335" s="30" t="s">
        <v>39</v>
      </c>
      <c r="J335" s="12">
        <f t="shared" si="50"/>
        <v>0.89</v>
      </c>
      <c r="K335" s="12">
        <f t="shared" si="51"/>
        <v>0.80999999999999994</v>
      </c>
      <c r="L335" s="78"/>
      <c r="M335" s="78"/>
      <c r="N335" s="78"/>
      <c r="O335" s="36"/>
      <c r="P335" s="24" t="str">
        <f t="shared" si="52"/>
        <v xml:space="preserve"> </v>
      </c>
      <c r="Q335" s="25" t="str">
        <f t="shared" si="52"/>
        <v xml:space="preserve"> </v>
      </c>
      <c r="R335" s="25" t="str">
        <f t="shared" si="52"/>
        <v xml:space="preserve"> </v>
      </c>
      <c r="S335" s="26" t="str">
        <f t="shared" si="42"/>
        <v xml:space="preserve"> </v>
      </c>
      <c r="T335" s="7" t="str">
        <f t="shared" si="43"/>
        <v xml:space="preserve"> </v>
      </c>
      <c r="U335" s="8" t="str">
        <f t="shared" si="44"/>
        <v xml:space="preserve"> </v>
      </c>
      <c r="V335" s="9" t="str">
        <f t="shared" si="45"/>
        <v xml:space="preserve"> </v>
      </c>
      <c r="W335" s="9" t="str">
        <f t="shared" si="46"/>
        <v/>
      </c>
      <c r="X335" s="32"/>
      <c r="Y335" s="36"/>
    </row>
    <row r="336" spans="1:25" s="4" customFormat="1" ht="18" customHeight="1">
      <c r="A336" s="36"/>
      <c r="B336" s="69">
        <v>118.57</v>
      </c>
      <c r="C336" s="69" t="s">
        <v>628</v>
      </c>
      <c r="D336" s="31" t="s">
        <v>708</v>
      </c>
      <c r="E336" s="29" t="s">
        <v>34</v>
      </c>
      <c r="F336" s="28">
        <v>0.85</v>
      </c>
      <c r="G336" s="29">
        <v>0.04</v>
      </c>
      <c r="H336" s="29">
        <v>-0.04</v>
      </c>
      <c r="I336" s="30" t="s">
        <v>39</v>
      </c>
      <c r="J336" s="12">
        <f t="shared" si="50"/>
        <v>0.89</v>
      </c>
      <c r="K336" s="12">
        <f t="shared" si="51"/>
        <v>0.80999999999999994</v>
      </c>
      <c r="L336" s="78"/>
      <c r="M336" s="78"/>
      <c r="N336" s="78"/>
      <c r="O336" s="36"/>
      <c r="P336" s="24" t="str">
        <f t="shared" si="52"/>
        <v xml:space="preserve"> </v>
      </c>
      <c r="Q336" s="25" t="str">
        <f t="shared" si="52"/>
        <v xml:space="preserve"> </v>
      </c>
      <c r="R336" s="25" t="str">
        <f t="shared" si="52"/>
        <v xml:space="preserve"> </v>
      </c>
      <c r="S336" s="26" t="str">
        <f t="shared" si="42"/>
        <v xml:space="preserve"> </v>
      </c>
      <c r="T336" s="7" t="str">
        <f t="shared" si="43"/>
        <v xml:space="preserve"> </v>
      </c>
      <c r="U336" s="8" t="str">
        <f t="shared" si="44"/>
        <v xml:space="preserve"> </v>
      </c>
      <c r="V336" s="9" t="str">
        <f t="shared" si="45"/>
        <v xml:space="preserve"> </v>
      </c>
      <c r="W336" s="9" t="str">
        <f t="shared" si="46"/>
        <v/>
      </c>
      <c r="X336" s="32"/>
      <c r="Y336" s="36"/>
    </row>
    <row r="337" spans="1:25" s="4" customFormat="1" ht="18" customHeight="1">
      <c r="A337" s="36"/>
      <c r="B337" s="69">
        <v>118.58</v>
      </c>
      <c r="C337" s="69" t="s">
        <v>629</v>
      </c>
      <c r="D337" s="31" t="s">
        <v>708</v>
      </c>
      <c r="E337" s="29" t="s">
        <v>34</v>
      </c>
      <c r="F337" s="28">
        <v>0.85</v>
      </c>
      <c r="G337" s="29">
        <v>0.04</v>
      </c>
      <c r="H337" s="29">
        <v>-0.04</v>
      </c>
      <c r="I337" s="30" t="s">
        <v>39</v>
      </c>
      <c r="J337" s="12">
        <f t="shared" si="50"/>
        <v>0.89</v>
      </c>
      <c r="K337" s="12">
        <f t="shared" si="51"/>
        <v>0.80999999999999994</v>
      </c>
      <c r="L337" s="78"/>
      <c r="M337" s="78"/>
      <c r="N337" s="78"/>
      <c r="O337" s="36"/>
      <c r="P337" s="24" t="str">
        <f t="shared" si="52"/>
        <v xml:space="preserve"> </v>
      </c>
      <c r="Q337" s="25" t="str">
        <f t="shared" si="52"/>
        <v xml:space="preserve"> </v>
      </c>
      <c r="R337" s="25" t="str">
        <f t="shared" si="52"/>
        <v xml:space="preserve"> </v>
      </c>
      <c r="S337" s="26" t="str">
        <f t="shared" si="42"/>
        <v xml:space="preserve"> </v>
      </c>
      <c r="T337" s="7" t="str">
        <f t="shared" si="43"/>
        <v xml:space="preserve"> </v>
      </c>
      <c r="U337" s="8" t="str">
        <f t="shared" si="44"/>
        <v xml:space="preserve"> </v>
      </c>
      <c r="V337" s="9" t="str">
        <f t="shared" si="45"/>
        <v xml:space="preserve"> </v>
      </c>
      <c r="W337" s="9" t="str">
        <f t="shared" si="46"/>
        <v/>
      </c>
      <c r="X337" s="32"/>
      <c r="Y337" s="36"/>
    </row>
    <row r="338" spans="1:25" s="4" customFormat="1" ht="18" customHeight="1">
      <c r="A338" s="36"/>
      <c r="B338" s="69">
        <v>118.59</v>
      </c>
      <c r="C338" s="69" t="s">
        <v>630</v>
      </c>
      <c r="D338" s="31" t="s">
        <v>708</v>
      </c>
      <c r="E338" s="29" t="s">
        <v>34</v>
      </c>
      <c r="F338" s="28">
        <v>0.85</v>
      </c>
      <c r="G338" s="29">
        <v>0.04</v>
      </c>
      <c r="H338" s="29">
        <v>-0.04</v>
      </c>
      <c r="I338" s="30" t="s">
        <v>39</v>
      </c>
      <c r="J338" s="12">
        <f t="shared" si="50"/>
        <v>0.89</v>
      </c>
      <c r="K338" s="12">
        <f t="shared" si="51"/>
        <v>0.80999999999999994</v>
      </c>
      <c r="L338" s="78"/>
      <c r="M338" s="78"/>
      <c r="N338" s="78"/>
      <c r="O338" s="36"/>
      <c r="P338" s="24" t="str">
        <f t="shared" si="52"/>
        <v xml:space="preserve"> </v>
      </c>
      <c r="Q338" s="25" t="str">
        <f t="shared" si="52"/>
        <v xml:space="preserve"> </v>
      </c>
      <c r="R338" s="25" t="str">
        <f t="shared" si="52"/>
        <v xml:space="preserve"> </v>
      </c>
      <c r="S338" s="26" t="str">
        <f t="shared" si="42"/>
        <v xml:space="preserve"> </v>
      </c>
      <c r="T338" s="7" t="str">
        <f t="shared" si="43"/>
        <v xml:space="preserve"> </v>
      </c>
      <c r="U338" s="8" t="str">
        <f t="shared" si="44"/>
        <v xml:space="preserve"> </v>
      </c>
      <c r="V338" s="9" t="str">
        <f t="shared" si="45"/>
        <v xml:space="preserve"> </v>
      </c>
      <c r="W338" s="9" t="str">
        <f t="shared" si="46"/>
        <v/>
      </c>
      <c r="X338" s="32"/>
      <c r="Y338" s="36"/>
    </row>
    <row r="339" spans="1:25" s="4" customFormat="1" ht="18" customHeight="1">
      <c r="A339" s="36"/>
      <c r="B339" s="69" t="s">
        <v>894</v>
      </c>
      <c r="C339" s="69" t="s">
        <v>631</v>
      </c>
      <c r="D339" s="31" t="s">
        <v>708</v>
      </c>
      <c r="E339" s="29" t="s">
        <v>34</v>
      </c>
      <c r="F339" s="28">
        <v>0.85</v>
      </c>
      <c r="G339" s="29">
        <v>0.04</v>
      </c>
      <c r="H339" s="29">
        <v>-0.04</v>
      </c>
      <c r="I339" s="30" t="s">
        <v>39</v>
      </c>
      <c r="J339" s="12">
        <f t="shared" ref="J339:J402" si="53">IF(AND(F339="",G339=""),"",IF(F339="",G339,F339+G339))</f>
        <v>0.89</v>
      </c>
      <c r="K339" s="12">
        <f t="shared" ref="K339:K402" si="54">IF(AND(F339="",H339=""),"",IF(F339="",H339,F339+H339))</f>
        <v>0.80999999999999994</v>
      </c>
      <c r="L339" s="78"/>
      <c r="M339" s="78"/>
      <c r="N339" s="78"/>
      <c r="O339" s="36"/>
      <c r="P339" s="24" t="str">
        <f t="shared" si="52"/>
        <v xml:space="preserve"> </v>
      </c>
      <c r="Q339" s="25" t="str">
        <f t="shared" si="52"/>
        <v xml:space="preserve"> </v>
      </c>
      <c r="R339" s="25" t="str">
        <f t="shared" si="52"/>
        <v xml:space="preserve"> </v>
      </c>
      <c r="S339" s="26" t="str">
        <f t="shared" si="42"/>
        <v xml:space="preserve"> </v>
      </c>
      <c r="T339" s="7" t="str">
        <f t="shared" si="43"/>
        <v xml:space="preserve"> </v>
      </c>
      <c r="U339" s="8" t="str">
        <f t="shared" si="44"/>
        <v xml:space="preserve"> </v>
      </c>
      <c r="V339" s="9" t="str">
        <f t="shared" si="45"/>
        <v xml:space="preserve"> </v>
      </c>
      <c r="W339" s="9" t="str">
        <f t="shared" si="46"/>
        <v/>
      </c>
      <c r="X339" s="32"/>
      <c r="Y339" s="36"/>
    </row>
    <row r="340" spans="1:25" s="4" customFormat="1" ht="18" customHeight="1">
      <c r="A340" s="36"/>
      <c r="B340" s="69">
        <v>118.61</v>
      </c>
      <c r="C340" s="69" t="s">
        <v>632</v>
      </c>
      <c r="D340" s="31" t="s">
        <v>708</v>
      </c>
      <c r="E340" s="29" t="s">
        <v>34</v>
      </c>
      <c r="F340" s="28">
        <v>0.85</v>
      </c>
      <c r="G340" s="29">
        <v>0.04</v>
      </c>
      <c r="H340" s="29">
        <v>-0.04</v>
      </c>
      <c r="I340" s="30" t="s">
        <v>39</v>
      </c>
      <c r="J340" s="12">
        <f t="shared" si="53"/>
        <v>0.89</v>
      </c>
      <c r="K340" s="12">
        <f t="shared" si="54"/>
        <v>0.80999999999999994</v>
      </c>
      <c r="L340" s="78"/>
      <c r="M340" s="78"/>
      <c r="N340" s="78"/>
      <c r="O340" s="36"/>
      <c r="P340" s="24" t="str">
        <f t="shared" si="52"/>
        <v xml:space="preserve"> </v>
      </c>
      <c r="Q340" s="25" t="str">
        <f t="shared" si="52"/>
        <v xml:space="preserve"> </v>
      </c>
      <c r="R340" s="25" t="str">
        <f t="shared" si="52"/>
        <v xml:space="preserve"> </v>
      </c>
      <c r="S340" s="26" t="str">
        <f t="shared" si="42"/>
        <v xml:space="preserve"> </v>
      </c>
      <c r="T340" s="7" t="str">
        <f t="shared" si="43"/>
        <v xml:space="preserve"> </v>
      </c>
      <c r="U340" s="8" t="str">
        <f t="shared" si="44"/>
        <v xml:space="preserve"> </v>
      </c>
      <c r="V340" s="9" t="str">
        <f t="shared" si="45"/>
        <v xml:space="preserve"> </v>
      </c>
      <c r="W340" s="9" t="str">
        <f t="shared" si="46"/>
        <v/>
      </c>
      <c r="X340" s="32"/>
      <c r="Y340" s="36"/>
    </row>
    <row r="341" spans="1:25" s="4" customFormat="1" ht="18" customHeight="1">
      <c r="A341" s="36"/>
      <c r="B341" s="69">
        <v>118.62</v>
      </c>
      <c r="C341" s="69" t="s">
        <v>633</v>
      </c>
      <c r="D341" s="31" t="s">
        <v>708</v>
      </c>
      <c r="E341" s="29" t="s">
        <v>34</v>
      </c>
      <c r="F341" s="28">
        <v>0.85</v>
      </c>
      <c r="G341" s="29">
        <v>0.04</v>
      </c>
      <c r="H341" s="29">
        <v>-0.04</v>
      </c>
      <c r="I341" s="30" t="s">
        <v>39</v>
      </c>
      <c r="J341" s="12">
        <f t="shared" si="53"/>
        <v>0.89</v>
      </c>
      <c r="K341" s="12">
        <f t="shared" si="54"/>
        <v>0.80999999999999994</v>
      </c>
      <c r="L341" s="78"/>
      <c r="M341" s="78"/>
      <c r="N341" s="78"/>
      <c r="O341" s="36"/>
      <c r="P341" s="24" t="str">
        <f t="shared" si="52"/>
        <v xml:space="preserve"> </v>
      </c>
      <c r="Q341" s="25" t="str">
        <f t="shared" si="52"/>
        <v xml:space="preserve"> </v>
      </c>
      <c r="R341" s="25" t="str">
        <f t="shared" si="52"/>
        <v xml:space="preserve"> </v>
      </c>
      <c r="S341" s="26" t="str">
        <f t="shared" si="42"/>
        <v xml:space="preserve"> </v>
      </c>
      <c r="T341" s="7" t="str">
        <f t="shared" si="43"/>
        <v xml:space="preserve"> </v>
      </c>
      <c r="U341" s="8" t="str">
        <f t="shared" si="44"/>
        <v xml:space="preserve"> </v>
      </c>
      <c r="V341" s="9" t="str">
        <f t="shared" si="45"/>
        <v xml:space="preserve"> </v>
      </c>
      <c r="W341" s="9" t="str">
        <f t="shared" si="46"/>
        <v/>
      </c>
      <c r="X341" s="32"/>
      <c r="Y341" s="36"/>
    </row>
    <row r="342" spans="1:25" s="4" customFormat="1" ht="18" customHeight="1">
      <c r="A342" s="36"/>
      <c r="B342" s="69">
        <v>118.63</v>
      </c>
      <c r="C342" s="69" t="s">
        <v>634</v>
      </c>
      <c r="D342" s="31" t="s">
        <v>708</v>
      </c>
      <c r="E342" s="29" t="s">
        <v>34</v>
      </c>
      <c r="F342" s="28">
        <v>0.85</v>
      </c>
      <c r="G342" s="29">
        <v>0.04</v>
      </c>
      <c r="H342" s="29">
        <v>-0.04</v>
      </c>
      <c r="I342" s="30" t="s">
        <v>39</v>
      </c>
      <c r="J342" s="12">
        <f t="shared" si="53"/>
        <v>0.89</v>
      </c>
      <c r="K342" s="12">
        <f t="shared" si="54"/>
        <v>0.80999999999999994</v>
      </c>
      <c r="L342" s="78"/>
      <c r="M342" s="78"/>
      <c r="N342" s="78"/>
      <c r="O342" s="36"/>
      <c r="P342" s="24" t="str">
        <f t="shared" si="52"/>
        <v xml:space="preserve"> </v>
      </c>
      <c r="Q342" s="25" t="str">
        <f t="shared" si="52"/>
        <v xml:space="preserve"> </v>
      </c>
      <c r="R342" s="25" t="str">
        <f t="shared" si="52"/>
        <v xml:space="preserve"> </v>
      </c>
      <c r="S342" s="26" t="str">
        <f t="shared" si="42"/>
        <v xml:space="preserve"> </v>
      </c>
      <c r="T342" s="7" t="str">
        <f t="shared" si="43"/>
        <v xml:space="preserve"> </v>
      </c>
      <c r="U342" s="8" t="str">
        <f t="shared" si="44"/>
        <v xml:space="preserve"> </v>
      </c>
      <c r="V342" s="9" t="str">
        <f t="shared" si="45"/>
        <v xml:space="preserve"> </v>
      </c>
      <c r="W342" s="9" t="str">
        <f t="shared" si="46"/>
        <v/>
      </c>
      <c r="X342" s="32"/>
      <c r="Y342" s="36"/>
    </row>
    <row r="343" spans="1:25" s="4" customFormat="1" ht="18" customHeight="1">
      <c r="A343" s="36"/>
      <c r="B343" s="69">
        <v>118.64</v>
      </c>
      <c r="C343" s="69" t="s">
        <v>635</v>
      </c>
      <c r="D343" s="31" t="s">
        <v>708</v>
      </c>
      <c r="E343" s="29" t="s">
        <v>34</v>
      </c>
      <c r="F343" s="28">
        <v>0.85</v>
      </c>
      <c r="G343" s="29">
        <v>0.04</v>
      </c>
      <c r="H343" s="29">
        <v>-0.04</v>
      </c>
      <c r="I343" s="30" t="s">
        <v>39</v>
      </c>
      <c r="J343" s="12">
        <f t="shared" si="53"/>
        <v>0.89</v>
      </c>
      <c r="K343" s="12">
        <f t="shared" si="54"/>
        <v>0.80999999999999994</v>
      </c>
      <c r="L343" s="78"/>
      <c r="M343" s="78"/>
      <c r="N343" s="78"/>
      <c r="O343" s="36"/>
      <c r="P343" s="24" t="str">
        <f t="shared" si="52"/>
        <v xml:space="preserve"> </v>
      </c>
      <c r="Q343" s="25" t="str">
        <f t="shared" si="52"/>
        <v xml:space="preserve"> </v>
      </c>
      <c r="R343" s="25" t="str">
        <f t="shared" si="52"/>
        <v xml:space="preserve"> </v>
      </c>
      <c r="S343" s="26" t="str">
        <f t="shared" si="42"/>
        <v xml:space="preserve"> </v>
      </c>
      <c r="T343" s="7" t="str">
        <f t="shared" si="43"/>
        <v xml:space="preserve"> </v>
      </c>
      <c r="U343" s="8" t="str">
        <f t="shared" si="44"/>
        <v xml:space="preserve"> </v>
      </c>
      <c r="V343" s="9" t="str">
        <f t="shared" si="45"/>
        <v xml:space="preserve"> </v>
      </c>
      <c r="W343" s="9" t="str">
        <f t="shared" si="46"/>
        <v/>
      </c>
      <c r="X343" s="32"/>
      <c r="Y343" s="36"/>
    </row>
    <row r="344" spans="1:25" s="4" customFormat="1" ht="18" customHeight="1">
      <c r="A344" s="36"/>
      <c r="B344" s="69">
        <v>118.65</v>
      </c>
      <c r="C344" s="69" t="s">
        <v>636</v>
      </c>
      <c r="D344" s="31" t="s">
        <v>708</v>
      </c>
      <c r="E344" s="29" t="s">
        <v>34</v>
      </c>
      <c r="F344" s="28">
        <v>0.85</v>
      </c>
      <c r="G344" s="29">
        <v>0.04</v>
      </c>
      <c r="H344" s="29">
        <v>-0.04</v>
      </c>
      <c r="I344" s="30" t="s">
        <v>39</v>
      </c>
      <c r="J344" s="12">
        <f t="shared" si="53"/>
        <v>0.89</v>
      </c>
      <c r="K344" s="12">
        <f t="shared" si="54"/>
        <v>0.80999999999999994</v>
      </c>
      <c r="L344" s="78"/>
      <c r="M344" s="78"/>
      <c r="N344" s="78"/>
      <c r="O344" s="36"/>
      <c r="P344" s="24" t="str">
        <f t="shared" si="52"/>
        <v xml:space="preserve"> </v>
      </c>
      <c r="Q344" s="25" t="str">
        <f t="shared" si="52"/>
        <v xml:space="preserve"> </v>
      </c>
      <c r="R344" s="25" t="str">
        <f t="shared" si="52"/>
        <v xml:space="preserve"> </v>
      </c>
      <c r="S344" s="26" t="str">
        <f t="shared" si="42"/>
        <v xml:space="preserve"> </v>
      </c>
      <c r="T344" s="7" t="str">
        <f t="shared" si="43"/>
        <v xml:space="preserve"> </v>
      </c>
      <c r="U344" s="8" t="str">
        <f t="shared" si="44"/>
        <v xml:space="preserve"> </v>
      </c>
      <c r="V344" s="9" t="str">
        <f t="shared" si="45"/>
        <v xml:space="preserve"> </v>
      </c>
      <c r="W344" s="9" t="str">
        <f t="shared" si="46"/>
        <v/>
      </c>
      <c r="X344" s="32"/>
      <c r="Y344" s="36"/>
    </row>
    <row r="345" spans="1:25" s="4" customFormat="1" ht="18" customHeight="1">
      <c r="A345" s="36"/>
      <c r="B345" s="69">
        <v>118.66</v>
      </c>
      <c r="C345" s="69" t="s">
        <v>637</v>
      </c>
      <c r="D345" s="31" t="s">
        <v>708</v>
      </c>
      <c r="E345" s="29" t="s">
        <v>34</v>
      </c>
      <c r="F345" s="28">
        <v>0.85</v>
      </c>
      <c r="G345" s="29">
        <v>0.04</v>
      </c>
      <c r="H345" s="29">
        <v>-0.04</v>
      </c>
      <c r="I345" s="30" t="s">
        <v>39</v>
      </c>
      <c r="J345" s="12">
        <f t="shared" si="53"/>
        <v>0.89</v>
      </c>
      <c r="K345" s="12">
        <f t="shared" si="54"/>
        <v>0.80999999999999994</v>
      </c>
      <c r="L345" s="78"/>
      <c r="M345" s="78"/>
      <c r="N345" s="78"/>
      <c r="O345" s="36"/>
      <c r="P345" s="24" t="str">
        <f t="shared" si="52"/>
        <v xml:space="preserve"> </v>
      </c>
      <c r="Q345" s="25" t="str">
        <f t="shared" si="52"/>
        <v xml:space="preserve"> </v>
      </c>
      <c r="R345" s="25" t="str">
        <f t="shared" si="52"/>
        <v xml:space="preserve"> </v>
      </c>
      <c r="S345" s="26" t="str">
        <f t="shared" si="42"/>
        <v xml:space="preserve"> </v>
      </c>
      <c r="T345" s="7" t="str">
        <f t="shared" si="43"/>
        <v xml:space="preserve"> </v>
      </c>
      <c r="U345" s="8" t="str">
        <f t="shared" si="44"/>
        <v xml:space="preserve"> </v>
      </c>
      <c r="V345" s="9" t="str">
        <f t="shared" si="45"/>
        <v xml:space="preserve"> </v>
      </c>
      <c r="W345" s="9" t="str">
        <f t="shared" si="46"/>
        <v/>
      </c>
      <c r="X345" s="32"/>
      <c r="Y345" s="36"/>
    </row>
    <row r="346" spans="1:25" s="4" customFormat="1" ht="18" customHeight="1">
      <c r="A346" s="36"/>
      <c r="B346" s="69">
        <v>118.67</v>
      </c>
      <c r="C346" s="69" t="s">
        <v>638</v>
      </c>
      <c r="D346" s="31" t="s">
        <v>708</v>
      </c>
      <c r="E346" s="29" t="s">
        <v>34</v>
      </c>
      <c r="F346" s="28">
        <v>0.85</v>
      </c>
      <c r="G346" s="29">
        <v>0.04</v>
      </c>
      <c r="H346" s="29">
        <v>-0.04</v>
      </c>
      <c r="I346" s="30" t="s">
        <v>39</v>
      </c>
      <c r="J346" s="12">
        <f t="shared" si="53"/>
        <v>0.89</v>
      </c>
      <c r="K346" s="12">
        <f t="shared" si="54"/>
        <v>0.80999999999999994</v>
      </c>
      <c r="L346" s="78"/>
      <c r="M346" s="78"/>
      <c r="N346" s="78"/>
      <c r="O346" s="36"/>
      <c r="P346" s="24" t="str">
        <f t="shared" si="52"/>
        <v xml:space="preserve"> </v>
      </c>
      <c r="Q346" s="25" t="str">
        <f t="shared" si="52"/>
        <v xml:space="preserve"> </v>
      </c>
      <c r="R346" s="25" t="str">
        <f t="shared" si="52"/>
        <v xml:space="preserve"> </v>
      </c>
      <c r="S346" s="26" t="str">
        <f t="shared" si="42"/>
        <v xml:space="preserve"> </v>
      </c>
      <c r="T346" s="7" t="str">
        <f t="shared" si="43"/>
        <v xml:space="preserve"> </v>
      </c>
      <c r="U346" s="8" t="str">
        <f t="shared" si="44"/>
        <v xml:space="preserve"> </v>
      </c>
      <c r="V346" s="9" t="str">
        <f t="shared" si="45"/>
        <v xml:space="preserve"> </v>
      </c>
      <c r="W346" s="9" t="str">
        <f t="shared" si="46"/>
        <v/>
      </c>
      <c r="X346" s="32"/>
      <c r="Y346" s="36"/>
    </row>
    <row r="347" spans="1:25" s="4" customFormat="1" ht="18" customHeight="1">
      <c r="A347" s="36"/>
      <c r="B347" s="69">
        <v>118.68</v>
      </c>
      <c r="C347" s="69" t="s">
        <v>639</v>
      </c>
      <c r="D347" s="31" t="s">
        <v>708</v>
      </c>
      <c r="E347" s="29" t="s">
        <v>34</v>
      </c>
      <c r="F347" s="28">
        <v>0.85</v>
      </c>
      <c r="G347" s="29">
        <v>0.04</v>
      </c>
      <c r="H347" s="29">
        <v>-0.04</v>
      </c>
      <c r="I347" s="30" t="s">
        <v>39</v>
      </c>
      <c r="J347" s="12">
        <f t="shared" si="53"/>
        <v>0.89</v>
      </c>
      <c r="K347" s="12">
        <f t="shared" si="54"/>
        <v>0.80999999999999994</v>
      </c>
      <c r="L347" s="78"/>
      <c r="M347" s="78"/>
      <c r="N347" s="78"/>
      <c r="O347" s="36"/>
      <c r="P347" s="24" t="str">
        <f t="shared" si="52"/>
        <v xml:space="preserve"> </v>
      </c>
      <c r="Q347" s="25" t="str">
        <f t="shared" si="52"/>
        <v xml:space="preserve"> </v>
      </c>
      <c r="R347" s="25" t="str">
        <f t="shared" si="52"/>
        <v xml:space="preserve"> </v>
      </c>
      <c r="S347" s="26" t="str">
        <f t="shared" si="42"/>
        <v xml:space="preserve"> </v>
      </c>
      <c r="T347" s="7" t="str">
        <f t="shared" si="43"/>
        <v xml:space="preserve"> </v>
      </c>
      <c r="U347" s="8" t="str">
        <f t="shared" si="44"/>
        <v xml:space="preserve"> </v>
      </c>
      <c r="V347" s="9" t="str">
        <f t="shared" si="45"/>
        <v xml:space="preserve"> </v>
      </c>
      <c r="W347" s="9" t="str">
        <f t="shared" si="46"/>
        <v/>
      </c>
      <c r="X347" s="32"/>
      <c r="Y347" s="36"/>
    </row>
    <row r="348" spans="1:25" s="4" customFormat="1" ht="18" customHeight="1">
      <c r="A348" s="36"/>
      <c r="B348" s="69">
        <v>118.689999999999</v>
      </c>
      <c r="C348" s="69" t="s">
        <v>640</v>
      </c>
      <c r="D348" s="31" t="s">
        <v>708</v>
      </c>
      <c r="E348" s="29" t="s">
        <v>34</v>
      </c>
      <c r="F348" s="28">
        <v>0.85</v>
      </c>
      <c r="G348" s="29">
        <v>0.04</v>
      </c>
      <c r="H348" s="29">
        <v>-0.04</v>
      </c>
      <c r="I348" s="30" t="s">
        <v>39</v>
      </c>
      <c r="J348" s="12">
        <f t="shared" si="53"/>
        <v>0.89</v>
      </c>
      <c r="K348" s="12">
        <f t="shared" si="54"/>
        <v>0.80999999999999994</v>
      </c>
      <c r="L348" s="78"/>
      <c r="M348" s="78"/>
      <c r="N348" s="78"/>
      <c r="O348" s="36"/>
      <c r="P348" s="24" t="str">
        <f t="shared" si="52"/>
        <v xml:space="preserve"> </v>
      </c>
      <c r="Q348" s="25" t="str">
        <f t="shared" si="52"/>
        <v xml:space="preserve"> </v>
      </c>
      <c r="R348" s="25" t="str">
        <f t="shared" si="52"/>
        <v xml:space="preserve"> </v>
      </c>
      <c r="S348" s="26" t="str">
        <f t="shared" si="42"/>
        <v xml:space="preserve"> </v>
      </c>
      <c r="T348" s="7" t="str">
        <f t="shared" si="43"/>
        <v xml:space="preserve"> </v>
      </c>
      <c r="U348" s="8" t="str">
        <f t="shared" si="44"/>
        <v xml:space="preserve"> </v>
      </c>
      <c r="V348" s="9" t="str">
        <f t="shared" si="45"/>
        <v xml:space="preserve"> </v>
      </c>
      <c r="W348" s="9" t="str">
        <f t="shared" si="46"/>
        <v/>
      </c>
      <c r="X348" s="32"/>
      <c r="Y348" s="36"/>
    </row>
    <row r="349" spans="1:25" s="4" customFormat="1" ht="18" customHeight="1">
      <c r="A349" s="36"/>
      <c r="B349" s="69" t="s">
        <v>895</v>
      </c>
      <c r="C349" s="69" t="s">
        <v>641</v>
      </c>
      <c r="D349" s="31" t="s">
        <v>708</v>
      </c>
      <c r="E349" s="29" t="s">
        <v>34</v>
      </c>
      <c r="F349" s="28">
        <v>0.85</v>
      </c>
      <c r="G349" s="29">
        <v>0.04</v>
      </c>
      <c r="H349" s="29">
        <v>-0.04</v>
      </c>
      <c r="I349" s="30" t="s">
        <v>39</v>
      </c>
      <c r="J349" s="12">
        <f t="shared" si="53"/>
        <v>0.89</v>
      </c>
      <c r="K349" s="12">
        <f t="shared" si="54"/>
        <v>0.80999999999999994</v>
      </c>
      <c r="L349" s="78"/>
      <c r="M349" s="78"/>
      <c r="N349" s="78"/>
      <c r="O349" s="36"/>
      <c r="P349" s="24" t="str">
        <f t="shared" si="52"/>
        <v xml:space="preserve"> </v>
      </c>
      <c r="Q349" s="25" t="str">
        <f t="shared" si="52"/>
        <v xml:space="preserve"> </v>
      </c>
      <c r="R349" s="25" t="str">
        <f t="shared" si="52"/>
        <v xml:space="preserve"> </v>
      </c>
      <c r="S349" s="26" t="str">
        <f t="shared" si="42"/>
        <v xml:space="preserve"> </v>
      </c>
      <c r="T349" s="7" t="str">
        <f t="shared" si="43"/>
        <v xml:space="preserve"> </v>
      </c>
      <c r="U349" s="8" t="str">
        <f t="shared" si="44"/>
        <v xml:space="preserve"> </v>
      </c>
      <c r="V349" s="9" t="str">
        <f t="shared" si="45"/>
        <v xml:space="preserve"> </v>
      </c>
      <c r="W349" s="9" t="str">
        <f t="shared" si="46"/>
        <v/>
      </c>
      <c r="X349" s="32"/>
      <c r="Y349" s="36"/>
    </row>
    <row r="350" spans="1:25" s="4" customFormat="1" ht="18" customHeight="1">
      <c r="A350" s="36"/>
      <c r="B350" s="69" t="s">
        <v>896</v>
      </c>
      <c r="C350" s="69" t="s">
        <v>642</v>
      </c>
      <c r="D350" s="31" t="s">
        <v>708</v>
      </c>
      <c r="E350" s="29" t="s">
        <v>34</v>
      </c>
      <c r="F350" s="28">
        <v>0.85</v>
      </c>
      <c r="G350" s="29">
        <v>0.04</v>
      </c>
      <c r="H350" s="29">
        <v>-0.04</v>
      </c>
      <c r="I350" s="30" t="s">
        <v>39</v>
      </c>
      <c r="J350" s="12">
        <f t="shared" si="53"/>
        <v>0.89</v>
      </c>
      <c r="K350" s="12">
        <f t="shared" si="54"/>
        <v>0.80999999999999994</v>
      </c>
      <c r="L350" s="78"/>
      <c r="M350" s="78"/>
      <c r="N350" s="78"/>
      <c r="O350" s="36"/>
      <c r="P350" s="24" t="str">
        <f t="shared" si="52"/>
        <v xml:space="preserve"> </v>
      </c>
      <c r="Q350" s="25" t="str">
        <f t="shared" si="52"/>
        <v xml:space="preserve"> </v>
      </c>
      <c r="R350" s="25" t="str">
        <f t="shared" si="52"/>
        <v xml:space="preserve"> </v>
      </c>
      <c r="S350" s="26" t="str">
        <f t="shared" si="42"/>
        <v xml:space="preserve"> </v>
      </c>
      <c r="T350" s="7" t="str">
        <f t="shared" si="43"/>
        <v xml:space="preserve"> </v>
      </c>
      <c r="U350" s="8" t="str">
        <f t="shared" si="44"/>
        <v xml:space="preserve"> </v>
      </c>
      <c r="V350" s="9" t="str">
        <f t="shared" si="45"/>
        <v xml:space="preserve"> </v>
      </c>
      <c r="W350" s="9" t="str">
        <f t="shared" si="46"/>
        <v/>
      </c>
      <c r="X350" s="32"/>
      <c r="Y350" s="36"/>
    </row>
    <row r="351" spans="1:25" s="4" customFormat="1" ht="18" customHeight="1">
      <c r="A351" s="36"/>
      <c r="B351" s="69" t="s">
        <v>897</v>
      </c>
      <c r="C351" s="69" t="s">
        <v>643</v>
      </c>
      <c r="D351" s="31" t="s">
        <v>708</v>
      </c>
      <c r="E351" s="29" t="s">
        <v>34</v>
      </c>
      <c r="F351" s="28">
        <v>0.85</v>
      </c>
      <c r="G351" s="29">
        <v>0.04</v>
      </c>
      <c r="H351" s="29">
        <v>-0.04</v>
      </c>
      <c r="I351" s="30" t="s">
        <v>39</v>
      </c>
      <c r="J351" s="12">
        <f t="shared" si="53"/>
        <v>0.89</v>
      </c>
      <c r="K351" s="12">
        <f t="shared" si="54"/>
        <v>0.80999999999999994</v>
      </c>
      <c r="L351" s="78"/>
      <c r="M351" s="78"/>
      <c r="N351" s="78"/>
      <c r="O351" s="36"/>
      <c r="P351" s="24" t="str">
        <f t="shared" si="52"/>
        <v xml:space="preserve"> </v>
      </c>
      <c r="Q351" s="25" t="str">
        <f t="shared" si="52"/>
        <v xml:space="preserve"> </v>
      </c>
      <c r="R351" s="25" t="str">
        <f t="shared" si="52"/>
        <v xml:space="preserve"> </v>
      </c>
      <c r="S351" s="26" t="str">
        <f t="shared" si="42"/>
        <v xml:space="preserve"> </v>
      </c>
      <c r="T351" s="7" t="str">
        <f t="shared" si="43"/>
        <v xml:space="preserve"> </v>
      </c>
      <c r="U351" s="8" t="str">
        <f t="shared" si="44"/>
        <v xml:space="preserve"> </v>
      </c>
      <c r="V351" s="9" t="str">
        <f t="shared" si="45"/>
        <v xml:space="preserve"> </v>
      </c>
      <c r="W351" s="9" t="str">
        <f t="shared" si="46"/>
        <v/>
      </c>
      <c r="X351" s="32"/>
      <c r="Y351" s="36"/>
    </row>
    <row r="352" spans="1:25" s="4" customFormat="1" ht="18" customHeight="1">
      <c r="A352" s="36"/>
      <c r="B352" s="69" t="s">
        <v>898</v>
      </c>
      <c r="C352" s="69" t="s">
        <v>644</v>
      </c>
      <c r="D352" s="31" t="s">
        <v>708</v>
      </c>
      <c r="E352" s="29" t="s">
        <v>34</v>
      </c>
      <c r="F352" s="28">
        <v>0.85</v>
      </c>
      <c r="G352" s="29">
        <v>0.04</v>
      </c>
      <c r="H352" s="29">
        <v>-0.04</v>
      </c>
      <c r="I352" s="30" t="s">
        <v>39</v>
      </c>
      <c r="J352" s="12">
        <f t="shared" si="53"/>
        <v>0.89</v>
      </c>
      <c r="K352" s="12">
        <f t="shared" si="54"/>
        <v>0.80999999999999994</v>
      </c>
      <c r="L352" s="78"/>
      <c r="M352" s="78"/>
      <c r="N352" s="78"/>
      <c r="O352" s="36"/>
      <c r="P352" s="24" t="str">
        <f t="shared" si="52"/>
        <v xml:space="preserve"> </v>
      </c>
      <c r="Q352" s="25" t="str">
        <f t="shared" si="52"/>
        <v xml:space="preserve"> </v>
      </c>
      <c r="R352" s="25" t="str">
        <f t="shared" si="52"/>
        <v xml:space="preserve"> </v>
      </c>
      <c r="S352" s="26" t="str">
        <f t="shared" si="42"/>
        <v xml:space="preserve"> </v>
      </c>
      <c r="T352" s="7" t="str">
        <f t="shared" si="43"/>
        <v xml:space="preserve"> </v>
      </c>
      <c r="U352" s="8" t="str">
        <f t="shared" si="44"/>
        <v xml:space="preserve"> </v>
      </c>
      <c r="V352" s="9" t="str">
        <f t="shared" si="45"/>
        <v xml:space="preserve"> </v>
      </c>
      <c r="W352" s="9" t="str">
        <f t="shared" si="46"/>
        <v/>
      </c>
      <c r="X352" s="32"/>
      <c r="Y352" s="36"/>
    </row>
    <row r="353" spans="1:25" s="4" customFormat="1" ht="18" customHeight="1">
      <c r="A353" s="36"/>
      <c r="B353" s="69" t="s">
        <v>899</v>
      </c>
      <c r="C353" s="69" t="s">
        <v>645</v>
      </c>
      <c r="D353" s="31" t="s">
        <v>708</v>
      </c>
      <c r="E353" s="29" t="s">
        <v>34</v>
      </c>
      <c r="F353" s="28">
        <v>0.85</v>
      </c>
      <c r="G353" s="29">
        <v>0.04</v>
      </c>
      <c r="H353" s="29">
        <v>-0.04</v>
      </c>
      <c r="I353" s="30" t="s">
        <v>39</v>
      </c>
      <c r="J353" s="12">
        <f t="shared" si="53"/>
        <v>0.89</v>
      </c>
      <c r="K353" s="12">
        <f t="shared" si="54"/>
        <v>0.80999999999999994</v>
      </c>
      <c r="L353" s="78"/>
      <c r="M353" s="78"/>
      <c r="N353" s="78"/>
      <c r="O353" s="36"/>
      <c r="P353" s="24" t="str">
        <f t="shared" si="52"/>
        <v xml:space="preserve"> </v>
      </c>
      <c r="Q353" s="25" t="str">
        <f t="shared" si="52"/>
        <v xml:space="preserve"> </v>
      </c>
      <c r="R353" s="25" t="str">
        <f t="shared" si="52"/>
        <v xml:space="preserve"> </v>
      </c>
      <c r="S353" s="26" t="str">
        <f t="shared" si="42"/>
        <v xml:space="preserve"> </v>
      </c>
      <c r="T353" s="7" t="str">
        <f t="shared" si="43"/>
        <v xml:space="preserve"> </v>
      </c>
      <c r="U353" s="8" t="str">
        <f t="shared" si="44"/>
        <v xml:space="preserve"> </v>
      </c>
      <c r="V353" s="9" t="str">
        <f t="shared" si="45"/>
        <v xml:space="preserve"> </v>
      </c>
      <c r="W353" s="9" t="str">
        <f t="shared" si="46"/>
        <v/>
      </c>
      <c r="X353" s="32"/>
      <c r="Y353" s="36"/>
    </row>
    <row r="354" spans="1:25" s="4" customFormat="1" ht="18" customHeight="1">
      <c r="A354" s="36"/>
      <c r="B354" s="69" t="s">
        <v>900</v>
      </c>
      <c r="C354" s="69" t="s">
        <v>646</v>
      </c>
      <c r="D354" s="31" t="s">
        <v>708</v>
      </c>
      <c r="E354" s="29" t="s">
        <v>34</v>
      </c>
      <c r="F354" s="28">
        <v>0.85</v>
      </c>
      <c r="G354" s="29">
        <v>0.04</v>
      </c>
      <c r="H354" s="29">
        <v>-0.04</v>
      </c>
      <c r="I354" s="30" t="s">
        <v>39</v>
      </c>
      <c r="J354" s="12">
        <f t="shared" si="53"/>
        <v>0.89</v>
      </c>
      <c r="K354" s="12">
        <f t="shared" si="54"/>
        <v>0.80999999999999994</v>
      </c>
      <c r="L354" s="78"/>
      <c r="M354" s="78"/>
      <c r="N354" s="78"/>
      <c r="O354" s="36"/>
      <c r="P354" s="24" t="str">
        <f t="shared" si="52"/>
        <v xml:space="preserve"> </v>
      </c>
      <c r="Q354" s="25" t="str">
        <f t="shared" si="52"/>
        <v xml:space="preserve"> </v>
      </c>
      <c r="R354" s="25" t="str">
        <f t="shared" si="52"/>
        <v xml:space="preserve"> </v>
      </c>
      <c r="S354" s="26" t="str">
        <f t="shared" si="42"/>
        <v xml:space="preserve"> </v>
      </c>
      <c r="T354" s="7" t="str">
        <f t="shared" si="43"/>
        <v xml:space="preserve"> </v>
      </c>
      <c r="U354" s="8" t="str">
        <f t="shared" si="44"/>
        <v xml:space="preserve"> </v>
      </c>
      <c r="V354" s="9" t="str">
        <f t="shared" si="45"/>
        <v xml:space="preserve"> </v>
      </c>
      <c r="W354" s="9" t="str">
        <f t="shared" si="46"/>
        <v/>
      </c>
      <c r="X354" s="32"/>
      <c r="Y354" s="36"/>
    </row>
    <row r="355" spans="1:25" s="4" customFormat="1" ht="18" customHeight="1">
      <c r="A355" s="36"/>
      <c r="B355" s="69" t="s">
        <v>901</v>
      </c>
      <c r="C355" s="69" t="s">
        <v>647</v>
      </c>
      <c r="D355" s="31" t="s">
        <v>708</v>
      </c>
      <c r="E355" s="29" t="s">
        <v>34</v>
      </c>
      <c r="F355" s="28">
        <v>0.85</v>
      </c>
      <c r="G355" s="29">
        <v>0.04</v>
      </c>
      <c r="H355" s="29">
        <v>-0.04</v>
      </c>
      <c r="I355" s="30" t="s">
        <v>39</v>
      </c>
      <c r="J355" s="12">
        <f t="shared" si="53"/>
        <v>0.89</v>
      </c>
      <c r="K355" s="12">
        <f t="shared" si="54"/>
        <v>0.80999999999999994</v>
      </c>
      <c r="L355" s="78"/>
      <c r="M355" s="78"/>
      <c r="N355" s="78"/>
      <c r="O355" s="36"/>
      <c r="P355" s="24" t="str">
        <f t="shared" si="52"/>
        <v xml:space="preserve"> </v>
      </c>
      <c r="Q355" s="25" t="str">
        <f t="shared" si="52"/>
        <v xml:space="preserve"> </v>
      </c>
      <c r="R355" s="25" t="str">
        <f t="shared" si="52"/>
        <v xml:space="preserve"> </v>
      </c>
      <c r="S355" s="26" t="str">
        <f t="shared" si="42"/>
        <v xml:space="preserve"> </v>
      </c>
      <c r="T355" s="7" t="str">
        <f t="shared" si="43"/>
        <v xml:space="preserve"> </v>
      </c>
      <c r="U355" s="8" t="str">
        <f t="shared" si="44"/>
        <v xml:space="preserve"> </v>
      </c>
      <c r="V355" s="9" t="str">
        <f t="shared" si="45"/>
        <v xml:space="preserve"> </v>
      </c>
      <c r="W355" s="9" t="str">
        <f t="shared" si="46"/>
        <v/>
      </c>
      <c r="X355" s="32"/>
      <c r="Y355" s="36"/>
    </row>
    <row r="356" spans="1:25" s="4" customFormat="1" ht="18" customHeight="1">
      <c r="A356" s="36"/>
      <c r="B356" s="69" t="s">
        <v>902</v>
      </c>
      <c r="C356" s="69" t="s">
        <v>648</v>
      </c>
      <c r="D356" s="31" t="s">
        <v>708</v>
      </c>
      <c r="E356" s="29" t="s">
        <v>34</v>
      </c>
      <c r="F356" s="28">
        <v>0.85</v>
      </c>
      <c r="G356" s="29">
        <v>0.04</v>
      </c>
      <c r="H356" s="29">
        <v>-0.04</v>
      </c>
      <c r="I356" s="30" t="s">
        <v>39</v>
      </c>
      <c r="J356" s="12">
        <f t="shared" si="53"/>
        <v>0.89</v>
      </c>
      <c r="K356" s="12">
        <f t="shared" si="54"/>
        <v>0.80999999999999994</v>
      </c>
      <c r="L356" s="78"/>
      <c r="M356" s="78"/>
      <c r="N356" s="78"/>
      <c r="O356" s="36"/>
      <c r="P356" s="24" t="str">
        <f t="shared" si="52"/>
        <v xml:space="preserve"> </v>
      </c>
      <c r="Q356" s="25" t="str">
        <f t="shared" si="52"/>
        <v xml:space="preserve"> </v>
      </c>
      <c r="R356" s="25" t="str">
        <f t="shared" si="52"/>
        <v xml:space="preserve"> </v>
      </c>
      <c r="S356" s="26" t="str">
        <f t="shared" si="42"/>
        <v xml:space="preserve"> </v>
      </c>
      <c r="T356" s="7" t="str">
        <f t="shared" si="43"/>
        <v xml:space="preserve"> </v>
      </c>
      <c r="U356" s="8" t="str">
        <f t="shared" si="44"/>
        <v xml:space="preserve"> </v>
      </c>
      <c r="V356" s="9" t="str">
        <f t="shared" si="45"/>
        <v xml:space="preserve"> </v>
      </c>
      <c r="W356" s="9" t="str">
        <f t="shared" si="46"/>
        <v/>
      </c>
      <c r="X356" s="32"/>
      <c r="Y356" s="36"/>
    </row>
    <row r="357" spans="1:25" s="4" customFormat="1" ht="18" customHeight="1">
      <c r="A357" s="36"/>
      <c r="B357" s="69" t="s">
        <v>903</v>
      </c>
      <c r="C357" s="69" t="s">
        <v>649</v>
      </c>
      <c r="D357" s="31" t="s">
        <v>708</v>
      </c>
      <c r="E357" s="29" t="s">
        <v>34</v>
      </c>
      <c r="F357" s="28">
        <v>0.85</v>
      </c>
      <c r="G357" s="29">
        <v>0.04</v>
      </c>
      <c r="H357" s="29">
        <v>-0.04</v>
      </c>
      <c r="I357" s="30" t="s">
        <v>39</v>
      </c>
      <c r="J357" s="12">
        <f t="shared" si="53"/>
        <v>0.89</v>
      </c>
      <c r="K357" s="12">
        <f t="shared" si="54"/>
        <v>0.80999999999999994</v>
      </c>
      <c r="L357" s="78"/>
      <c r="M357" s="78"/>
      <c r="N357" s="78"/>
      <c r="O357" s="36"/>
      <c r="P357" s="24" t="str">
        <f t="shared" si="52"/>
        <v xml:space="preserve"> </v>
      </c>
      <c r="Q357" s="25" t="str">
        <f t="shared" si="52"/>
        <v xml:space="preserve"> </v>
      </c>
      <c r="R357" s="25" t="str">
        <f t="shared" si="52"/>
        <v xml:space="preserve"> </v>
      </c>
      <c r="S357" s="26" t="str">
        <f t="shared" si="42"/>
        <v xml:space="preserve"> </v>
      </c>
      <c r="T357" s="7" t="str">
        <f t="shared" si="43"/>
        <v xml:space="preserve"> </v>
      </c>
      <c r="U357" s="8" t="str">
        <f t="shared" si="44"/>
        <v xml:space="preserve"> </v>
      </c>
      <c r="V357" s="9" t="str">
        <f t="shared" si="45"/>
        <v xml:space="preserve"> </v>
      </c>
      <c r="W357" s="9" t="str">
        <f t="shared" si="46"/>
        <v/>
      </c>
      <c r="X357" s="32"/>
      <c r="Y357" s="36"/>
    </row>
    <row r="358" spans="1:25" s="4" customFormat="1" ht="18" customHeight="1">
      <c r="A358" s="36"/>
      <c r="B358" s="69" t="s">
        <v>904</v>
      </c>
      <c r="C358" s="69" t="s">
        <v>650</v>
      </c>
      <c r="D358" s="31" t="s">
        <v>708</v>
      </c>
      <c r="E358" s="29" t="s">
        <v>34</v>
      </c>
      <c r="F358" s="28">
        <v>0.85</v>
      </c>
      <c r="G358" s="29">
        <v>0.04</v>
      </c>
      <c r="H358" s="29">
        <v>-0.04</v>
      </c>
      <c r="I358" s="30" t="s">
        <v>39</v>
      </c>
      <c r="J358" s="12">
        <f t="shared" si="53"/>
        <v>0.89</v>
      </c>
      <c r="K358" s="12">
        <f t="shared" si="54"/>
        <v>0.80999999999999994</v>
      </c>
      <c r="L358" s="78"/>
      <c r="M358" s="78"/>
      <c r="N358" s="78"/>
      <c r="O358" s="36"/>
      <c r="P358" s="24" t="str">
        <f t="shared" si="52"/>
        <v xml:space="preserve"> </v>
      </c>
      <c r="Q358" s="25" t="str">
        <f t="shared" si="52"/>
        <v xml:space="preserve"> </v>
      </c>
      <c r="R358" s="25" t="str">
        <f t="shared" si="52"/>
        <v xml:space="preserve"> </v>
      </c>
      <c r="S358" s="26" t="str">
        <f t="shared" si="42"/>
        <v xml:space="preserve"> </v>
      </c>
      <c r="T358" s="7" t="str">
        <f t="shared" si="43"/>
        <v xml:space="preserve"> </v>
      </c>
      <c r="U358" s="8" t="str">
        <f t="shared" si="44"/>
        <v xml:space="preserve"> </v>
      </c>
      <c r="V358" s="9" t="str">
        <f t="shared" si="45"/>
        <v xml:space="preserve"> </v>
      </c>
      <c r="W358" s="9" t="str">
        <f t="shared" si="46"/>
        <v/>
      </c>
      <c r="X358" s="32"/>
      <c r="Y358" s="36"/>
    </row>
    <row r="359" spans="1:25" s="4" customFormat="1" ht="18" customHeight="1">
      <c r="A359" s="36"/>
      <c r="B359" s="69" t="s">
        <v>905</v>
      </c>
      <c r="C359" s="69" t="s">
        <v>651</v>
      </c>
      <c r="D359" s="31" t="s">
        <v>708</v>
      </c>
      <c r="E359" s="29" t="s">
        <v>34</v>
      </c>
      <c r="F359" s="28">
        <v>0.85</v>
      </c>
      <c r="G359" s="29">
        <v>0.04</v>
      </c>
      <c r="H359" s="29">
        <v>-0.04</v>
      </c>
      <c r="I359" s="30" t="s">
        <v>39</v>
      </c>
      <c r="J359" s="12">
        <f t="shared" si="53"/>
        <v>0.89</v>
      </c>
      <c r="K359" s="12">
        <f t="shared" si="54"/>
        <v>0.80999999999999994</v>
      </c>
      <c r="L359" s="78"/>
      <c r="M359" s="78"/>
      <c r="N359" s="78"/>
      <c r="O359" s="36"/>
      <c r="P359" s="24" t="str">
        <f t="shared" si="52"/>
        <v xml:space="preserve"> </v>
      </c>
      <c r="Q359" s="25" t="str">
        <f t="shared" si="52"/>
        <v xml:space="preserve"> </v>
      </c>
      <c r="R359" s="25" t="str">
        <f t="shared" si="52"/>
        <v xml:space="preserve"> </v>
      </c>
      <c r="S359" s="26" t="str">
        <f t="shared" si="42"/>
        <v xml:space="preserve"> </v>
      </c>
      <c r="T359" s="7" t="str">
        <f t="shared" si="43"/>
        <v xml:space="preserve"> </v>
      </c>
      <c r="U359" s="8" t="str">
        <f t="shared" si="44"/>
        <v xml:space="preserve"> </v>
      </c>
      <c r="V359" s="9" t="str">
        <f t="shared" si="45"/>
        <v xml:space="preserve"> </v>
      </c>
      <c r="W359" s="9" t="str">
        <f t="shared" si="46"/>
        <v/>
      </c>
      <c r="X359" s="32"/>
      <c r="Y359" s="36"/>
    </row>
    <row r="360" spans="1:25" s="4" customFormat="1" ht="18" customHeight="1">
      <c r="A360" s="36"/>
      <c r="B360" s="69" t="s">
        <v>906</v>
      </c>
      <c r="C360" s="69" t="s">
        <v>652</v>
      </c>
      <c r="D360" s="31" t="s">
        <v>708</v>
      </c>
      <c r="E360" s="29" t="s">
        <v>34</v>
      </c>
      <c r="F360" s="28">
        <v>0.85</v>
      </c>
      <c r="G360" s="29">
        <v>0.04</v>
      </c>
      <c r="H360" s="29">
        <v>-0.04</v>
      </c>
      <c r="I360" s="30" t="s">
        <v>39</v>
      </c>
      <c r="J360" s="12">
        <f t="shared" si="53"/>
        <v>0.89</v>
      </c>
      <c r="K360" s="12">
        <f t="shared" si="54"/>
        <v>0.80999999999999994</v>
      </c>
      <c r="L360" s="78"/>
      <c r="M360" s="78"/>
      <c r="N360" s="78"/>
      <c r="O360" s="36"/>
      <c r="P360" s="24" t="str">
        <f t="shared" si="52"/>
        <v xml:space="preserve"> </v>
      </c>
      <c r="Q360" s="25" t="str">
        <f t="shared" si="52"/>
        <v xml:space="preserve"> </v>
      </c>
      <c r="R360" s="25" t="str">
        <f t="shared" si="52"/>
        <v xml:space="preserve"> </v>
      </c>
      <c r="S360" s="26" t="str">
        <f t="shared" si="42"/>
        <v xml:space="preserve"> </v>
      </c>
      <c r="T360" s="7" t="str">
        <f t="shared" si="43"/>
        <v xml:space="preserve"> </v>
      </c>
      <c r="U360" s="8" t="str">
        <f t="shared" si="44"/>
        <v xml:space="preserve"> </v>
      </c>
      <c r="V360" s="9" t="str">
        <f t="shared" si="45"/>
        <v xml:space="preserve"> </v>
      </c>
      <c r="W360" s="9" t="str">
        <f t="shared" si="46"/>
        <v/>
      </c>
      <c r="X360" s="32"/>
      <c r="Y360" s="36"/>
    </row>
    <row r="361" spans="1:25" s="4" customFormat="1" ht="18" customHeight="1">
      <c r="A361" s="36"/>
      <c r="B361" s="69" t="s">
        <v>907</v>
      </c>
      <c r="C361" s="69" t="s">
        <v>653</v>
      </c>
      <c r="D361" s="31" t="s">
        <v>708</v>
      </c>
      <c r="E361" s="29" t="s">
        <v>34</v>
      </c>
      <c r="F361" s="28">
        <v>0.85</v>
      </c>
      <c r="G361" s="29">
        <v>0.04</v>
      </c>
      <c r="H361" s="29">
        <v>-0.04</v>
      </c>
      <c r="I361" s="30" t="s">
        <v>39</v>
      </c>
      <c r="J361" s="12">
        <f t="shared" si="53"/>
        <v>0.89</v>
      </c>
      <c r="K361" s="12">
        <f t="shared" si="54"/>
        <v>0.80999999999999994</v>
      </c>
      <c r="L361" s="78"/>
      <c r="M361" s="78"/>
      <c r="N361" s="78"/>
      <c r="O361" s="36"/>
      <c r="P361" s="24" t="str">
        <f t="shared" si="52"/>
        <v xml:space="preserve"> </v>
      </c>
      <c r="Q361" s="25" t="str">
        <f t="shared" si="52"/>
        <v xml:space="preserve"> </v>
      </c>
      <c r="R361" s="25" t="str">
        <f t="shared" si="52"/>
        <v xml:space="preserve"> </v>
      </c>
      <c r="S361" s="26" t="str">
        <f t="shared" si="42"/>
        <v xml:space="preserve"> </v>
      </c>
      <c r="T361" s="7" t="str">
        <f t="shared" si="43"/>
        <v xml:space="preserve"> </v>
      </c>
      <c r="U361" s="8" t="str">
        <f t="shared" si="44"/>
        <v xml:space="preserve"> </v>
      </c>
      <c r="V361" s="9" t="str">
        <f t="shared" si="45"/>
        <v xml:space="preserve"> </v>
      </c>
      <c r="W361" s="9" t="str">
        <f t="shared" si="46"/>
        <v/>
      </c>
      <c r="X361" s="32"/>
      <c r="Y361" s="36"/>
    </row>
    <row r="362" spans="1:25" s="4" customFormat="1" ht="18" customHeight="1">
      <c r="A362" s="36"/>
      <c r="B362" s="69" t="s">
        <v>908</v>
      </c>
      <c r="C362" s="69" t="s">
        <v>654</v>
      </c>
      <c r="D362" s="31" t="s">
        <v>708</v>
      </c>
      <c r="E362" s="29" t="s">
        <v>34</v>
      </c>
      <c r="F362" s="28">
        <v>0.85</v>
      </c>
      <c r="G362" s="29">
        <v>0.04</v>
      </c>
      <c r="H362" s="29">
        <v>-0.04</v>
      </c>
      <c r="I362" s="30" t="s">
        <v>39</v>
      </c>
      <c r="J362" s="12">
        <f t="shared" si="53"/>
        <v>0.89</v>
      </c>
      <c r="K362" s="12">
        <f t="shared" si="54"/>
        <v>0.80999999999999994</v>
      </c>
      <c r="L362" s="78"/>
      <c r="M362" s="78"/>
      <c r="N362" s="78"/>
      <c r="O362" s="36"/>
      <c r="P362" s="24" t="str">
        <f t="shared" si="52"/>
        <v xml:space="preserve"> </v>
      </c>
      <c r="Q362" s="25" t="str">
        <f t="shared" si="52"/>
        <v xml:space="preserve"> </v>
      </c>
      <c r="R362" s="25" t="str">
        <f t="shared" si="52"/>
        <v xml:space="preserve"> </v>
      </c>
      <c r="S362" s="26" t="str">
        <f t="shared" si="42"/>
        <v xml:space="preserve"> </v>
      </c>
      <c r="T362" s="7" t="str">
        <f t="shared" si="43"/>
        <v xml:space="preserve"> </v>
      </c>
      <c r="U362" s="8" t="str">
        <f t="shared" si="44"/>
        <v xml:space="preserve"> </v>
      </c>
      <c r="V362" s="9" t="str">
        <f t="shared" si="45"/>
        <v xml:space="preserve"> </v>
      </c>
      <c r="W362" s="9" t="str">
        <f t="shared" si="46"/>
        <v/>
      </c>
      <c r="X362" s="32"/>
      <c r="Y362" s="36"/>
    </row>
    <row r="363" spans="1:25" s="4" customFormat="1" ht="18" customHeight="1">
      <c r="A363" s="36"/>
      <c r="B363" s="69" t="s">
        <v>909</v>
      </c>
      <c r="C363" s="69" t="s">
        <v>655</v>
      </c>
      <c r="D363" s="31" t="s">
        <v>708</v>
      </c>
      <c r="E363" s="29" t="s">
        <v>34</v>
      </c>
      <c r="F363" s="28">
        <v>0.85</v>
      </c>
      <c r="G363" s="29">
        <v>0.04</v>
      </c>
      <c r="H363" s="29">
        <v>-0.04</v>
      </c>
      <c r="I363" s="30" t="s">
        <v>39</v>
      </c>
      <c r="J363" s="12">
        <f t="shared" si="53"/>
        <v>0.89</v>
      </c>
      <c r="K363" s="12">
        <f t="shared" si="54"/>
        <v>0.80999999999999994</v>
      </c>
      <c r="L363" s="78"/>
      <c r="M363" s="78"/>
      <c r="N363" s="78"/>
      <c r="O363" s="36"/>
      <c r="P363" s="24" t="str">
        <f t="shared" si="52"/>
        <v xml:space="preserve"> </v>
      </c>
      <c r="Q363" s="25" t="str">
        <f t="shared" si="52"/>
        <v xml:space="preserve"> </v>
      </c>
      <c r="R363" s="25" t="str">
        <f t="shared" si="52"/>
        <v xml:space="preserve"> </v>
      </c>
      <c r="S363" s="26" t="str">
        <f t="shared" si="42"/>
        <v xml:space="preserve"> </v>
      </c>
      <c r="T363" s="7" t="str">
        <f t="shared" si="43"/>
        <v xml:space="preserve"> </v>
      </c>
      <c r="U363" s="8" t="str">
        <f t="shared" si="44"/>
        <v xml:space="preserve"> </v>
      </c>
      <c r="V363" s="9" t="str">
        <f t="shared" si="45"/>
        <v xml:space="preserve"> </v>
      </c>
      <c r="W363" s="9" t="str">
        <f t="shared" si="46"/>
        <v/>
      </c>
      <c r="X363" s="32"/>
      <c r="Y363" s="36"/>
    </row>
    <row r="364" spans="1:25" s="4" customFormat="1" ht="18" customHeight="1">
      <c r="A364" s="36"/>
      <c r="B364" s="69" t="s">
        <v>910</v>
      </c>
      <c r="C364" s="69" t="s">
        <v>656</v>
      </c>
      <c r="D364" s="31" t="s">
        <v>708</v>
      </c>
      <c r="E364" s="29" t="s">
        <v>34</v>
      </c>
      <c r="F364" s="28">
        <v>0.85</v>
      </c>
      <c r="G364" s="29">
        <v>0.04</v>
      </c>
      <c r="H364" s="29">
        <v>-0.04</v>
      </c>
      <c r="I364" s="30" t="s">
        <v>39</v>
      </c>
      <c r="J364" s="12">
        <f t="shared" si="53"/>
        <v>0.89</v>
      </c>
      <c r="K364" s="12">
        <f t="shared" si="54"/>
        <v>0.80999999999999994</v>
      </c>
      <c r="L364" s="78"/>
      <c r="M364" s="78"/>
      <c r="N364" s="78"/>
      <c r="O364" s="36"/>
      <c r="P364" s="24" t="str">
        <f t="shared" si="52"/>
        <v xml:space="preserve"> </v>
      </c>
      <c r="Q364" s="25" t="str">
        <f t="shared" si="52"/>
        <v xml:space="preserve"> </v>
      </c>
      <c r="R364" s="25" t="str">
        <f t="shared" si="52"/>
        <v xml:space="preserve"> </v>
      </c>
      <c r="S364" s="26" t="str">
        <f t="shared" si="42"/>
        <v xml:space="preserve"> </v>
      </c>
      <c r="T364" s="7" t="str">
        <f t="shared" si="43"/>
        <v xml:space="preserve"> </v>
      </c>
      <c r="U364" s="8" t="str">
        <f t="shared" si="44"/>
        <v xml:space="preserve"> </v>
      </c>
      <c r="V364" s="9" t="str">
        <f t="shared" si="45"/>
        <v xml:space="preserve"> </v>
      </c>
      <c r="W364" s="9" t="str">
        <f t="shared" si="46"/>
        <v/>
      </c>
      <c r="X364" s="32"/>
      <c r="Y364" s="36"/>
    </row>
    <row r="365" spans="1:25" s="4" customFormat="1" ht="18" customHeight="1">
      <c r="A365" s="36"/>
      <c r="B365" s="69" t="s">
        <v>911</v>
      </c>
      <c r="C365" s="69" t="s">
        <v>657</v>
      </c>
      <c r="D365" s="31" t="s">
        <v>708</v>
      </c>
      <c r="E365" s="29" t="s">
        <v>34</v>
      </c>
      <c r="F365" s="28">
        <v>0.85</v>
      </c>
      <c r="G365" s="29">
        <v>0.04</v>
      </c>
      <c r="H365" s="29">
        <v>-0.04</v>
      </c>
      <c r="I365" s="30" t="s">
        <v>39</v>
      </c>
      <c r="J365" s="12">
        <f t="shared" si="53"/>
        <v>0.89</v>
      </c>
      <c r="K365" s="12">
        <f t="shared" si="54"/>
        <v>0.80999999999999994</v>
      </c>
      <c r="L365" s="78"/>
      <c r="M365" s="78"/>
      <c r="N365" s="78"/>
      <c r="O365" s="36"/>
      <c r="P365" s="24" t="str">
        <f t="shared" si="52"/>
        <v xml:space="preserve"> </v>
      </c>
      <c r="Q365" s="25" t="str">
        <f t="shared" si="52"/>
        <v xml:space="preserve"> </v>
      </c>
      <c r="R365" s="25" t="str">
        <f t="shared" si="52"/>
        <v xml:space="preserve"> </v>
      </c>
      <c r="S365" s="26" t="str">
        <f t="shared" si="42"/>
        <v xml:space="preserve"> </v>
      </c>
      <c r="T365" s="7" t="str">
        <f t="shared" si="43"/>
        <v xml:space="preserve"> </v>
      </c>
      <c r="U365" s="8" t="str">
        <f t="shared" si="44"/>
        <v xml:space="preserve"> </v>
      </c>
      <c r="V365" s="9" t="str">
        <f t="shared" si="45"/>
        <v xml:space="preserve"> </v>
      </c>
      <c r="W365" s="9" t="str">
        <f t="shared" si="46"/>
        <v/>
      </c>
      <c r="X365" s="32"/>
      <c r="Y365" s="36"/>
    </row>
    <row r="366" spans="1:25" s="4" customFormat="1" ht="18" customHeight="1">
      <c r="A366" s="36"/>
      <c r="B366" s="69" t="s">
        <v>912</v>
      </c>
      <c r="C366" s="69" t="s">
        <v>658</v>
      </c>
      <c r="D366" s="31" t="s">
        <v>708</v>
      </c>
      <c r="E366" s="29" t="s">
        <v>34</v>
      </c>
      <c r="F366" s="28">
        <v>0.85</v>
      </c>
      <c r="G366" s="29">
        <v>0.04</v>
      </c>
      <c r="H366" s="29">
        <v>-0.04</v>
      </c>
      <c r="I366" s="30" t="s">
        <v>39</v>
      </c>
      <c r="J366" s="12">
        <f t="shared" si="53"/>
        <v>0.89</v>
      </c>
      <c r="K366" s="12">
        <f t="shared" si="54"/>
        <v>0.80999999999999994</v>
      </c>
      <c r="L366" s="78"/>
      <c r="M366" s="78"/>
      <c r="N366" s="78"/>
      <c r="O366" s="36"/>
      <c r="P366" s="24" t="str">
        <f t="shared" si="52"/>
        <v xml:space="preserve"> </v>
      </c>
      <c r="Q366" s="25" t="str">
        <f t="shared" si="52"/>
        <v xml:space="preserve"> </v>
      </c>
      <c r="R366" s="25" t="str">
        <f t="shared" si="52"/>
        <v xml:space="preserve"> </v>
      </c>
      <c r="S366" s="26" t="str">
        <f t="shared" si="42"/>
        <v xml:space="preserve"> </v>
      </c>
      <c r="T366" s="7" t="str">
        <f t="shared" si="43"/>
        <v xml:space="preserve"> </v>
      </c>
      <c r="U366" s="8" t="str">
        <f t="shared" si="44"/>
        <v xml:space="preserve"> </v>
      </c>
      <c r="V366" s="9" t="str">
        <f t="shared" si="45"/>
        <v xml:space="preserve"> </v>
      </c>
      <c r="W366" s="9" t="str">
        <f t="shared" si="46"/>
        <v/>
      </c>
      <c r="X366" s="32"/>
      <c r="Y366" s="36"/>
    </row>
    <row r="367" spans="1:25" s="4" customFormat="1" ht="18" customHeight="1">
      <c r="A367" s="36"/>
      <c r="B367" s="69" t="s">
        <v>913</v>
      </c>
      <c r="C367" s="69" t="s">
        <v>659</v>
      </c>
      <c r="D367" s="31" t="s">
        <v>708</v>
      </c>
      <c r="E367" s="29" t="s">
        <v>34</v>
      </c>
      <c r="F367" s="28">
        <v>0.85</v>
      </c>
      <c r="G367" s="29">
        <v>0.04</v>
      </c>
      <c r="H367" s="29">
        <v>-0.04</v>
      </c>
      <c r="I367" s="30" t="s">
        <v>39</v>
      </c>
      <c r="J367" s="12">
        <f t="shared" si="53"/>
        <v>0.89</v>
      </c>
      <c r="K367" s="12">
        <f t="shared" si="54"/>
        <v>0.80999999999999994</v>
      </c>
      <c r="L367" s="78"/>
      <c r="M367" s="78"/>
      <c r="N367" s="78"/>
      <c r="O367" s="36"/>
      <c r="P367" s="24" t="str">
        <f t="shared" ref="P367:R451" si="55">IF(ISERR(L367/L367)=TRUE," ",L367-$F367)</f>
        <v xml:space="preserve"> </v>
      </c>
      <c r="Q367" s="25" t="str">
        <f t="shared" si="55"/>
        <v xml:space="preserve"> </v>
      </c>
      <c r="R367" s="25" t="str">
        <f t="shared" si="55"/>
        <v xml:space="preserve"> </v>
      </c>
      <c r="S367" s="26" t="str">
        <f t="shared" si="42"/>
        <v xml:space="preserve"> </v>
      </c>
      <c r="T367" s="7" t="str">
        <f t="shared" si="43"/>
        <v xml:space="preserve"> </v>
      </c>
      <c r="U367" s="8" t="str">
        <f t="shared" si="44"/>
        <v xml:space="preserve"> </v>
      </c>
      <c r="V367" s="9" t="str">
        <f t="shared" si="45"/>
        <v xml:space="preserve"> </v>
      </c>
      <c r="W367" s="9" t="str">
        <f t="shared" si="46"/>
        <v/>
      </c>
      <c r="X367" s="32"/>
      <c r="Y367" s="36"/>
    </row>
    <row r="368" spans="1:25" s="4" customFormat="1" ht="18" customHeight="1">
      <c r="A368" s="36"/>
      <c r="B368" s="69" t="s">
        <v>914</v>
      </c>
      <c r="C368" s="69" t="s">
        <v>660</v>
      </c>
      <c r="D368" s="31" t="s">
        <v>708</v>
      </c>
      <c r="E368" s="29" t="s">
        <v>34</v>
      </c>
      <c r="F368" s="28">
        <v>0.85</v>
      </c>
      <c r="G368" s="29">
        <v>0.04</v>
      </c>
      <c r="H368" s="29">
        <v>-0.04</v>
      </c>
      <c r="I368" s="30" t="s">
        <v>39</v>
      </c>
      <c r="J368" s="12">
        <f t="shared" si="53"/>
        <v>0.89</v>
      </c>
      <c r="K368" s="12">
        <f t="shared" si="54"/>
        <v>0.80999999999999994</v>
      </c>
      <c r="L368" s="78"/>
      <c r="M368" s="78"/>
      <c r="N368" s="78"/>
      <c r="O368" s="36"/>
      <c r="P368" s="24" t="str">
        <f t="shared" si="55"/>
        <v xml:space="preserve"> </v>
      </c>
      <c r="Q368" s="25" t="str">
        <f t="shared" si="55"/>
        <v xml:space="preserve"> </v>
      </c>
      <c r="R368" s="25" t="str">
        <f t="shared" si="55"/>
        <v xml:space="preserve"> </v>
      </c>
      <c r="S368" s="26" t="str">
        <f t="shared" si="42"/>
        <v xml:space="preserve"> </v>
      </c>
      <c r="T368" s="7" t="str">
        <f t="shared" si="43"/>
        <v xml:space="preserve"> </v>
      </c>
      <c r="U368" s="8" t="str">
        <f t="shared" si="44"/>
        <v xml:space="preserve"> </v>
      </c>
      <c r="V368" s="9" t="str">
        <f t="shared" si="45"/>
        <v xml:space="preserve"> </v>
      </c>
      <c r="W368" s="9" t="str">
        <f t="shared" si="46"/>
        <v/>
      </c>
      <c r="X368" s="32"/>
      <c r="Y368" s="36"/>
    </row>
    <row r="369" spans="1:25" s="4" customFormat="1" ht="18" customHeight="1">
      <c r="A369" s="36"/>
      <c r="B369" s="69" t="s">
        <v>915</v>
      </c>
      <c r="C369" s="69" t="s">
        <v>661</v>
      </c>
      <c r="D369" s="31" t="s">
        <v>708</v>
      </c>
      <c r="E369" s="29" t="s">
        <v>34</v>
      </c>
      <c r="F369" s="28">
        <v>0.85</v>
      </c>
      <c r="G369" s="29">
        <v>0.04</v>
      </c>
      <c r="H369" s="29">
        <v>-0.04</v>
      </c>
      <c r="I369" s="30" t="s">
        <v>39</v>
      </c>
      <c r="J369" s="12">
        <f t="shared" si="53"/>
        <v>0.89</v>
      </c>
      <c r="K369" s="12">
        <f t="shared" si="54"/>
        <v>0.80999999999999994</v>
      </c>
      <c r="L369" s="78"/>
      <c r="M369" s="78"/>
      <c r="N369" s="78"/>
      <c r="O369" s="36"/>
      <c r="P369" s="24" t="str">
        <f t="shared" si="55"/>
        <v xml:space="preserve"> </v>
      </c>
      <c r="Q369" s="25" t="str">
        <f t="shared" si="55"/>
        <v xml:space="preserve"> </v>
      </c>
      <c r="R369" s="25" t="str">
        <f t="shared" si="55"/>
        <v xml:space="preserve"> </v>
      </c>
      <c r="S369" s="26" t="str">
        <f t="shared" si="42"/>
        <v xml:space="preserve"> </v>
      </c>
      <c r="T369" s="7" t="str">
        <f t="shared" si="43"/>
        <v xml:space="preserve"> </v>
      </c>
      <c r="U369" s="8" t="str">
        <f t="shared" si="44"/>
        <v xml:space="preserve"> </v>
      </c>
      <c r="V369" s="9" t="str">
        <f t="shared" si="45"/>
        <v xml:space="preserve"> </v>
      </c>
      <c r="W369" s="9" t="str">
        <f t="shared" si="46"/>
        <v/>
      </c>
      <c r="X369" s="32"/>
      <c r="Y369" s="36"/>
    </row>
    <row r="370" spans="1:25" s="4" customFormat="1" ht="18" customHeight="1">
      <c r="A370" s="36"/>
      <c r="B370" s="69" t="s">
        <v>916</v>
      </c>
      <c r="C370" s="69" t="s">
        <v>662</v>
      </c>
      <c r="D370" s="31" t="s">
        <v>708</v>
      </c>
      <c r="E370" s="29" t="s">
        <v>34</v>
      </c>
      <c r="F370" s="28">
        <v>0.85</v>
      </c>
      <c r="G370" s="29">
        <v>0.04</v>
      </c>
      <c r="H370" s="29">
        <v>-0.04</v>
      </c>
      <c r="I370" s="30" t="s">
        <v>39</v>
      </c>
      <c r="J370" s="12">
        <f t="shared" si="53"/>
        <v>0.89</v>
      </c>
      <c r="K370" s="12">
        <f t="shared" si="54"/>
        <v>0.80999999999999994</v>
      </c>
      <c r="L370" s="78"/>
      <c r="M370" s="78"/>
      <c r="N370" s="78"/>
      <c r="O370" s="36"/>
      <c r="P370" s="24" t="str">
        <f t="shared" si="55"/>
        <v xml:space="preserve"> </v>
      </c>
      <c r="Q370" s="25" t="str">
        <f t="shared" si="55"/>
        <v xml:space="preserve"> </v>
      </c>
      <c r="R370" s="25" t="str">
        <f t="shared" si="55"/>
        <v xml:space="preserve"> </v>
      </c>
      <c r="S370" s="26" t="str">
        <f t="shared" si="42"/>
        <v xml:space="preserve"> </v>
      </c>
      <c r="T370" s="7" t="str">
        <f t="shared" si="43"/>
        <v xml:space="preserve"> </v>
      </c>
      <c r="U370" s="8" t="str">
        <f t="shared" si="44"/>
        <v xml:space="preserve"> </v>
      </c>
      <c r="V370" s="9" t="str">
        <f t="shared" si="45"/>
        <v xml:space="preserve"> </v>
      </c>
      <c r="W370" s="9" t="str">
        <f t="shared" si="46"/>
        <v/>
      </c>
      <c r="X370" s="32"/>
      <c r="Y370" s="36"/>
    </row>
    <row r="371" spans="1:25" s="4" customFormat="1" ht="18" customHeight="1">
      <c r="A371" s="36"/>
      <c r="B371" s="69" t="s">
        <v>917</v>
      </c>
      <c r="C371" s="69" t="s">
        <v>663</v>
      </c>
      <c r="D371" s="31" t="s">
        <v>708</v>
      </c>
      <c r="E371" s="29" t="s">
        <v>34</v>
      </c>
      <c r="F371" s="28">
        <v>0.85</v>
      </c>
      <c r="G371" s="29">
        <v>0.04</v>
      </c>
      <c r="H371" s="29">
        <v>-0.04</v>
      </c>
      <c r="I371" s="30" t="s">
        <v>39</v>
      </c>
      <c r="J371" s="12">
        <f t="shared" si="53"/>
        <v>0.89</v>
      </c>
      <c r="K371" s="12">
        <f t="shared" si="54"/>
        <v>0.80999999999999994</v>
      </c>
      <c r="L371" s="78"/>
      <c r="M371" s="78"/>
      <c r="N371" s="78"/>
      <c r="O371" s="36"/>
      <c r="P371" s="24" t="str">
        <f t="shared" si="55"/>
        <v xml:space="preserve"> </v>
      </c>
      <c r="Q371" s="25" t="str">
        <f t="shared" si="55"/>
        <v xml:space="preserve"> </v>
      </c>
      <c r="R371" s="25" t="str">
        <f t="shared" si="55"/>
        <v xml:space="preserve"> </v>
      </c>
      <c r="S371" s="26" t="str">
        <f t="shared" si="42"/>
        <v xml:space="preserve"> </v>
      </c>
      <c r="T371" s="7" t="str">
        <f t="shared" si="43"/>
        <v xml:space="preserve"> </v>
      </c>
      <c r="U371" s="8" t="str">
        <f t="shared" si="44"/>
        <v xml:space="preserve"> </v>
      </c>
      <c r="V371" s="9" t="str">
        <f t="shared" si="45"/>
        <v xml:space="preserve"> </v>
      </c>
      <c r="W371" s="9" t="str">
        <f t="shared" si="46"/>
        <v/>
      </c>
      <c r="X371" s="32"/>
      <c r="Y371" s="36"/>
    </row>
    <row r="372" spans="1:25" s="4" customFormat="1" ht="18" customHeight="1">
      <c r="A372" s="36"/>
      <c r="B372" s="69" t="s">
        <v>918</v>
      </c>
      <c r="C372" s="69" t="s">
        <v>664</v>
      </c>
      <c r="D372" s="31" t="s">
        <v>708</v>
      </c>
      <c r="E372" s="29" t="s">
        <v>34</v>
      </c>
      <c r="F372" s="28">
        <v>0.85</v>
      </c>
      <c r="G372" s="29">
        <v>0.04</v>
      </c>
      <c r="H372" s="29">
        <v>-0.04</v>
      </c>
      <c r="I372" s="30" t="s">
        <v>39</v>
      </c>
      <c r="J372" s="12">
        <f t="shared" si="53"/>
        <v>0.89</v>
      </c>
      <c r="K372" s="12">
        <f t="shared" si="54"/>
        <v>0.80999999999999994</v>
      </c>
      <c r="L372" s="78"/>
      <c r="M372" s="78"/>
      <c r="N372" s="78"/>
      <c r="O372" s="36"/>
      <c r="P372" s="24" t="str">
        <f t="shared" si="55"/>
        <v xml:space="preserve"> </v>
      </c>
      <c r="Q372" s="25" t="str">
        <f t="shared" si="55"/>
        <v xml:space="preserve"> </v>
      </c>
      <c r="R372" s="25" t="str">
        <f t="shared" si="55"/>
        <v xml:space="preserve"> </v>
      </c>
      <c r="S372" s="26" t="str">
        <f t="shared" si="42"/>
        <v xml:space="preserve"> </v>
      </c>
      <c r="T372" s="7" t="str">
        <f t="shared" si="43"/>
        <v xml:space="preserve"> </v>
      </c>
      <c r="U372" s="8" t="str">
        <f t="shared" si="44"/>
        <v xml:space="preserve"> </v>
      </c>
      <c r="V372" s="9" t="str">
        <f t="shared" si="45"/>
        <v xml:space="preserve"> </v>
      </c>
      <c r="W372" s="9" t="str">
        <f t="shared" si="46"/>
        <v/>
      </c>
      <c r="X372" s="32"/>
      <c r="Y372" s="36"/>
    </row>
    <row r="373" spans="1:25" s="4" customFormat="1" ht="18" customHeight="1">
      <c r="A373" s="36"/>
      <c r="B373" s="69" t="s">
        <v>919</v>
      </c>
      <c r="C373" s="69" t="s">
        <v>665</v>
      </c>
      <c r="D373" s="31" t="s">
        <v>708</v>
      </c>
      <c r="E373" s="29" t="s">
        <v>34</v>
      </c>
      <c r="F373" s="28">
        <v>0.85</v>
      </c>
      <c r="G373" s="29">
        <v>0.04</v>
      </c>
      <c r="H373" s="29">
        <v>-0.04</v>
      </c>
      <c r="I373" s="30" t="s">
        <v>39</v>
      </c>
      <c r="J373" s="12">
        <f t="shared" si="53"/>
        <v>0.89</v>
      </c>
      <c r="K373" s="12">
        <f t="shared" si="54"/>
        <v>0.80999999999999994</v>
      </c>
      <c r="L373" s="78"/>
      <c r="M373" s="78"/>
      <c r="N373" s="78"/>
      <c r="O373" s="36"/>
      <c r="P373" s="24" t="str">
        <f t="shared" si="55"/>
        <v xml:space="preserve"> </v>
      </c>
      <c r="Q373" s="25" t="str">
        <f t="shared" si="55"/>
        <v xml:space="preserve"> </v>
      </c>
      <c r="R373" s="25" t="str">
        <f t="shared" si="55"/>
        <v xml:space="preserve"> </v>
      </c>
      <c r="S373" s="26" t="str">
        <f t="shared" si="42"/>
        <v xml:space="preserve"> </v>
      </c>
      <c r="T373" s="7" t="str">
        <f t="shared" si="43"/>
        <v xml:space="preserve"> </v>
      </c>
      <c r="U373" s="8" t="str">
        <f t="shared" si="44"/>
        <v xml:space="preserve"> </v>
      </c>
      <c r="V373" s="9" t="str">
        <f t="shared" si="45"/>
        <v xml:space="preserve"> </v>
      </c>
      <c r="W373" s="9" t="str">
        <f t="shared" si="46"/>
        <v/>
      </c>
      <c r="X373" s="32"/>
      <c r="Y373" s="36"/>
    </row>
    <row r="374" spans="1:25" s="4" customFormat="1" ht="18" customHeight="1">
      <c r="A374" s="36"/>
      <c r="B374" s="69" t="s">
        <v>920</v>
      </c>
      <c r="C374" s="69" t="s">
        <v>666</v>
      </c>
      <c r="D374" s="31" t="s">
        <v>708</v>
      </c>
      <c r="E374" s="29" t="s">
        <v>34</v>
      </c>
      <c r="F374" s="28">
        <v>0.85</v>
      </c>
      <c r="G374" s="29">
        <v>0.04</v>
      </c>
      <c r="H374" s="29">
        <v>-0.04</v>
      </c>
      <c r="I374" s="30" t="s">
        <v>39</v>
      </c>
      <c r="J374" s="12">
        <f t="shared" si="53"/>
        <v>0.89</v>
      </c>
      <c r="K374" s="12">
        <f t="shared" si="54"/>
        <v>0.80999999999999994</v>
      </c>
      <c r="L374" s="78"/>
      <c r="M374" s="78"/>
      <c r="N374" s="78"/>
      <c r="O374" s="36"/>
      <c r="P374" s="24" t="str">
        <f t="shared" si="55"/>
        <v xml:space="preserve"> </v>
      </c>
      <c r="Q374" s="25" t="str">
        <f t="shared" si="55"/>
        <v xml:space="preserve"> </v>
      </c>
      <c r="R374" s="25" t="str">
        <f t="shared" si="55"/>
        <v xml:space="preserve"> </v>
      </c>
      <c r="S374" s="26" t="str">
        <f t="shared" si="42"/>
        <v xml:space="preserve"> </v>
      </c>
      <c r="T374" s="7" t="str">
        <f t="shared" si="43"/>
        <v xml:space="preserve"> </v>
      </c>
      <c r="U374" s="8" t="str">
        <f t="shared" si="44"/>
        <v xml:space="preserve"> </v>
      </c>
      <c r="V374" s="9" t="str">
        <f t="shared" si="45"/>
        <v xml:space="preserve"> </v>
      </c>
      <c r="W374" s="9" t="str">
        <f t="shared" si="46"/>
        <v/>
      </c>
      <c r="X374" s="32"/>
      <c r="Y374" s="36"/>
    </row>
    <row r="375" spans="1:25" s="4" customFormat="1" ht="18" customHeight="1">
      <c r="A375" s="36"/>
      <c r="B375" s="69" t="s">
        <v>921</v>
      </c>
      <c r="C375" s="69" t="s">
        <v>667</v>
      </c>
      <c r="D375" s="31" t="s">
        <v>708</v>
      </c>
      <c r="E375" s="29" t="s">
        <v>34</v>
      </c>
      <c r="F375" s="28">
        <v>0.85</v>
      </c>
      <c r="G375" s="29">
        <v>0.04</v>
      </c>
      <c r="H375" s="29">
        <v>-0.04</v>
      </c>
      <c r="I375" s="30" t="s">
        <v>39</v>
      </c>
      <c r="J375" s="12">
        <f t="shared" si="53"/>
        <v>0.89</v>
      </c>
      <c r="K375" s="12">
        <f t="shared" si="54"/>
        <v>0.80999999999999994</v>
      </c>
      <c r="L375" s="78"/>
      <c r="M375" s="78"/>
      <c r="N375" s="78"/>
      <c r="O375" s="36"/>
      <c r="P375" s="24" t="str">
        <f t="shared" si="55"/>
        <v xml:space="preserve"> </v>
      </c>
      <c r="Q375" s="25" t="str">
        <f t="shared" si="55"/>
        <v xml:space="preserve"> </v>
      </c>
      <c r="R375" s="25" t="str">
        <f t="shared" si="55"/>
        <v xml:space="preserve"> </v>
      </c>
      <c r="S375" s="26" t="str">
        <f t="shared" si="42"/>
        <v xml:space="preserve"> </v>
      </c>
      <c r="T375" s="7" t="str">
        <f t="shared" si="43"/>
        <v xml:space="preserve"> </v>
      </c>
      <c r="U375" s="8" t="str">
        <f t="shared" si="44"/>
        <v xml:space="preserve"> </v>
      </c>
      <c r="V375" s="9" t="str">
        <f t="shared" si="45"/>
        <v xml:space="preserve"> </v>
      </c>
      <c r="W375" s="9" t="str">
        <f t="shared" si="46"/>
        <v/>
      </c>
      <c r="X375" s="32"/>
      <c r="Y375" s="36"/>
    </row>
    <row r="376" spans="1:25" s="4" customFormat="1" ht="18" customHeight="1">
      <c r="A376" s="36"/>
      <c r="B376" s="69" t="s">
        <v>922</v>
      </c>
      <c r="C376" s="69" t="s">
        <v>668</v>
      </c>
      <c r="D376" s="31" t="s">
        <v>708</v>
      </c>
      <c r="E376" s="29" t="s">
        <v>34</v>
      </c>
      <c r="F376" s="28">
        <v>0.85</v>
      </c>
      <c r="G376" s="29">
        <v>0.04</v>
      </c>
      <c r="H376" s="29">
        <v>-0.04</v>
      </c>
      <c r="I376" s="30" t="s">
        <v>39</v>
      </c>
      <c r="J376" s="12">
        <f t="shared" si="53"/>
        <v>0.89</v>
      </c>
      <c r="K376" s="12">
        <f t="shared" si="54"/>
        <v>0.80999999999999994</v>
      </c>
      <c r="L376" s="78"/>
      <c r="M376" s="78"/>
      <c r="N376" s="78"/>
      <c r="O376" s="36"/>
      <c r="P376" s="24" t="str">
        <f t="shared" si="55"/>
        <v xml:space="preserve"> </v>
      </c>
      <c r="Q376" s="25" t="str">
        <f t="shared" si="55"/>
        <v xml:space="preserve"> </v>
      </c>
      <c r="R376" s="25" t="str">
        <f t="shared" si="55"/>
        <v xml:space="preserve"> </v>
      </c>
      <c r="S376" s="26" t="str">
        <f t="shared" si="42"/>
        <v xml:space="preserve"> </v>
      </c>
      <c r="T376" s="7" t="str">
        <f t="shared" si="43"/>
        <v xml:space="preserve"> </v>
      </c>
      <c r="U376" s="8" t="str">
        <f t="shared" si="44"/>
        <v xml:space="preserve"> </v>
      </c>
      <c r="V376" s="9" t="str">
        <f t="shared" si="45"/>
        <v xml:space="preserve"> </v>
      </c>
      <c r="W376" s="9" t="str">
        <f t="shared" si="46"/>
        <v/>
      </c>
      <c r="X376" s="32"/>
      <c r="Y376" s="36"/>
    </row>
    <row r="377" spans="1:25" s="4" customFormat="1" ht="18" customHeight="1">
      <c r="A377" s="36"/>
      <c r="B377" s="69" t="s">
        <v>923</v>
      </c>
      <c r="C377" s="69" t="s">
        <v>669</v>
      </c>
      <c r="D377" s="31" t="s">
        <v>708</v>
      </c>
      <c r="E377" s="29" t="s">
        <v>34</v>
      </c>
      <c r="F377" s="28">
        <v>0.85</v>
      </c>
      <c r="G377" s="29">
        <v>0.04</v>
      </c>
      <c r="H377" s="29">
        <v>-0.04</v>
      </c>
      <c r="I377" s="30" t="s">
        <v>39</v>
      </c>
      <c r="J377" s="12">
        <f t="shared" si="53"/>
        <v>0.89</v>
      </c>
      <c r="K377" s="12">
        <f t="shared" si="54"/>
        <v>0.80999999999999994</v>
      </c>
      <c r="L377" s="78"/>
      <c r="M377" s="78"/>
      <c r="N377" s="78"/>
      <c r="O377" s="36"/>
      <c r="P377" s="24" t="str">
        <f t="shared" si="55"/>
        <v xml:space="preserve"> </v>
      </c>
      <c r="Q377" s="25" t="str">
        <f t="shared" si="55"/>
        <v xml:space="preserve"> </v>
      </c>
      <c r="R377" s="25" t="str">
        <f t="shared" si="55"/>
        <v xml:space="preserve"> </v>
      </c>
      <c r="S377" s="26" t="str">
        <f t="shared" si="42"/>
        <v xml:space="preserve"> </v>
      </c>
      <c r="T377" s="7" t="str">
        <f t="shared" si="43"/>
        <v xml:space="preserve"> </v>
      </c>
      <c r="U377" s="8" t="str">
        <f t="shared" si="44"/>
        <v xml:space="preserve"> </v>
      </c>
      <c r="V377" s="9" t="str">
        <f t="shared" si="45"/>
        <v xml:space="preserve"> </v>
      </c>
      <c r="W377" s="9" t="str">
        <f t="shared" si="46"/>
        <v/>
      </c>
      <c r="X377" s="32"/>
      <c r="Y377" s="36"/>
    </row>
    <row r="378" spans="1:25" s="4" customFormat="1" ht="18" customHeight="1">
      <c r="A378" s="36"/>
      <c r="B378" s="69" t="s">
        <v>924</v>
      </c>
      <c r="C378" s="69" t="s">
        <v>670</v>
      </c>
      <c r="D378" s="31" t="s">
        <v>708</v>
      </c>
      <c r="E378" s="29" t="s">
        <v>34</v>
      </c>
      <c r="F378" s="28">
        <v>0.85</v>
      </c>
      <c r="G378" s="29">
        <v>0.04</v>
      </c>
      <c r="H378" s="29">
        <v>-0.04</v>
      </c>
      <c r="I378" s="30" t="s">
        <v>39</v>
      </c>
      <c r="J378" s="12">
        <f t="shared" si="53"/>
        <v>0.89</v>
      </c>
      <c r="K378" s="12">
        <f t="shared" si="54"/>
        <v>0.80999999999999994</v>
      </c>
      <c r="L378" s="78"/>
      <c r="M378" s="78"/>
      <c r="N378" s="78"/>
      <c r="O378" s="36"/>
      <c r="P378" s="24" t="str">
        <f t="shared" si="55"/>
        <v xml:space="preserve"> </v>
      </c>
      <c r="Q378" s="25" t="str">
        <f t="shared" si="55"/>
        <v xml:space="preserve"> </v>
      </c>
      <c r="R378" s="25" t="str">
        <f t="shared" si="55"/>
        <v xml:space="preserve"> </v>
      </c>
      <c r="S378" s="26" t="str">
        <f t="shared" si="42"/>
        <v xml:space="preserve"> </v>
      </c>
      <c r="T378" s="7" t="str">
        <f t="shared" si="43"/>
        <v xml:space="preserve"> </v>
      </c>
      <c r="U378" s="8" t="str">
        <f t="shared" si="44"/>
        <v xml:space="preserve"> </v>
      </c>
      <c r="V378" s="9" t="str">
        <f t="shared" si="45"/>
        <v xml:space="preserve"> </v>
      </c>
      <c r="W378" s="9" t="str">
        <f t="shared" si="46"/>
        <v/>
      </c>
      <c r="X378" s="32"/>
      <c r="Y378" s="36"/>
    </row>
    <row r="379" spans="1:25" s="4" customFormat="1" ht="18" customHeight="1">
      <c r="A379" s="36"/>
      <c r="B379" s="69" t="s">
        <v>925</v>
      </c>
      <c r="C379" s="69" t="s">
        <v>671</v>
      </c>
      <c r="D379" s="31" t="s">
        <v>708</v>
      </c>
      <c r="E379" s="29" t="s">
        <v>34</v>
      </c>
      <c r="F379" s="28">
        <v>0.85</v>
      </c>
      <c r="G379" s="29">
        <v>0.04</v>
      </c>
      <c r="H379" s="29">
        <v>-0.04</v>
      </c>
      <c r="I379" s="30" t="s">
        <v>39</v>
      </c>
      <c r="J379" s="12">
        <f t="shared" si="53"/>
        <v>0.89</v>
      </c>
      <c r="K379" s="12">
        <f t="shared" si="54"/>
        <v>0.80999999999999994</v>
      </c>
      <c r="L379" s="78"/>
      <c r="M379" s="78"/>
      <c r="N379" s="78"/>
      <c r="O379" s="36"/>
      <c r="P379" s="24" t="str">
        <f t="shared" si="55"/>
        <v xml:space="preserve"> </v>
      </c>
      <c r="Q379" s="25" t="str">
        <f t="shared" si="55"/>
        <v xml:space="preserve"> </v>
      </c>
      <c r="R379" s="25" t="str">
        <f t="shared" si="55"/>
        <v xml:space="preserve"> </v>
      </c>
      <c r="S379" s="26" t="str">
        <f t="shared" si="42"/>
        <v xml:space="preserve"> </v>
      </c>
      <c r="T379" s="7" t="str">
        <f t="shared" si="43"/>
        <v xml:space="preserve"> </v>
      </c>
      <c r="U379" s="8" t="str">
        <f t="shared" si="44"/>
        <v xml:space="preserve"> </v>
      </c>
      <c r="V379" s="9" t="str">
        <f t="shared" si="45"/>
        <v xml:space="preserve"> </v>
      </c>
      <c r="W379" s="9" t="str">
        <f t="shared" si="46"/>
        <v/>
      </c>
      <c r="X379" s="32"/>
      <c r="Y379" s="36"/>
    </row>
    <row r="380" spans="1:25" s="4" customFormat="1" ht="18" customHeight="1">
      <c r="A380" s="36"/>
      <c r="B380" s="69" t="s">
        <v>926</v>
      </c>
      <c r="C380" s="69" t="s">
        <v>672</v>
      </c>
      <c r="D380" s="31" t="s">
        <v>708</v>
      </c>
      <c r="E380" s="29" t="s">
        <v>34</v>
      </c>
      <c r="F380" s="28">
        <v>0.85</v>
      </c>
      <c r="G380" s="29">
        <v>0.04</v>
      </c>
      <c r="H380" s="29">
        <v>-0.04</v>
      </c>
      <c r="I380" s="30" t="s">
        <v>39</v>
      </c>
      <c r="J380" s="12">
        <f t="shared" si="53"/>
        <v>0.89</v>
      </c>
      <c r="K380" s="12">
        <f t="shared" si="54"/>
        <v>0.80999999999999994</v>
      </c>
      <c r="L380" s="78"/>
      <c r="M380" s="78"/>
      <c r="N380" s="78"/>
      <c r="O380" s="36"/>
      <c r="P380" s="24" t="str">
        <f t="shared" si="55"/>
        <v xml:space="preserve"> </v>
      </c>
      <c r="Q380" s="25" t="str">
        <f t="shared" si="55"/>
        <v xml:space="preserve"> </v>
      </c>
      <c r="R380" s="25" t="str">
        <f t="shared" si="55"/>
        <v xml:space="preserve"> </v>
      </c>
      <c r="S380" s="26" t="str">
        <f t="shared" si="42"/>
        <v xml:space="preserve"> </v>
      </c>
      <c r="T380" s="7" t="str">
        <f t="shared" si="43"/>
        <v xml:space="preserve"> </v>
      </c>
      <c r="U380" s="8" t="str">
        <f t="shared" si="44"/>
        <v xml:space="preserve"> </v>
      </c>
      <c r="V380" s="9" t="str">
        <f t="shared" si="45"/>
        <v xml:space="preserve"> </v>
      </c>
      <c r="W380" s="9" t="str">
        <f t="shared" si="46"/>
        <v/>
      </c>
      <c r="X380" s="32"/>
      <c r="Y380" s="36"/>
    </row>
    <row r="381" spans="1:25" s="4" customFormat="1" ht="18" customHeight="1">
      <c r="A381" s="36"/>
      <c r="B381" s="69" t="s">
        <v>927</v>
      </c>
      <c r="C381" s="69" t="s">
        <v>673</v>
      </c>
      <c r="D381" s="31" t="s">
        <v>708</v>
      </c>
      <c r="E381" s="29" t="s">
        <v>34</v>
      </c>
      <c r="F381" s="28">
        <v>0.85</v>
      </c>
      <c r="G381" s="29">
        <v>0.04</v>
      </c>
      <c r="H381" s="29">
        <v>-0.04</v>
      </c>
      <c r="I381" s="30" t="s">
        <v>39</v>
      </c>
      <c r="J381" s="12">
        <f t="shared" si="53"/>
        <v>0.89</v>
      </c>
      <c r="K381" s="12">
        <f t="shared" si="54"/>
        <v>0.80999999999999994</v>
      </c>
      <c r="L381" s="78"/>
      <c r="M381" s="78"/>
      <c r="N381" s="78"/>
      <c r="O381" s="36"/>
      <c r="P381" s="24" t="str">
        <f t="shared" si="55"/>
        <v xml:space="preserve"> </v>
      </c>
      <c r="Q381" s="25" t="str">
        <f t="shared" si="55"/>
        <v xml:space="preserve"> </v>
      </c>
      <c r="R381" s="25" t="str">
        <f t="shared" si="55"/>
        <v xml:space="preserve"> </v>
      </c>
      <c r="S381" s="26" t="str">
        <f t="shared" si="42"/>
        <v xml:space="preserve"> </v>
      </c>
      <c r="T381" s="7" t="str">
        <f t="shared" si="43"/>
        <v xml:space="preserve"> </v>
      </c>
      <c r="U381" s="8" t="str">
        <f t="shared" si="44"/>
        <v xml:space="preserve"> </v>
      </c>
      <c r="V381" s="9" t="str">
        <f t="shared" si="45"/>
        <v xml:space="preserve"> </v>
      </c>
      <c r="W381" s="9" t="str">
        <f t="shared" si="46"/>
        <v/>
      </c>
      <c r="X381" s="32"/>
      <c r="Y381" s="36"/>
    </row>
    <row r="382" spans="1:25" s="4" customFormat="1" ht="18" customHeight="1">
      <c r="A382" s="36"/>
      <c r="B382" s="69" t="s">
        <v>928</v>
      </c>
      <c r="C382" s="69" t="s">
        <v>674</v>
      </c>
      <c r="D382" s="31" t="s">
        <v>708</v>
      </c>
      <c r="E382" s="29" t="s">
        <v>34</v>
      </c>
      <c r="F382" s="28">
        <v>0.85</v>
      </c>
      <c r="G382" s="29">
        <v>0.04</v>
      </c>
      <c r="H382" s="29">
        <v>-0.04</v>
      </c>
      <c r="I382" s="30" t="s">
        <v>39</v>
      </c>
      <c r="J382" s="12">
        <f t="shared" si="53"/>
        <v>0.89</v>
      </c>
      <c r="K382" s="12">
        <f t="shared" si="54"/>
        <v>0.80999999999999994</v>
      </c>
      <c r="L382" s="78"/>
      <c r="M382" s="78"/>
      <c r="N382" s="78"/>
      <c r="O382" s="36"/>
      <c r="P382" s="24" t="str">
        <f t="shared" si="55"/>
        <v xml:space="preserve"> </v>
      </c>
      <c r="Q382" s="25" t="str">
        <f t="shared" si="55"/>
        <v xml:space="preserve"> </v>
      </c>
      <c r="R382" s="25" t="str">
        <f t="shared" si="55"/>
        <v xml:space="preserve"> </v>
      </c>
      <c r="S382" s="26" t="str">
        <f t="shared" si="42"/>
        <v xml:space="preserve"> </v>
      </c>
      <c r="T382" s="7" t="str">
        <f t="shared" si="43"/>
        <v xml:space="preserve"> </v>
      </c>
      <c r="U382" s="8" t="str">
        <f t="shared" si="44"/>
        <v xml:space="preserve"> </v>
      </c>
      <c r="V382" s="9" t="str">
        <f t="shared" si="45"/>
        <v xml:space="preserve"> </v>
      </c>
      <c r="W382" s="9" t="str">
        <f t="shared" si="46"/>
        <v/>
      </c>
      <c r="X382" s="32"/>
      <c r="Y382" s="36"/>
    </row>
    <row r="383" spans="1:25" s="4" customFormat="1" ht="18" customHeight="1">
      <c r="A383" s="36"/>
      <c r="B383" s="69" t="s">
        <v>929</v>
      </c>
      <c r="C383" s="69" t="s">
        <v>675</v>
      </c>
      <c r="D383" s="31" t="s">
        <v>708</v>
      </c>
      <c r="E383" s="29" t="s">
        <v>34</v>
      </c>
      <c r="F383" s="28">
        <v>0.85</v>
      </c>
      <c r="G383" s="29">
        <v>0.04</v>
      </c>
      <c r="H383" s="29">
        <v>-0.04</v>
      </c>
      <c r="I383" s="30" t="s">
        <v>39</v>
      </c>
      <c r="J383" s="12">
        <f t="shared" si="53"/>
        <v>0.89</v>
      </c>
      <c r="K383" s="12">
        <f t="shared" si="54"/>
        <v>0.80999999999999994</v>
      </c>
      <c r="L383" s="78"/>
      <c r="M383" s="78"/>
      <c r="N383" s="78"/>
      <c r="O383" s="36"/>
      <c r="P383" s="24" t="str">
        <f t="shared" si="55"/>
        <v xml:space="preserve"> </v>
      </c>
      <c r="Q383" s="25" t="str">
        <f t="shared" si="55"/>
        <v xml:space="preserve"> </v>
      </c>
      <c r="R383" s="25" t="str">
        <f t="shared" si="55"/>
        <v xml:space="preserve"> </v>
      </c>
      <c r="S383" s="26" t="str">
        <f t="shared" si="42"/>
        <v xml:space="preserve"> </v>
      </c>
      <c r="T383" s="7" t="str">
        <f t="shared" si="43"/>
        <v xml:space="preserve"> </v>
      </c>
      <c r="U383" s="8" t="str">
        <f t="shared" si="44"/>
        <v xml:space="preserve"> </v>
      </c>
      <c r="V383" s="9" t="str">
        <f t="shared" si="45"/>
        <v xml:space="preserve"> </v>
      </c>
      <c r="W383" s="9" t="str">
        <f t="shared" si="46"/>
        <v/>
      </c>
      <c r="X383" s="32"/>
      <c r="Y383" s="36"/>
    </row>
    <row r="384" spans="1:25" s="4" customFormat="1" ht="18" customHeight="1">
      <c r="A384" s="36"/>
      <c r="B384" s="69" t="s">
        <v>930</v>
      </c>
      <c r="C384" s="69" t="s">
        <v>676</v>
      </c>
      <c r="D384" s="31" t="s">
        <v>708</v>
      </c>
      <c r="E384" s="29" t="s">
        <v>34</v>
      </c>
      <c r="F384" s="28">
        <v>0.85</v>
      </c>
      <c r="G384" s="29">
        <v>0.04</v>
      </c>
      <c r="H384" s="29">
        <v>-0.04</v>
      </c>
      <c r="I384" s="30" t="s">
        <v>39</v>
      </c>
      <c r="J384" s="12">
        <f t="shared" si="53"/>
        <v>0.89</v>
      </c>
      <c r="K384" s="12">
        <f t="shared" si="54"/>
        <v>0.80999999999999994</v>
      </c>
      <c r="L384" s="78"/>
      <c r="M384" s="78"/>
      <c r="N384" s="78"/>
      <c r="O384" s="36"/>
      <c r="P384" s="24" t="str">
        <f t="shared" si="55"/>
        <v xml:space="preserve"> </v>
      </c>
      <c r="Q384" s="25" t="str">
        <f t="shared" si="55"/>
        <v xml:space="preserve"> </v>
      </c>
      <c r="R384" s="25" t="str">
        <f t="shared" si="55"/>
        <v xml:space="preserve"> </v>
      </c>
      <c r="S384" s="26" t="str">
        <f t="shared" si="42"/>
        <v xml:space="preserve"> </v>
      </c>
      <c r="T384" s="7" t="str">
        <f t="shared" si="43"/>
        <v xml:space="preserve"> </v>
      </c>
      <c r="U384" s="8" t="str">
        <f t="shared" si="44"/>
        <v xml:space="preserve"> </v>
      </c>
      <c r="V384" s="9" t="str">
        <f t="shared" si="45"/>
        <v xml:space="preserve"> </v>
      </c>
      <c r="W384" s="9" t="str">
        <f t="shared" si="46"/>
        <v/>
      </c>
      <c r="X384" s="32"/>
      <c r="Y384" s="36"/>
    </row>
    <row r="385" spans="1:25" s="4" customFormat="1" ht="18" customHeight="1">
      <c r="A385" s="36"/>
      <c r="B385" s="69" t="s">
        <v>931</v>
      </c>
      <c r="C385" s="69" t="s">
        <v>677</v>
      </c>
      <c r="D385" s="31" t="s">
        <v>708</v>
      </c>
      <c r="E385" s="29" t="s">
        <v>34</v>
      </c>
      <c r="F385" s="28">
        <v>0.85</v>
      </c>
      <c r="G385" s="29">
        <v>0.04</v>
      </c>
      <c r="H385" s="29">
        <v>-0.04</v>
      </c>
      <c r="I385" s="30" t="s">
        <v>39</v>
      </c>
      <c r="J385" s="12">
        <f t="shared" si="53"/>
        <v>0.89</v>
      </c>
      <c r="K385" s="12">
        <f t="shared" si="54"/>
        <v>0.80999999999999994</v>
      </c>
      <c r="L385" s="78"/>
      <c r="M385" s="78"/>
      <c r="N385" s="78"/>
      <c r="O385" s="36"/>
      <c r="P385" s="24" t="str">
        <f t="shared" si="55"/>
        <v xml:space="preserve"> </v>
      </c>
      <c r="Q385" s="25" t="str">
        <f t="shared" si="55"/>
        <v xml:space="preserve"> </v>
      </c>
      <c r="R385" s="25" t="str">
        <f t="shared" si="55"/>
        <v xml:space="preserve"> </v>
      </c>
      <c r="S385" s="26" t="str">
        <f t="shared" si="42"/>
        <v xml:space="preserve"> </v>
      </c>
      <c r="T385" s="7" t="str">
        <f t="shared" si="43"/>
        <v xml:space="preserve"> </v>
      </c>
      <c r="U385" s="8" t="str">
        <f t="shared" si="44"/>
        <v xml:space="preserve"> </v>
      </c>
      <c r="V385" s="9" t="str">
        <f t="shared" si="45"/>
        <v xml:space="preserve"> </v>
      </c>
      <c r="W385" s="9" t="str">
        <f t="shared" si="46"/>
        <v/>
      </c>
      <c r="X385" s="32"/>
      <c r="Y385" s="36"/>
    </row>
    <row r="386" spans="1:25" s="4" customFormat="1" ht="18" customHeight="1">
      <c r="A386" s="36"/>
      <c r="B386" s="69" t="s">
        <v>932</v>
      </c>
      <c r="C386" s="69" t="s">
        <v>678</v>
      </c>
      <c r="D386" s="31" t="s">
        <v>708</v>
      </c>
      <c r="E386" s="29" t="s">
        <v>34</v>
      </c>
      <c r="F386" s="28">
        <v>0.85</v>
      </c>
      <c r="G386" s="29">
        <v>0.04</v>
      </c>
      <c r="H386" s="29">
        <v>-0.04</v>
      </c>
      <c r="I386" s="30" t="s">
        <v>39</v>
      </c>
      <c r="J386" s="12">
        <f t="shared" si="53"/>
        <v>0.89</v>
      </c>
      <c r="K386" s="12">
        <f t="shared" si="54"/>
        <v>0.80999999999999994</v>
      </c>
      <c r="L386" s="78"/>
      <c r="M386" s="78"/>
      <c r="N386" s="78"/>
      <c r="O386" s="36"/>
      <c r="P386" s="24" t="str">
        <f t="shared" si="55"/>
        <v xml:space="preserve"> </v>
      </c>
      <c r="Q386" s="25" t="str">
        <f t="shared" si="55"/>
        <v xml:space="preserve"> </v>
      </c>
      <c r="R386" s="25" t="str">
        <f t="shared" si="55"/>
        <v xml:space="preserve"> </v>
      </c>
      <c r="S386" s="26" t="str">
        <f t="shared" si="42"/>
        <v xml:space="preserve"> </v>
      </c>
      <c r="T386" s="7" t="str">
        <f t="shared" si="43"/>
        <v xml:space="preserve"> </v>
      </c>
      <c r="U386" s="8" t="str">
        <f t="shared" si="44"/>
        <v xml:space="preserve"> </v>
      </c>
      <c r="V386" s="9" t="str">
        <f t="shared" si="45"/>
        <v xml:space="preserve"> </v>
      </c>
      <c r="W386" s="9" t="str">
        <f t="shared" si="46"/>
        <v/>
      </c>
      <c r="X386" s="32"/>
      <c r="Y386" s="36"/>
    </row>
    <row r="387" spans="1:25" s="4" customFormat="1" ht="18" customHeight="1">
      <c r="A387" s="36"/>
      <c r="B387" s="69" t="s">
        <v>933</v>
      </c>
      <c r="C387" s="69" t="s">
        <v>679</v>
      </c>
      <c r="D387" s="31" t="s">
        <v>708</v>
      </c>
      <c r="E387" s="29" t="s">
        <v>34</v>
      </c>
      <c r="F387" s="28">
        <v>0.85</v>
      </c>
      <c r="G387" s="29">
        <v>0.04</v>
      </c>
      <c r="H387" s="29">
        <v>-0.04</v>
      </c>
      <c r="I387" s="30" t="s">
        <v>39</v>
      </c>
      <c r="J387" s="12">
        <f t="shared" si="53"/>
        <v>0.89</v>
      </c>
      <c r="K387" s="12">
        <f t="shared" si="54"/>
        <v>0.80999999999999994</v>
      </c>
      <c r="L387" s="78"/>
      <c r="M387" s="78"/>
      <c r="N387" s="78"/>
      <c r="O387" s="36"/>
      <c r="P387" s="24" t="str">
        <f t="shared" si="55"/>
        <v xml:space="preserve"> </v>
      </c>
      <c r="Q387" s="25" t="str">
        <f t="shared" si="55"/>
        <v xml:space="preserve"> </v>
      </c>
      <c r="R387" s="25" t="str">
        <f t="shared" si="55"/>
        <v xml:space="preserve"> </v>
      </c>
      <c r="S387" s="26" t="str">
        <f t="shared" si="42"/>
        <v xml:space="preserve"> </v>
      </c>
      <c r="T387" s="7" t="str">
        <f t="shared" si="43"/>
        <v xml:space="preserve"> </v>
      </c>
      <c r="U387" s="8" t="str">
        <f t="shared" si="44"/>
        <v xml:space="preserve"> </v>
      </c>
      <c r="V387" s="9" t="str">
        <f t="shared" si="45"/>
        <v xml:space="preserve"> </v>
      </c>
      <c r="W387" s="9" t="str">
        <f t="shared" si="46"/>
        <v/>
      </c>
      <c r="X387" s="32"/>
      <c r="Y387" s="36"/>
    </row>
    <row r="388" spans="1:25" s="4" customFormat="1" ht="18" customHeight="1">
      <c r="A388" s="36"/>
      <c r="B388" s="69" t="s">
        <v>934</v>
      </c>
      <c r="C388" s="69" t="s">
        <v>680</v>
      </c>
      <c r="D388" s="31" t="s">
        <v>708</v>
      </c>
      <c r="E388" s="29" t="s">
        <v>34</v>
      </c>
      <c r="F388" s="28">
        <v>0.85</v>
      </c>
      <c r="G388" s="29">
        <v>0.04</v>
      </c>
      <c r="H388" s="29">
        <v>-0.04</v>
      </c>
      <c r="I388" s="30" t="s">
        <v>39</v>
      </c>
      <c r="J388" s="12">
        <f t="shared" si="53"/>
        <v>0.89</v>
      </c>
      <c r="K388" s="12">
        <f t="shared" si="54"/>
        <v>0.80999999999999994</v>
      </c>
      <c r="L388" s="78"/>
      <c r="M388" s="78"/>
      <c r="N388" s="78"/>
      <c r="O388" s="36"/>
      <c r="P388" s="24" t="str">
        <f t="shared" si="55"/>
        <v xml:space="preserve"> </v>
      </c>
      <c r="Q388" s="25" t="str">
        <f t="shared" si="55"/>
        <v xml:space="preserve"> </v>
      </c>
      <c r="R388" s="25" t="str">
        <f t="shared" si="55"/>
        <v xml:space="preserve"> </v>
      </c>
      <c r="S388" s="26" t="str">
        <f t="shared" si="42"/>
        <v xml:space="preserve"> </v>
      </c>
      <c r="T388" s="7" t="str">
        <f t="shared" si="43"/>
        <v xml:space="preserve"> </v>
      </c>
      <c r="U388" s="8" t="str">
        <f t="shared" si="44"/>
        <v xml:space="preserve"> </v>
      </c>
      <c r="V388" s="9" t="str">
        <f t="shared" si="45"/>
        <v xml:space="preserve"> </v>
      </c>
      <c r="W388" s="9" t="str">
        <f t="shared" si="46"/>
        <v/>
      </c>
      <c r="X388" s="32"/>
      <c r="Y388" s="36"/>
    </row>
    <row r="389" spans="1:25" s="4" customFormat="1" ht="18" customHeight="1">
      <c r="A389" s="36"/>
      <c r="B389" s="69" t="s">
        <v>935</v>
      </c>
      <c r="C389" s="69" t="s">
        <v>681</v>
      </c>
      <c r="D389" s="31" t="s">
        <v>708</v>
      </c>
      <c r="E389" s="29" t="s">
        <v>34</v>
      </c>
      <c r="F389" s="28">
        <v>0.85</v>
      </c>
      <c r="G389" s="29">
        <v>0.04</v>
      </c>
      <c r="H389" s="29">
        <v>-0.04</v>
      </c>
      <c r="I389" s="30" t="s">
        <v>39</v>
      </c>
      <c r="J389" s="12">
        <f t="shared" si="53"/>
        <v>0.89</v>
      </c>
      <c r="K389" s="12">
        <f t="shared" si="54"/>
        <v>0.80999999999999994</v>
      </c>
      <c r="L389" s="78"/>
      <c r="M389" s="78"/>
      <c r="N389" s="78"/>
      <c r="O389" s="36"/>
      <c r="P389" s="24" t="str">
        <f t="shared" si="55"/>
        <v xml:space="preserve"> </v>
      </c>
      <c r="Q389" s="25" t="str">
        <f t="shared" si="55"/>
        <v xml:space="preserve"> </v>
      </c>
      <c r="R389" s="25" t="str">
        <f t="shared" si="55"/>
        <v xml:space="preserve"> </v>
      </c>
      <c r="S389" s="26" t="str">
        <f t="shared" si="42"/>
        <v xml:space="preserve"> </v>
      </c>
      <c r="T389" s="7" t="str">
        <f t="shared" si="43"/>
        <v xml:space="preserve"> </v>
      </c>
      <c r="U389" s="8" t="str">
        <f t="shared" si="44"/>
        <v xml:space="preserve"> </v>
      </c>
      <c r="V389" s="9" t="str">
        <f t="shared" si="45"/>
        <v xml:space="preserve"> </v>
      </c>
      <c r="W389" s="9" t="str">
        <f t="shared" si="46"/>
        <v/>
      </c>
      <c r="X389" s="32"/>
      <c r="Y389" s="36"/>
    </row>
    <row r="390" spans="1:25" s="4" customFormat="1" ht="18" customHeight="1">
      <c r="A390" s="36"/>
      <c r="B390" s="69">
        <v>119.01</v>
      </c>
      <c r="C390" s="69" t="s">
        <v>712</v>
      </c>
      <c r="D390" s="31" t="s">
        <v>708</v>
      </c>
      <c r="E390" s="29" t="s">
        <v>34</v>
      </c>
      <c r="F390" s="28">
        <v>0.45</v>
      </c>
      <c r="G390" s="29">
        <v>0.04</v>
      </c>
      <c r="H390" s="29">
        <v>-0.04</v>
      </c>
      <c r="I390" s="30" t="s">
        <v>39</v>
      </c>
      <c r="J390" s="12">
        <f t="shared" si="53"/>
        <v>0.49</v>
      </c>
      <c r="K390" s="12">
        <f t="shared" si="54"/>
        <v>0.41000000000000003</v>
      </c>
      <c r="L390" s="78"/>
      <c r="M390" s="78"/>
      <c r="N390" s="78"/>
      <c r="O390" s="36"/>
      <c r="P390" s="24" t="str">
        <f t="shared" si="55"/>
        <v xml:space="preserve"> </v>
      </c>
      <c r="Q390" s="25" t="str">
        <f t="shared" si="55"/>
        <v xml:space="preserve"> </v>
      </c>
      <c r="R390" s="25" t="str">
        <f t="shared" si="55"/>
        <v xml:space="preserve"> </v>
      </c>
      <c r="S390" s="26" t="str">
        <f t="shared" si="42"/>
        <v xml:space="preserve"> </v>
      </c>
      <c r="T390" s="7" t="str">
        <f t="shared" si="43"/>
        <v xml:space="preserve"> </v>
      </c>
      <c r="U390" s="8" t="str">
        <f t="shared" si="44"/>
        <v xml:space="preserve"> </v>
      </c>
      <c r="V390" s="9" t="str">
        <f t="shared" si="45"/>
        <v xml:space="preserve"> </v>
      </c>
      <c r="W390" s="9" t="str">
        <f t="shared" si="46"/>
        <v/>
      </c>
      <c r="X390" s="32"/>
      <c r="Y390" s="36"/>
    </row>
    <row r="391" spans="1:25" s="4" customFormat="1" ht="18" customHeight="1">
      <c r="A391" s="36"/>
      <c r="B391" s="69">
        <v>119.02</v>
      </c>
      <c r="C391" s="69" t="s">
        <v>713</v>
      </c>
      <c r="D391" s="31" t="s">
        <v>708</v>
      </c>
      <c r="E391" s="29" t="s">
        <v>34</v>
      </c>
      <c r="F391" s="28">
        <v>0.45</v>
      </c>
      <c r="G391" s="29">
        <v>0.04</v>
      </c>
      <c r="H391" s="29">
        <v>-0.04</v>
      </c>
      <c r="I391" s="30" t="s">
        <v>39</v>
      </c>
      <c r="J391" s="12">
        <f t="shared" si="53"/>
        <v>0.49</v>
      </c>
      <c r="K391" s="12">
        <f t="shared" si="54"/>
        <v>0.41000000000000003</v>
      </c>
      <c r="L391" s="78"/>
      <c r="M391" s="78"/>
      <c r="N391" s="78"/>
      <c r="O391" s="36"/>
      <c r="P391" s="24" t="str">
        <f t="shared" si="55"/>
        <v xml:space="preserve"> </v>
      </c>
      <c r="Q391" s="25" t="str">
        <f t="shared" si="55"/>
        <v xml:space="preserve"> </v>
      </c>
      <c r="R391" s="25" t="str">
        <f t="shared" si="55"/>
        <v xml:space="preserve"> </v>
      </c>
      <c r="S391" s="26" t="str">
        <f t="shared" si="42"/>
        <v xml:space="preserve"> </v>
      </c>
      <c r="T391" s="7" t="str">
        <f t="shared" si="43"/>
        <v xml:space="preserve"> </v>
      </c>
      <c r="U391" s="8" t="str">
        <f t="shared" si="44"/>
        <v xml:space="preserve"> </v>
      </c>
      <c r="V391" s="9" t="str">
        <f t="shared" si="45"/>
        <v xml:space="preserve"> </v>
      </c>
      <c r="W391" s="9" t="str">
        <f t="shared" si="46"/>
        <v/>
      </c>
      <c r="X391" s="32"/>
      <c r="Y391" s="36"/>
    </row>
    <row r="392" spans="1:25" s="4" customFormat="1" ht="18" customHeight="1">
      <c r="A392" s="36"/>
      <c r="B392" s="69">
        <v>119.03</v>
      </c>
      <c r="C392" s="69" t="s">
        <v>714</v>
      </c>
      <c r="D392" s="31" t="s">
        <v>708</v>
      </c>
      <c r="E392" s="29" t="s">
        <v>34</v>
      </c>
      <c r="F392" s="28">
        <v>0.45</v>
      </c>
      <c r="G392" s="29">
        <v>0.04</v>
      </c>
      <c r="H392" s="29">
        <v>-0.04</v>
      </c>
      <c r="I392" s="30" t="s">
        <v>39</v>
      </c>
      <c r="J392" s="12">
        <f t="shared" si="53"/>
        <v>0.49</v>
      </c>
      <c r="K392" s="12">
        <f t="shared" si="54"/>
        <v>0.41000000000000003</v>
      </c>
      <c r="L392" s="78"/>
      <c r="M392" s="78"/>
      <c r="N392" s="78"/>
      <c r="O392" s="36"/>
      <c r="P392" s="24" t="str">
        <f t="shared" si="55"/>
        <v xml:space="preserve"> </v>
      </c>
      <c r="Q392" s="25" t="str">
        <f t="shared" si="55"/>
        <v xml:space="preserve"> </v>
      </c>
      <c r="R392" s="25" t="str">
        <f t="shared" si="55"/>
        <v xml:space="preserve"> </v>
      </c>
      <c r="S392" s="26" t="str">
        <f t="shared" si="42"/>
        <v xml:space="preserve"> </v>
      </c>
      <c r="T392" s="7" t="str">
        <f t="shared" si="43"/>
        <v xml:space="preserve"> </v>
      </c>
      <c r="U392" s="8" t="str">
        <f t="shared" si="44"/>
        <v xml:space="preserve"> </v>
      </c>
      <c r="V392" s="9" t="str">
        <f t="shared" si="45"/>
        <v xml:space="preserve"> </v>
      </c>
      <c r="W392" s="9" t="str">
        <f t="shared" si="46"/>
        <v/>
      </c>
      <c r="X392" s="32"/>
      <c r="Y392" s="36"/>
    </row>
    <row r="393" spans="1:25" s="4" customFormat="1" ht="18" customHeight="1">
      <c r="A393" s="36"/>
      <c r="B393" s="69">
        <v>119.04</v>
      </c>
      <c r="C393" s="69" t="s">
        <v>715</v>
      </c>
      <c r="D393" s="31" t="s">
        <v>708</v>
      </c>
      <c r="E393" s="29" t="s">
        <v>34</v>
      </c>
      <c r="F393" s="28">
        <v>0.45</v>
      </c>
      <c r="G393" s="29">
        <v>0.04</v>
      </c>
      <c r="H393" s="29">
        <v>-0.04</v>
      </c>
      <c r="I393" s="30" t="s">
        <v>39</v>
      </c>
      <c r="J393" s="12">
        <f t="shared" si="53"/>
        <v>0.49</v>
      </c>
      <c r="K393" s="12">
        <f t="shared" si="54"/>
        <v>0.41000000000000003</v>
      </c>
      <c r="L393" s="78"/>
      <c r="M393" s="78"/>
      <c r="N393" s="78"/>
      <c r="O393" s="36"/>
      <c r="P393" s="24" t="str">
        <f t="shared" si="55"/>
        <v xml:space="preserve"> </v>
      </c>
      <c r="Q393" s="25" t="str">
        <f t="shared" si="55"/>
        <v xml:space="preserve"> </v>
      </c>
      <c r="R393" s="25" t="str">
        <f t="shared" si="55"/>
        <v xml:space="preserve"> </v>
      </c>
      <c r="S393" s="26" t="str">
        <f t="shared" si="42"/>
        <v xml:space="preserve"> </v>
      </c>
      <c r="T393" s="7" t="str">
        <f t="shared" si="43"/>
        <v xml:space="preserve"> </v>
      </c>
      <c r="U393" s="8" t="str">
        <f t="shared" si="44"/>
        <v xml:space="preserve"> </v>
      </c>
      <c r="V393" s="9" t="str">
        <f t="shared" si="45"/>
        <v xml:space="preserve"> </v>
      </c>
      <c r="W393" s="9" t="str">
        <f t="shared" si="46"/>
        <v/>
      </c>
      <c r="X393" s="32"/>
      <c r="Y393" s="36"/>
    </row>
    <row r="394" spans="1:25" s="4" customFormat="1" ht="18" customHeight="1">
      <c r="A394" s="36"/>
      <c r="B394" s="69">
        <v>119.05</v>
      </c>
      <c r="C394" s="69" t="s">
        <v>716</v>
      </c>
      <c r="D394" s="31" t="s">
        <v>708</v>
      </c>
      <c r="E394" s="29" t="s">
        <v>34</v>
      </c>
      <c r="F394" s="28">
        <v>0.45</v>
      </c>
      <c r="G394" s="29">
        <v>0.04</v>
      </c>
      <c r="H394" s="29">
        <v>-0.04</v>
      </c>
      <c r="I394" s="30" t="s">
        <v>39</v>
      </c>
      <c r="J394" s="12">
        <f t="shared" si="53"/>
        <v>0.49</v>
      </c>
      <c r="K394" s="12">
        <f t="shared" si="54"/>
        <v>0.41000000000000003</v>
      </c>
      <c r="L394" s="78"/>
      <c r="M394" s="78"/>
      <c r="N394" s="78"/>
      <c r="O394" s="36"/>
      <c r="P394" s="24" t="str">
        <f t="shared" si="55"/>
        <v xml:space="preserve"> </v>
      </c>
      <c r="Q394" s="25" t="str">
        <f t="shared" si="55"/>
        <v xml:space="preserve"> </v>
      </c>
      <c r="R394" s="25" t="str">
        <f t="shared" si="55"/>
        <v xml:space="preserve"> </v>
      </c>
      <c r="S394" s="26" t="str">
        <f t="shared" si="42"/>
        <v xml:space="preserve"> </v>
      </c>
      <c r="T394" s="7" t="str">
        <f t="shared" si="43"/>
        <v xml:space="preserve"> </v>
      </c>
      <c r="U394" s="8" t="str">
        <f t="shared" si="44"/>
        <v xml:space="preserve"> </v>
      </c>
      <c r="V394" s="9" t="str">
        <f t="shared" si="45"/>
        <v xml:space="preserve"> </v>
      </c>
      <c r="W394" s="9" t="str">
        <f t="shared" si="46"/>
        <v/>
      </c>
      <c r="X394" s="32"/>
      <c r="Y394" s="36"/>
    </row>
    <row r="395" spans="1:25" s="4" customFormat="1" ht="18" customHeight="1">
      <c r="A395" s="36"/>
      <c r="B395" s="69">
        <v>119.06</v>
      </c>
      <c r="C395" s="69" t="s">
        <v>717</v>
      </c>
      <c r="D395" s="31" t="s">
        <v>708</v>
      </c>
      <c r="E395" s="29" t="s">
        <v>34</v>
      </c>
      <c r="F395" s="28">
        <v>0.45</v>
      </c>
      <c r="G395" s="29">
        <v>0.04</v>
      </c>
      <c r="H395" s="29">
        <v>-0.04</v>
      </c>
      <c r="I395" s="30" t="s">
        <v>39</v>
      </c>
      <c r="J395" s="12">
        <f t="shared" si="53"/>
        <v>0.49</v>
      </c>
      <c r="K395" s="12">
        <f t="shared" si="54"/>
        <v>0.41000000000000003</v>
      </c>
      <c r="L395" s="78"/>
      <c r="M395" s="78"/>
      <c r="N395" s="78"/>
      <c r="O395" s="36"/>
      <c r="P395" s="24" t="str">
        <f t="shared" si="55"/>
        <v xml:space="preserve"> </v>
      </c>
      <c r="Q395" s="25" t="str">
        <f t="shared" si="55"/>
        <v xml:space="preserve"> </v>
      </c>
      <c r="R395" s="25" t="str">
        <f t="shared" si="55"/>
        <v xml:space="preserve"> </v>
      </c>
      <c r="S395" s="26" t="str">
        <f t="shared" si="42"/>
        <v xml:space="preserve"> </v>
      </c>
      <c r="T395" s="7" t="str">
        <f t="shared" si="43"/>
        <v xml:space="preserve"> </v>
      </c>
      <c r="U395" s="8" t="str">
        <f t="shared" si="44"/>
        <v xml:space="preserve"> </v>
      </c>
      <c r="V395" s="9" t="str">
        <f t="shared" si="45"/>
        <v xml:space="preserve"> </v>
      </c>
      <c r="W395" s="9" t="str">
        <f t="shared" si="46"/>
        <v/>
      </c>
      <c r="X395" s="32"/>
      <c r="Y395" s="36"/>
    </row>
    <row r="396" spans="1:25" s="4" customFormat="1" ht="18" customHeight="1">
      <c r="A396" s="36"/>
      <c r="B396" s="69">
        <v>119.07</v>
      </c>
      <c r="C396" s="69" t="s">
        <v>718</v>
      </c>
      <c r="D396" s="31" t="s">
        <v>708</v>
      </c>
      <c r="E396" s="29" t="s">
        <v>34</v>
      </c>
      <c r="F396" s="28">
        <v>0.45</v>
      </c>
      <c r="G396" s="29">
        <v>0.04</v>
      </c>
      <c r="H396" s="29">
        <v>-0.04</v>
      </c>
      <c r="I396" s="30" t="s">
        <v>39</v>
      </c>
      <c r="J396" s="12">
        <f t="shared" si="53"/>
        <v>0.49</v>
      </c>
      <c r="K396" s="12">
        <f t="shared" si="54"/>
        <v>0.41000000000000003</v>
      </c>
      <c r="L396" s="78"/>
      <c r="M396" s="78"/>
      <c r="N396" s="78"/>
      <c r="O396" s="36"/>
      <c r="P396" s="24" t="str">
        <f t="shared" si="55"/>
        <v xml:space="preserve"> </v>
      </c>
      <c r="Q396" s="25" t="str">
        <f t="shared" si="55"/>
        <v xml:space="preserve"> </v>
      </c>
      <c r="R396" s="25" t="str">
        <f t="shared" si="55"/>
        <v xml:space="preserve"> </v>
      </c>
      <c r="S396" s="26" t="str">
        <f t="shared" si="42"/>
        <v xml:space="preserve"> </v>
      </c>
      <c r="T396" s="7" t="str">
        <f t="shared" si="43"/>
        <v xml:space="preserve"> </v>
      </c>
      <c r="U396" s="8" t="str">
        <f t="shared" si="44"/>
        <v xml:space="preserve"> </v>
      </c>
      <c r="V396" s="9" t="str">
        <f t="shared" si="45"/>
        <v xml:space="preserve"> </v>
      </c>
      <c r="W396" s="9" t="str">
        <f t="shared" si="46"/>
        <v/>
      </c>
      <c r="X396" s="32"/>
      <c r="Y396" s="36"/>
    </row>
    <row r="397" spans="1:25" s="4" customFormat="1" ht="18" customHeight="1">
      <c r="A397" s="36"/>
      <c r="B397" s="69">
        <v>119.08</v>
      </c>
      <c r="C397" s="69" t="s">
        <v>719</v>
      </c>
      <c r="D397" s="31" t="s">
        <v>708</v>
      </c>
      <c r="E397" s="29" t="s">
        <v>34</v>
      </c>
      <c r="F397" s="28">
        <v>0.45</v>
      </c>
      <c r="G397" s="29">
        <v>0.04</v>
      </c>
      <c r="H397" s="29">
        <v>-0.04</v>
      </c>
      <c r="I397" s="30" t="s">
        <v>39</v>
      </c>
      <c r="J397" s="12">
        <f t="shared" si="53"/>
        <v>0.49</v>
      </c>
      <c r="K397" s="12">
        <f t="shared" si="54"/>
        <v>0.41000000000000003</v>
      </c>
      <c r="L397" s="78"/>
      <c r="M397" s="78"/>
      <c r="N397" s="78"/>
      <c r="O397" s="36"/>
      <c r="P397" s="24" t="str">
        <f t="shared" si="55"/>
        <v xml:space="preserve"> </v>
      </c>
      <c r="Q397" s="25" t="str">
        <f t="shared" si="55"/>
        <v xml:space="preserve"> </v>
      </c>
      <c r="R397" s="25" t="str">
        <f t="shared" si="55"/>
        <v xml:space="preserve"> </v>
      </c>
      <c r="S397" s="26" t="str">
        <f t="shared" si="42"/>
        <v xml:space="preserve"> </v>
      </c>
      <c r="T397" s="7" t="str">
        <f t="shared" si="43"/>
        <v xml:space="preserve"> </v>
      </c>
      <c r="U397" s="8" t="str">
        <f t="shared" si="44"/>
        <v xml:space="preserve"> </v>
      </c>
      <c r="V397" s="9" t="str">
        <f t="shared" si="45"/>
        <v xml:space="preserve"> </v>
      </c>
      <c r="W397" s="9" t="str">
        <f t="shared" si="46"/>
        <v/>
      </c>
      <c r="X397" s="32"/>
      <c r="Y397" s="36"/>
    </row>
    <row r="398" spans="1:25" s="4" customFormat="1" ht="18" customHeight="1">
      <c r="A398" s="36"/>
      <c r="B398" s="69">
        <v>119.09</v>
      </c>
      <c r="C398" s="69" t="s">
        <v>720</v>
      </c>
      <c r="D398" s="31" t="s">
        <v>708</v>
      </c>
      <c r="E398" s="29" t="s">
        <v>34</v>
      </c>
      <c r="F398" s="28">
        <v>0.45</v>
      </c>
      <c r="G398" s="29">
        <v>0.04</v>
      </c>
      <c r="H398" s="29">
        <v>-0.04</v>
      </c>
      <c r="I398" s="30" t="s">
        <v>39</v>
      </c>
      <c r="J398" s="12">
        <f t="shared" si="53"/>
        <v>0.49</v>
      </c>
      <c r="K398" s="12">
        <f t="shared" si="54"/>
        <v>0.41000000000000003</v>
      </c>
      <c r="L398" s="78"/>
      <c r="M398" s="78"/>
      <c r="N398" s="78"/>
      <c r="O398" s="36"/>
      <c r="P398" s="24" t="str">
        <f t="shared" si="55"/>
        <v xml:space="preserve"> </v>
      </c>
      <c r="Q398" s="25" t="str">
        <f t="shared" si="55"/>
        <v xml:space="preserve"> </v>
      </c>
      <c r="R398" s="25" t="str">
        <f t="shared" si="55"/>
        <v xml:space="preserve"> </v>
      </c>
      <c r="S398" s="26" t="str">
        <f t="shared" si="42"/>
        <v xml:space="preserve"> </v>
      </c>
      <c r="T398" s="7" t="str">
        <f t="shared" si="43"/>
        <v xml:space="preserve"> </v>
      </c>
      <c r="U398" s="8" t="str">
        <f t="shared" si="44"/>
        <v xml:space="preserve"> </v>
      </c>
      <c r="V398" s="9" t="str">
        <f t="shared" si="45"/>
        <v xml:space="preserve"> </v>
      </c>
      <c r="W398" s="9" t="str">
        <f t="shared" si="46"/>
        <v/>
      </c>
      <c r="X398" s="32"/>
      <c r="Y398" s="36"/>
    </row>
    <row r="399" spans="1:25" s="4" customFormat="1" ht="18" customHeight="1">
      <c r="A399" s="36"/>
      <c r="B399" s="69" t="s">
        <v>936</v>
      </c>
      <c r="C399" s="69" t="s">
        <v>721</v>
      </c>
      <c r="D399" s="31" t="s">
        <v>708</v>
      </c>
      <c r="E399" s="29" t="s">
        <v>34</v>
      </c>
      <c r="F399" s="28">
        <v>0.45</v>
      </c>
      <c r="G399" s="29">
        <v>0.04</v>
      </c>
      <c r="H399" s="29">
        <v>-0.04</v>
      </c>
      <c r="I399" s="30" t="s">
        <v>39</v>
      </c>
      <c r="J399" s="12">
        <f t="shared" si="53"/>
        <v>0.49</v>
      </c>
      <c r="K399" s="12">
        <f t="shared" si="54"/>
        <v>0.41000000000000003</v>
      </c>
      <c r="L399" s="78"/>
      <c r="M399" s="78"/>
      <c r="N399" s="78"/>
      <c r="O399" s="36"/>
      <c r="P399" s="24" t="str">
        <f t="shared" si="55"/>
        <v xml:space="preserve"> </v>
      </c>
      <c r="Q399" s="25" t="str">
        <f t="shared" si="55"/>
        <v xml:space="preserve"> </v>
      </c>
      <c r="R399" s="25" t="str">
        <f t="shared" si="55"/>
        <v xml:space="preserve"> </v>
      </c>
      <c r="S399" s="26" t="str">
        <f t="shared" si="42"/>
        <v xml:space="preserve"> </v>
      </c>
      <c r="T399" s="7" t="str">
        <f t="shared" si="43"/>
        <v xml:space="preserve"> </v>
      </c>
      <c r="U399" s="8" t="str">
        <f t="shared" si="44"/>
        <v xml:space="preserve"> </v>
      </c>
      <c r="V399" s="9" t="str">
        <f t="shared" si="45"/>
        <v xml:space="preserve"> </v>
      </c>
      <c r="W399" s="9" t="str">
        <f t="shared" si="46"/>
        <v/>
      </c>
      <c r="X399" s="32"/>
      <c r="Y399" s="36"/>
    </row>
    <row r="400" spans="1:25" s="4" customFormat="1" ht="18" customHeight="1">
      <c r="A400" s="36"/>
      <c r="B400" s="69">
        <v>119.11</v>
      </c>
      <c r="C400" s="69" t="s">
        <v>722</v>
      </c>
      <c r="D400" s="31" t="s">
        <v>708</v>
      </c>
      <c r="E400" s="29" t="s">
        <v>34</v>
      </c>
      <c r="F400" s="28">
        <v>0.45</v>
      </c>
      <c r="G400" s="29">
        <v>0.04</v>
      </c>
      <c r="H400" s="29">
        <v>-0.04</v>
      </c>
      <c r="I400" s="30" t="s">
        <v>39</v>
      </c>
      <c r="J400" s="12">
        <f t="shared" si="53"/>
        <v>0.49</v>
      </c>
      <c r="K400" s="12">
        <f t="shared" si="54"/>
        <v>0.41000000000000003</v>
      </c>
      <c r="L400" s="78"/>
      <c r="M400" s="78"/>
      <c r="N400" s="78"/>
      <c r="O400" s="36"/>
      <c r="P400" s="24" t="str">
        <f t="shared" si="55"/>
        <v xml:space="preserve"> </v>
      </c>
      <c r="Q400" s="25" t="str">
        <f t="shared" si="55"/>
        <v xml:space="preserve"> </v>
      </c>
      <c r="R400" s="25" t="str">
        <f t="shared" si="55"/>
        <v xml:space="preserve"> </v>
      </c>
      <c r="S400" s="26" t="str">
        <f t="shared" si="42"/>
        <v xml:space="preserve"> </v>
      </c>
      <c r="T400" s="7" t="str">
        <f t="shared" si="43"/>
        <v xml:space="preserve"> </v>
      </c>
      <c r="U400" s="8" t="str">
        <f t="shared" si="44"/>
        <v xml:space="preserve"> </v>
      </c>
      <c r="V400" s="9" t="str">
        <f t="shared" si="45"/>
        <v xml:space="preserve"> </v>
      </c>
      <c r="W400" s="9" t="str">
        <f t="shared" si="46"/>
        <v/>
      </c>
      <c r="X400" s="32"/>
      <c r="Y400" s="36"/>
    </row>
    <row r="401" spans="1:25" s="4" customFormat="1" ht="18" customHeight="1">
      <c r="A401" s="36"/>
      <c r="B401" s="69">
        <v>119.12</v>
      </c>
      <c r="C401" s="69" t="s">
        <v>723</v>
      </c>
      <c r="D401" s="31" t="s">
        <v>708</v>
      </c>
      <c r="E401" s="29" t="s">
        <v>34</v>
      </c>
      <c r="F401" s="28">
        <v>0.45</v>
      </c>
      <c r="G401" s="29">
        <v>0.04</v>
      </c>
      <c r="H401" s="29">
        <v>-0.04</v>
      </c>
      <c r="I401" s="30" t="s">
        <v>39</v>
      </c>
      <c r="J401" s="12">
        <f t="shared" si="53"/>
        <v>0.49</v>
      </c>
      <c r="K401" s="12">
        <f t="shared" si="54"/>
        <v>0.41000000000000003</v>
      </c>
      <c r="L401" s="78"/>
      <c r="M401" s="78"/>
      <c r="N401" s="78"/>
      <c r="O401" s="36"/>
      <c r="P401" s="24" t="str">
        <f t="shared" si="55"/>
        <v xml:space="preserve"> </v>
      </c>
      <c r="Q401" s="25" t="str">
        <f t="shared" si="55"/>
        <v xml:space="preserve"> </v>
      </c>
      <c r="R401" s="25" t="str">
        <f t="shared" si="55"/>
        <v xml:space="preserve"> </v>
      </c>
      <c r="S401" s="26" t="str">
        <f t="shared" si="42"/>
        <v xml:space="preserve"> </v>
      </c>
      <c r="T401" s="7" t="str">
        <f t="shared" si="43"/>
        <v xml:space="preserve"> </v>
      </c>
      <c r="U401" s="8" t="str">
        <f t="shared" si="44"/>
        <v xml:space="preserve"> </v>
      </c>
      <c r="V401" s="9" t="str">
        <f t="shared" si="45"/>
        <v xml:space="preserve"> </v>
      </c>
      <c r="W401" s="9" t="str">
        <f t="shared" si="46"/>
        <v/>
      </c>
      <c r="X401" s="32"/>
      <c r="Y401" s="36"/>
    </row>
    <row r="402" spans="1:25" s="4" customFormat="1" ht="18" customHeight="1">
      <c r="A402" s="36"/>
      <c r="B402" s="69">
        <v>119.13</v>
      </c>
      <c r="C402" s="69" t="s">
        <v>724</v>
      </c>
      <c r="D402" s="31" t="s">
        <v>708</v>
      </c>
      <c r="E402" s="29" t="s">
        <v>34</v>
      </c>
      <c r="F402" s="28">
        <v>0.45</v>
      </c>
      <c r="G402" s="29">
        <v>0.04</v>
      </c>
      <c r="H402" s="29">
        <v>-0.04</v>
      </c>
      <c r="I402" s="30" t="s">
        <v>39</v>
      </c>
      <c r="J402" s="12">
        <f t="shared" si="53"/>
        <v>0.49</v>
      </c>
      <c r="K402" s="12">
        <f t="shared" si="54"/>
        <v>0.41000000000000003</v>
      </c>
      <c r="L402" s="78"/>
      <c r="M402" s="78"/>
      <c r="N402" s="78"/>
      <c r="O402" s="36"/>
      <c r="P402" s="24" t="str">
        <f t="shared" si="55"/>
        <v xml:space="preserve"> </v>
      </c>
      <c r="Q402" s="25" t="str">
        <f t="shared" si="55"/>
        <v xml:space="preserve"> </v>
      </c>
      <c r="R402" s="25" t="str">
        <f t="shared" si="55"/>
        <v xml:space="preserve"> </v>
      </c>
      <c r="S402" s="26" t="str">
        <f t="shared" ref="S402:S661" si="56">IF(ISERR(L402/L402)=TRUE," ",AVERAGE(L402:N402))</f>
        <v xml:space="preserve"> </v>
      </c>
      <c r="T402" s="7" t="str">
        <f t="shared" ref="T402:T661" si="57">IF(ISERR(G402/G402)=TRUE," ",IF(ISERR(L402/L402)=TRUE," ",IF(ISNUMBER($L402)=FALSE," ",IF(MAX($L402:$N402)&lt;$F402,0,(MAX($L402:$N402)-$F402)/$G402))))</f>
        <v xml:space="preserve"> </v>
      </c>
      <c r="U402" s="8" t="str">
        <f t="shared" ref="U402:U661" si="58">IF(ISERR(H402/F402)=TRUE," ",IF(ISERR(H402/H402)=TRUE," ",IF(ISERR(L402/L402)=TRUE," ",IF(ISNUMBER(L402)=FALSE," ",IF(MIN(L402:N402)&gt;$F402,0,($F402-MIN(L402:N402))/-H402)))))</f>
        <v xml:space="preserve"> </v>
      </c>
      <c r="V402" s="9" t="str">
        <f t="shared" ref="V402:V661" si="59">IF(ISNUMBER($T402)=TRUE,IF($T402&gt;0.651,IF($T402&gt;1.001,"Reject","Alert")," ")," ")</f>
        <v xml:space="preserve"> </v>
      </c>
      <c r="W402" s="9" t="str">
        <f t="shared" ref="W402:W661" si="60">IF(L402="","",IF(ISERR(H402/H402)=TRUE," ",IF(ISERR(H402/F402)=TRUE,IF((H402-MIN(L402:N402))&gt;0.001,"Reject",""),IF(ISNUMBER($U402)=TRUE,IF($U402&gt;0.651,IF($U402&gt;1.001,"Reject","Alert")," ")," "))))</f>
        <v/>
      </c>
      <c r="X402" s="32"/>
      <c r="Y402" s="36"/>
    </row>
    <row r="403" spans="1:25" s="4" customFormat="1" ht="18" customHeight="1">
      <c r="A403" s="36"/>
      <c r="B403" s="69">
        <v>119.14</v>
      </c>
      <c r="C403" s="69" t="s">
        <v>725</v>
      </c>
      <c r="D403" s="31" t="s">
        <v>708</v>
      </c>
      <c r="E403" s="29" t="s">
        <v>34</v>
      </c>
      <c r="F403" s="28">
        <v>0.45</v>
      </c>
      <c r="G403" s="29">
        <v>0.04</v>
      </c>
      <c r="H403" s="29">
        <v>-0.04</v>
      </c>
      <c r="I403" s="30" t="s">
        <v>39</v>
      </c>
      <c r="J403" s="12">
        <f t="shared" ref="J403:J466" si="61">IF(AND(F403="",G403=""),"",IF(F403="",G403,F403+G403))</f>
        <v>0.49</v>
      </c>
      <c r="K403" s="12">
        <f t="shared" ref="K403:K466" si="62">IF(AND(F403="",H403=""),"",IF(F403="",H403,F403+H403))</f>
        <v>0.41000000000000003</v>
      </c>
      <c r="L403" s="78"/>
      <c r="M403" s="78"/>
      <c r="N403" s="78"/>
      <c r="O403" s="36"/>
      <c r="P403" s="24" t="str">
        <f t="shared" si="55"/>
        <v xml:space="preserve"> </v>
      </c>
      <c r="Q403" s="25" t="str">
        <f t="shared" si="55"/>
        <v xml:space="preserve"> </v>
      </c>
      <c r="R403" s="25" t="str">
        <f t="shared" si="55"/>
        <v xml:space="preserve"> </v>
      </c>
      <c r="S403" s="26" t="str">
        <f t="shared" si="56"/>
        <v xml:space="preserve"> </v>
      </c>
      <c r="T403" s="7" t="str">
        <f t="shared" si="57"/>
        <v xml:space="preserve"> </v>
      </c>
      <c r="U403" s="8" t="str">
        <f t="shared" si="58"/>
        <v xml:space="preserve"> </v>
      </c>
      <c r="V403" s="9" t="str">
        <f t="shared" si="59"/>
        <v xml:space="preserve"> </v>
      </c>
      <c r="W403" s="9" t="str">
        <f t="shared" si="60"/>
        <v/>
      </c>
      <c r="X403" s="32"/>
      <c r="Y403" s="36"/>
    </row>
    <row r="404" spans="1:25" s="4" customFormat="1" ht="18" customHeight="1">
      <c r="A404" s="36"/>
      <c r="B404" s="69">
        <v>119.15</v>
      </c>
      <c r="C404" s="69" t="s">
        <v>726</v>
      </c>
      <c r="D404" s="31" t="s">
        <v>708</v>
      </c>
      <c r="E404" s="29" t="s">
        <v>34</v>
      </c>
      <c r="F404" s="28">
        <v>0.45</v>
      </c>
      <c r="G404" s="29">
        <v>0.04</v>
      </c>
      <c r="H404" s="29">
        <v>-0.04</v>
      </c>
      <c r="I404" s="30" t="s">
        <v>39</v>
      </c>
      <c r="J404" s="12">
        <f t="shared" si="61"/>
        <v>0.49</v>
      </c>
      <c r="K404" s="12">
        <f t="shared" si="62"/>
        <v>0.41000000000000003</v>
      </c>
      <c r="L404" s="78"/>
      <c r="M404" s="78"/>
      <c r="N404" s="78"/>
      <c r="O404" s="36"/>
      <c r="P404" s="24" t="str">
        <f t="shared" si="55"/>
        <v xml:space="preserve"> </v>
      </c>
      <c r="Q404" s="25" t="str">
        <f t="shared" si="55"/>
        <v xml:space="preserve"> </v>
      </c>
      <c r="R404" s="25" t="str">
        <f t="shared" si="55"/>
        <v xml:space="preserve"> </v>
      </c>
      <c r="S404" s="26" t="str">
        <f t="shared" si="56"/>
        <v xml:space="preserve"> </v>
      </c>
      <c r="T404" s="7" t="str">
        <f t="shared" si="57"/>
        <v xml:space="preserve"> </v>
      </c>
      <c r="U404" s="8" t="str">
        <f t="shared" si="58"/>
        <v xml:space="preserve"> </v>
      </c>
      <c r="V404" s="9" t="str">
        <f t="shared" si="59"/>
        <v xml:space="preserve"> </v>
      </c>
      <c r="W404" s="9" t="str">
        <f t="shared" si="60"/>
        <v/>
      </c>
      <c r="X404" s="32"/>
      <c r="Y404" s="36"/>
    </row>
    <row r="405" spans="1:25" s="4" customFormat="1" ht="18" customHeight="1">
      <c r="A405" s="36"/>
      <c r="B405" s="69">
        <v>119.16</v>
      </c>
      <c r="C405" s="69" t="s">
        <v>727</v>
      </c>
      <c r="D405" s="31" t="s">
        <v>708</v>
      </c>
      <c r="E405" s="29" t="s">
        <v>34</v>
      </c>
      <c r="F405" s="28">
        <v>0.45</v>
      </c>
      <c r="G405" s="29">
        <v>0.04</v>
      </c>
      <c r="H405" s="29">
        <v>-0.04</v>
      </c>
      <c r="I405" s="30" t="s">
        <v>39</v>
      </c>
      <c r="J405" s="12">
        <f t="shared" si="61"/>
        <v>0.49</v>
      </c>
      <c r="K405" s="12">
        <f t="shared" si="62"/>
        <v>0.41000000000000003</v>
      </c>
      <c r="L405" s="78"/>
      <c r="M405" s="78"/>
      <c r="N405" s="78"/>
      <c r="O405" s="36"/>
      <c r="P405" s="24" t="str">
        <f t="shared" si="55"/>
        <v xml:space="preserve"> </v>
      </c>
      <c r="Q405" s="25" t="str">
        <f t="shared" si="55"/>
        <v xml:space="preserve"> </v>
      </c>
      <c r="R405" s="25" t="str">
        <f t="shared" si="55"/>
        <v xml:space="preserve"> </v>
      </c>
      <c r="S405" s="26" t="str">
        <f t="shared" si="56"/>
        <v xml:space="preserve"> </v>
      </c>
      <c r="T405" s="7" t="str">
        <f t="shared" si="57"/>
        <v xml:space="preserve"> </v>
      </c>
      <c r="U405" s="8" t="str">
        <f t="shared" si="58"/>
        <v xml:space="preserve"> </v>
      </c>
      <c r="V405" s="9" t="str">
        <f t="shared" si="59"/>
        <v xml:space="preserve"> </v>
      </c>
      <c r="W405" s="9" t="str">
        <f t="shared" si="60"/>
        <v/>
      </c>
      <c r="X405" s="32"/>
      <c r="Y405" s="36"/>
    </row>
    <row r="406" spans="1:25" s="4" customFormat="1" ht="18" customHeight="1">
      <c r="A406" s="36"/>
      <c r="B406" s="69">
        <v>119.17</v>
      </c>
      <c r="C406" s="69" t="s">
        <v>728</v>
      </c>
      <c r="D406" s="31" t="s">
        <v>708</v>
      </c>
      <c r="E406" s="29" t="s">
        <v>34</v>
      </c>
      <c r="F406" s="28">
        <v>0.45</v>
      </c>
      <c r="G406" s="29">
        <v>0.04</v>
      </c>
      <c r="H406" s="29">
        <v>-0.04</v>
      </c>
      <c r="I406" s="30" t="s">
        <v>39</v>
      </c>
      <c r="J406" s="12">
        <f t="shared" si="61"/>
        <v>0.49</v>
      </c>
      <c r="K406" s="12">
        <f t="shared" si="62"/>
        <v>0.41000000000000003</v>
      </c>
      <c r="L406" s="78"/>
      <c r="M406" s="78"/>
      <c r="N406" s="78"/>
      <c r="O406" s="36"/>
      <c r="P406" s="24" t="str">
        <f t="shared" si="55"/>
        <v xml:space="preserve"> </v>
      </c>
      <c r="Q406" s="25" t="str">
        <f t="shared" si="55"/>
        <v xml:space="preserve"> </v>
      </c>
      <c r="R406" s="25" t="str">
        <f t="shared" si="55"/>
        <v xml:space="preserve"> </v>
      </c>
      <c r="S406" s="26" t="str">
        <f t="shared" si="56"/>
        <v xml:space="preserve"> </v>
      </c>
      <c r="T406" s="7" t="str">
        <f t="shared" si="57"/>
        <v xml:space="preserve"> </v>
      </c>
      <c r="U406" s="8" t="str">
        <f t="shared" si="58"/>
        <v xml:space="preserve"> </v>
      </c>
      <c r="V406" s="9" t="str">
        <f t="shared" si="59"/>
        <v xml:space="preserve"> </v>
      </c>
      <c r="W406" s="9" t="str">
        <f t="shared" si="60"/>
        <v/>
      </c>
      <c r="X406" s="32"/>
      <c r="Y406" s="36"/>
    </row>
    <row r="407" spans="1:25" s="4" customFormat="1" ht="18" customHeight="1">
      <c r="A407" s="36"/>
      <c r="B407" s="69">
        <v>119.18</v>
      </c>
      <c r="C407" s="69" t="s">
        <v>729</v>
      </c>
      <c r="D407" s="31" t="s">
        <v>708</v>
      </c>
      <c r="E407" s="29" t="s">
        <v>34</v>
      </c>
      <c r="F407" s="28">
        <v>0.45</v>
      </c>
      <c r="G407" s="29">
        <v>0.04</v>
      </c>
      <c r="H407" s="29">
        <v>-0.04</v>
      </c>
      <c r="I407" s="30" t="s">
        <v>39</v>
      </c>
      <c r="J407" s="12">
        <f t="shared" si="61"/>
        <v>0.49</v>
      </c>
      <c r="K407" s="12">
        <f t="shared" si="62"/>
        <v>0.41000000000000003</v>
      </c>
      <c r="L407" s="78"/>
      <c r="M407" s="78"/>
      <c r="N407" s="78"/>
      <c r="O407" s="36"/>
      <c r="P407" s="24" t="str">
        <f t="shared" si="55"/>
        <v xml:space="preserve"> </v>
      </c>
      <c r="Q407" s="25" t="str">
        <f t="shared" si="55"/>
        <v xml:space="preserve"> </v>
      </c>
      <c r="R407" s="25" t="str">
        <f t="shared" si="55"/>
        <v xml:space="preserve"> </v>
      </c>
      <c r="S407" s="26" t="str">
        <f t="shared" si="56"/>
        <v xml:space="preserve"> </v>
      </c>
      <c r="T407" s="7" t="str">
        <f t="shared" si="57"/>
        <v xml:space="preserve"> </v>
      </c>
      <c r="U407" s="8" t="str">
        <f t="shared" si="58"/>
        <v xml:space="preserve"> </v>
      </c>
      <c r="V407" s="9" t="str">
        <f t="shared" si="59"/>
        <v xml:space="preserve"> </v>
      </c>
      <c r="W407" s="9" t="str">
        <f t="shared" si="60"/>
        <v/>
      </c>
      <c r="X407" s="32"/>
      <c r="Y407" s="36"/>
    </row>
    <row r="408" spans="1:25" s="4" customFormat="1" ht="18" customHeight="1">
      <c r="A408" s="36"/>
      <c r="B408" s="69">
        <v>119.19</v>
      </c>
      <c r="C408" s="69" t="s">
        <v>730</v>
      </c>
      <c r="D408" s="31" t="s">
        <v>708</v>
      </c>
      <c r="E408" s="29" t="s">
        <v>34</v>
      </c>
      <c r="F408" s="28">
        <v>0.45</v>
      </c>
      <c r="G408" s="29">
        <v>0.04</v>
      </c>
      <c r="H408" s="29">
        <v>-0.04</v>
      </c>
      <c r="I408" s="30" t="s">
        <v>39</v>
      </c>
      <c r="J408" s="12">
        <f t="shared" si="61"/>
        <v>0.49</v>
      </c>
      <c r="K408" s="12">
        <f t="shared" si="62"/>
        <v>0.41000000000000003</v>
      </c>
      <c r="L408" s="78"/>
      <c r="M408" s="78"/>
      <c r="N408" s="78"/>
      <c r="O408" s="36"/>
      <c r="P408" s="24" t="str">
        <f t="shared" si="55"/>
        <v xml:space="preserve"> </v>
      </c>
      <c r="Q408" s="25" t="str">
        <f t="shared" si="55"/>
        <v xml:space="preserve"> </v>
      </c>
      <c r="R408" s="25" t="str">
        <f t="shared" si="55"/>
        <v xml:space="preserve"> </v>
      </c>
      <c r="S408" s="26" t="str">
        <f t="shared" si="56"/>
        <v xml:space="preserve"> </v>
      </c>
      <c r="T408" s="7" t="str">
        <f t="shared" si="57"/>
        <v xml:space="preserve"> </v>
      </c>
      <c r="U408" s="8" t="str">
        <f t="shared" si="58"/>
        <v xml:space="preserve"> </v>
      </c>
      <c r="V408" s="9" t="str">
        <f t="shared" si="59"/>
        <v xml:space="preserve"> </v>
      </c>
      <c r="W408" s="9" t="str">
        <f t="shared" si="60"/>
        <v/>
      </c>
      <c r="X408" s="32"/>
      <c r="Y408" s="36"/>
    </row>
    <row r="409" spans="1:25" s="4" customFormat="1" ht="18" customHeight="1">
      <c r="A409" s="36"/>
      <c r="B409" s="69" t="s">
        <v>937</v>
      </c>
      <c r="C409" s="69" t="s">
        <v>731</v>
      </c>
      <c r="D409" s="31" t="s">
        <v>708</v>
      </c>
      <c r="E409" s="29" t="s">
        <v>34</v>
      </c>
      <c r="F409" s="28">
        <v>0.45</v>
      </c>
      <c r="G409" s="29">
        <v>0.04</v>
      </c>
      <c r="H409" s="29">
        <v>-0.04</v>
      </c>
      <c r="I409" s="30" t="s">
        <v>39</v>
      </c>
      <c r="J409" s="12">
        <f t="shared" si="61"/>
        <v>0.49</v>
      </c>
      <c r="K409" s="12">
        <f t="shared" si="62"/>
        <v>0.41000000000000003</v>
      </c>
      <c r="L409" s="78"/>
      <c r="M409" s="78"/>
      <c r="N409" s="78"/>
      <c r="O409" s="36"/>
      <c r="P409" s="24" t="str">
        <f t="shared" si="55"/>
        <v xml:space="preserve"> </v>
      </c>
      <c r="Q409" s="25" t="str">
        <f t="shared" si="55"/>
        <v xml:space="preserve"> </v>
      </c>
      <c r="R409" s="25" t="str">
        <f t="shared" si="55"/>
        <v xml:space="preserve"> </v>
      </c>
      <c r="S409" s="26" t="str">
        <f t="shared" si="56"/>
        <v xml:space="preserve"> </v>
      </c>
      <c r="T409" s="7" t="str">
        <f t="shared" si="57"/>
        <v xml:space="preserve"> </v>
      </c>
      <c r="U409" s="8" t="str">
        <f t="shared" si="58"/>
        <v xml:space="preserve"> </v>
      </c>
      <c r="V409" s="9" t="str">
        <f t="shared" si="59"/>
        <v xml:space="preserve"> </v>
      </c>
      <c r="W409" s="9" t="str">
        <f t="shared" si="60"/>
        <v/>
      </c>
      <c r="X409" s="32"/>
      <c r="Y409" s="36"/>
    </row>
    <row r="410" spans="1:25" s="4" customFormat="1" ht="18" customHeight="1">
      <c r="A410" s="36"/>
      <c r="B410" s="69">
        <v>119.21</v>
      </c>
      <c r="C410" s="69" t="s">
        <v>732</v>
      </c>
      <c r="D410" s="31" t="s">
        <v>708</v>
      </c>
      <c r="E410" s="29" t="s">
        <v>34</v>
      </c>
      <c r="F410" s="28">
        <v>0.45</v>
      </c>
      <c r="G410" s="29">
        <v>0.04</v>
      </c>
      <c r="H410" s="29">
        <v>-0.04</v>
      </c>
      <c r="I410" s="30" t="s">
        <v>39</v>
      </c>
      <c r="J410" s="12">
        <f t="shared" si="61"/>
        <v>0.49</v>
      </c>
      <c r="K410" s="12">
        <f t="shared" si="62"/>
        <v>0.41000000000000003</v>
      </c>
      <c r="L410" s="78"/>
      <c r="M410" s="78"/>
      <c r="N410" s="78"/>
      <c r="O410" s="36"/>
      <c r="P410" s="24" t="str">
        <f t="shared" si="55"/>
        <v xml:space="preserve"> </v>
      </c>
      <c r="Q410" s="25" t="str">
        <f t="shared" si="55"/>
        <v xml:space="preserve"> </v>
      </c>
      <c r="R410" s="25" t="str">
        <f t="shared" si="55"/>
        <v xml:space="preserve"> </v>
      </c>
      <c r="S410" s="26" t="str">
        <f t="shared" si="56"/>
        <v xml:space="preserve"> </v>
      </c>
      <c r="T410" s="7" t="str">
        <f t="shared" si="57"/>
        <v xml:space="preserve"> </v>
      </c>
      <c r="U410" s="8" t="str">
        <f t="shared" si="58"/>
        <v xml:space="preserve"> </v>
      </c>
      <c r="V410" s="9" t="str">
        <f t="shared" si="59"/>
        <v xml:space="preserve"> </v>
      </c>
      <c r="W410" s="9" t="str">
        <f t="shared" si="60"/>
        <v/>
      </c>
      <c r="X410" s="32"/>
      <c r="Y410" s="36"/>
    </row>
    <row r="411" spans="1:25" s="4" customFormat="1" ht="18" customHeight="1">
      <c r="A411" s="36"/>
      <c r="B411" s="69">
        <v>119.22</v>
      </c>
      <c r="C411" s="69" t="s">
        <v>733</v>
      </c>
      <c r="D411" s="31" t="s">
        <v>708</v>
      </c>
      <c r="E411" s="29" t="s">
        <v>34</v>
      </c>
      <c r="F411" s="28">
        <v>0.45</v>
      </c>
      <c r="G411" s="29">
        <v>0.04</v>
      </c>
      <c r="H411" s="29">
        <v>-0.04</v>
      </c>
      <c r="I411" s="30" t="s">
        <v>39</v>
      </c>
      <c r="J411" s="12">
        <f t="shared" si="61"/>
        <v>0.49</v>
      </c>
      <c r="K411" s="12">
        <f t="shared" si="62"/>
        <v>0.41000000000000003</v>
      </c>
      <c r="L411" s="78"/>
      <c r="M411" s="78"/>
      <c r="N411" s="78"/>
      <c r="O411" s="36"/>
      <c r="P411" s="24" t="str">
        <f t="shared" si="55"/>
        <v xml:space="preserve"> </v>
      </c>
      <c r="Q411" s="25" t="str">
        <f t="shared" si="55"/>
        <v xml:space="preserve"> </v>
      </c>
      <c r="R411" s="25" t="str">
        <f t="shared" si="55"/>
        <v xml:space="preserve"> </v>
      </c>
      <c r="S411" s="26" t="str">
        <f t="shared" si="56"/>
        <v xml:space="preserve"> </v>
      </c>
      <c r="T411" s="7" t="str">
        <f t="shared" si="57"/>
        <v xml:space="preserve"> </v>
      </c>
      <c r="U411" s="8" t="str">
        <f t="shared" si="58"/>
        <v xml:space="preserve"> </v>
      </c>
      <c r="V411" s="9" t="str">
        <f t="shared" si="59"/>
        <v xml:space="preserve"> </v>
      </c>
      <c r="W411" s="9" t="str">
        <f t="shared" si="60"/>
        <v/>
      </c>
      <c r="X411" s="32"/>
      <c r="Y411" s="36"/>
    </row>
    <row r="412" spans="1:25" s="4" customFormat="1" ht="18" customHeight="1">
      <c r="A412" s="36"/>
      <c r="B412" s="69">
        <v>119.23</v>
      </c>
      <c r="C412" s="69" t="s">
        <v>734</v>
      </c>
      <c r="D412" s="31" t="s">
        <v>708</v>
      </c>
      <c r="E412" s="29" t="s">
        <v>34</v>
      </c>
      <c r="F412" s="28">
        <v>0.45</v>
      </c>
      <c r="G412" s="29">
        <v>0.04</v>
      </c>
      <c r="H412" s="29">
        <v>-0.04</v>
      </c>
      <c r="I412" s="30" t="s">
        <v>39</v>
      </c>
      <c r="J412" s="12">
        <f t="shared" si="61"/>
        <v>0.49</v>
      </c>
      <c r="K412" s="12">
        <f t="shared" si="62"/>
        <v>0.41000000000000003</v>
      </c>
      <c r="L412" s="78"/>
      <c r="M412" s="78"/>
      <c r="N412" s="78"/>
      <c r="O412" s="36"/>
      <c r="P412" s="24" t="str">
        <f t="shared" si="55"/>
        <v xml:space="preserve"> </v>
      </c>
      <c r="Q412" s="25" t="str">
        <f t="shared" si="55"/>
        <v xml:space="preserve"> </v>
      </c>
      <c r="R412" s="25" t="str">
        <f t="shared" si="55"/>
        <v xml:space="preserve"> </v>
      </c>
      <c r="S412" s="26" t="str">
        <f t="shared" si="56"/>
        <v xml:space="preserve"> </v>
      </c>
      <c r="T412" s="7" t="str">
        <f t="shared" si="57"/>
        <v xml:space="preserve"> </v>
      </c>
      <c r="U412" s="8" t="str">
        <f t="shared" si="58"/>
        <v xml:space="preserve"> </v>
      </c>
      <c r="V412" s="9" t="str">
        <f t="shared" si="59"/>
        <v xml:space="preserve"> </v>
      </c>
      <c r="W412" s="9" t="str">
        <f t="shared" si="60"/>
        <v/>
      </c>
      <c r="X412" s="32"/>
      <c r="Y412" s="36"/>
    </row>
    <row r="413" spans="1:25" s="4" customFormat="1" ht="18" customHeight="1">
      <c r="A413" s="36"/>
      <c r="B413" s="69">
        <v>119.24</v>
      </c>
      <c r="C413" s="69" t="s">
        <v>735</v>
      </c>
      <c r="D413" s="31" t="s">
        <v>708</v>
      </c>
      <c r="E413" s="29" t="s">
        <v>34</v>
      </c>
      <c r="F413" s="28">
        <v>0.45</v>
      </c>
      <c r="G413" s="29">
        <v>0.04</v>
      </c>
      <c r="H413" s="29">
        <v>-0.04</v>
      </c>
      <c r="I413" s="30" t="s">
        <v>39</v>
      </c>
      <c r="J413" s="12">
        <f t="shared" si="61"/>
        <v>0.49</v>
      </c>
      <c r="K413" s="12">
        <f t="shared" si="62"/>
        <v>0.41000000000000003</v>
      </c>
      <c r="L413" s="78"/>
      <c r="M413" s="78"/>
      <c r="N413" s="78"/>
      <c r="O413" s="36"/>
      <c r="P413" s="24" t="str">
        <f t="shared" si="55"/>
        <v xml:space="preserve"> </v>
      </c>
      <c r="Q413" s="25" t="str">
        <f t="shared" si="55"/>
        <v xml:space="preserve"> </v>
      </c>
      <c r="R413" s="25" t="str">
        <f t="shared" si="55"/>
        <v xml:space="preserve"> </v>
      </c>
      <c r="S413" s="26" t="str">
        <f t="shared" si="56"/>
        <v xml:space="preserve"> </v>
      </c>
      <c r="T413" s="7" t="str">
        <f t="shared" si="57"/>
        <v xml:space="preserve"> </v>
      </c>
      <c r="U413" s="8" t="str">
        <f t="shared" si="58"/>
        <v xml:space="preserve"> </v>
      </c>
      <c r="V413" s="9" t="str">
        <f t="shared" si="59"/>
        <v xml:space="preserve"> </v>
      </c>
      <c r="W413" s="9" t="str">
        <f t="shared" si="60"/>
        <v/>
      </c>
      <c r="X413" s="32"/>
      <c r="Y413" s="36"/>
    </row>
    <row r="414" spans="1:25" s="4" customFormat="1" ht="18" customHeight="1">
      <c r="A414" s="36"/>
      <c r="B414" s="69">
        <v>119.25</v>
      </c>
      <c r="C414" s="69" t="s">
        <v>736</v>
      </c>
      <c r="D414" s="31" t="s">
        <v>708</v>
      </c>
      <c r="E414" s="29" t="s">
        <v>34</v>
      </c>
      <c r="F414" s="28">
        <v>0.45</v>
      </c>
      <c r="G414" s="29">
        <v>0.04</v>
      </c>
      <c r="H414" s="29">
        <v>-0.04</v>
      </c>
      <c r="I414" s="30" t="s">
        <v>39</v>
      </c>
      <c r="J414" s="12">
        <f t="shared" si="61"/>
        <v>0.49</v>
      </c>
      <c r="K414" s="12">
        <f t="shared" si="62"/>
        <v>0.41000000000000003</v>
      </c>
      <c r="L414" s="78"/>
      <c r="M414" s="78"/>
      <c r="N414" s="78"/>
      <c r="O414" s="36"/>
      <c r="P414" s="24" t="str">
        <f t="shared" si="55"/>
        <v xml:space="preserve"> </v>
      </c>
      <c r="Q414" s="25" t="str">
        <f t="shared" si="55"/>
        <v xml:space="preserve"> </v>
      </c>
      <c r="R414" s="25" t="str">
        <f t="shared" si="55"/>
        <v xml:space="preserve"> </v>
      </c>
      <c r="S414" s="26" t="str">
        <f t="shared" si="56"/>
        <v xml:space="preserve"> </v>
      </c>
      <c r="T414" s="7" t="str">
        <f t="shared" si="57"/>
        <v xml:space="preserve"> </v>
      </c>
      <c r="U414" s="8" t="str">
        <f t="shared" si="58"/>
        <v xml:space="preserve"> </v>
      </c>
      <c r="V414" s="9" t="str">
        <f t="shared" si="59"/>
        <v xml:space="preserve"> </v>
      </c>
      <c r="W414" s="9" t="str">
        <f t="shared" si="60"/>
        <v/>
      </c>
      <c r="X414" s="32"/>
      <c r="Y414" s="36"/>
    </row>
    <row r="415" spans="1:25" s="4" customFormat="1" ht="18" customHeight="1">
      <c r="A415" s="36"/>
      <c r="B415" s="69">
        <v>119.26</v>
      </c>
      <c r="C415" s="69" t="s">
        <v>737</v>
      </c>
      <c r="D415" s="31" t="s">
        <v>708</v>
      </c>
      <c r="E415" s="29" t="s">
        <v>34</v>
      </c>
      <c r="F415" s="28">
        <v>0.45</v>
      </c>
      <c r="G415" s="29">
        <v>0.04</v>
      </c>
      <c r="H415" s="29">
        <v>-0.04</v>
      </c>
      <c r="I415" s="30" t="s">
        <v>39</v>
      </c>
      <c r="J415" s="12">
        <f t="shared" si="61"/>
        <v>0.49</v>
      </c>
      <c r="K415" s="12">
        <f t="shared" si="62"/>
        <v>0.41000000000000003</v>
      </c>
      <c r="L415" s="78"/>
      <c r="M415" s="78"/>
      <c r="N415" s="78"/>
      <c r="O415" s="36"/>
      <c r="P415" s="24" t="str">
        <f t="shared" si="55"/>
        <v xml:space="preserve"> </v>
      </c>
      <c r="Q415" s="25" t="str">
        <f t="shared" si="55"/>
        <v xml:space="preserve"> </v>
      </c>
      <c r="R415" s="25" t="str">
        <f t="shared" si="55"/>
        <v xml:space="preserve"> </v>
      </c>
      <c r="S415" s="26" t="str">
        <f t="shared" si="56"/>
        <v xml:space="preserve"> </v>
      </c>
      <c r="T415" s="7" t="str">
        <f t="shared" si="57"/>
        <v xml:space="preserve"> </v>
      </c>
      <c r="U415" s="8" t="str">
        <f t="shared" si="58"/>
        <v xml:space="preserve"> </v>
      </c>
      <c r="V415" s="9" t="str">
        <f t="shared" si="59"/>
        <v xml:space="preserve"> </v>
      </c>
      <c r="W415" s="9" t="str">
        <f t="shared" si="60"/>
        <v/>
      </c>
      <c r="X415" s="32"/>
      <c r="Y415" s="36"/>
    </row>
    <row r="416" spans="1:25" s="4" customFormat="1" ht="18" customHeight="1">
      <c r="A416" s="36"/>
      <c r="B416" s="69">
        <v>119.27</v>
      </c>
      <c r="C416" s="69" t="s">
        <v>738</v>
      </c>
      <c r="D416" s="31" t="s">
        <v>708</v>
      </c>
      <c r="E416" s="29" t="s">
        <v>34</v>
      </c>
      <c r="F416" s="28">
        <v>0.45</v>
      </c>
      <c r="G416" s="29">
        <v>0.04</v>
      </c>
      <c r="H416" s="29">
        <v>-0.04</v>
      </c>
      <c r="I416" s="30" t="s">
        <v>39</v>
      </c>
      <c r="J416" s="12">
        <f t="shared" si="61"/>
        <v>0.49</v>
      </c>
      <c r="K416" s="12">
        <f t="shared" si="62"/>
        <v>0.41000000000000003</v>
      </c>
      <c r="L416" s="78"/>
      <c r="M416" s="78"/>
      <c r="N416" s="78"/>
      <c r="O416" s="36"/>
      <c r="P416" s="24" t="str">
        <f t="shared" si="55"/>
        <v xml:space="preserve"> </v>
      </c>
      <c r="Q416" s="25" t="str">
        <f t="shared" si="55"/>
        <v xml:space="preserve"> </v>
      </c>
      <c r="R416" s="25" t="str">
        <f t="shared" si="55"/>
        <v xml:space="preserve"> </v>
      </c>
      <c r="S416" s="26" t="str">
        <f t="shared" si="56"/>
        <v xml:space="preserve"> </v>
      </c>
      <c r="T416" s="7" t="str">
        <f t="shared" si="57"/>
        <v xml:space="preserve"> </v>
      </c>
      <c r="U416" s="8" t="str">
        <f t="shared" si="58"/>
        <v xml:space="preserve"> </v>
      </c>
      <c r="V416" s="9" t="str">
        <f t="shared" si="59"/>
        <v xml:space="preserve"> </v>
      </c>
      <c r="W416" s="9" t="str">
        <f t="shared" si="60"/>
        <v/>
      </c>
      <c r="X416" s="32"/>
      <c r="Y416" s="36"/>
    </row>
    <row r="417" spans="1:25" s="4" customFormat="1" ht="18" customHeight="1">
      <c r="A417" s="36"/>
      <c r="B417" s="69">
        <v>119.28</v>
      </c>
      <c r="C417" s="69" t="s">
        <v>739</v>
      </c>
      <c r="D417" s="31" t="s">
        <v>708</v>
      </c>
      <c r="E417" s="29" t="s">
        <v>34</v>
      </c>
      <c r="F417" s="28">
        <v>0.45</v>
      </c>
      <c r="G417" s="29">
        <v>0.04</v>
      </c>
      <c r="H417" s="29">
        <v>-0.04</v>
      </c>
      <c r="I417" s="30" t="s">
        <v>39</v>
      </c>
      <c r="J417" s="12">
        <f t="shared" si="61"/>
        <v>0.49</v>
      </c>
      <c r="K417" s="12">
        <f t="shared" si="62"/>
        <v>0.41000000000000003</v>
      </c>
      <c r="L417" s="78"/>
      <c r="M417" s="78"/>
      <c r="N417" s="78"/>
      <c r="O417" s="36"/>
      <c r="P417" s="24" t="str">
        <f t="shared" si="55"/>
        <v xml:space="preserve"> </v>
      </c>
      <c r="Q417" s="25" t="str">
        <f t="shared" si="55"/>
        <v xml:space="preserve"> </v>
      </c>
      <c r="R417" s="25" t="str">
        <f t="shared" si="55"/>
        <v xml:space="preserve"> </v>
      </c>
      <c r="S417" s="26" t="str">
        <f t="shared" si="56"/>
        <v xml:space="preserve"> </v>
      </c>
      <c r="T417" s="7" t="str">
        <f t="shared" si="57"/>
        <v xml:space="preserve"> </v>
      </c>
      <c r="U417" s="8" t="str">
        <f t="shared" si="58"/>
        <v xml:space="preserve"> </v>
      </c>
      <c r="V417" s="9" t="str">
        <f t="shared" si="59"/>
        <v xml:space="preserve"> </v>
      </c>
      <c r="W417" s="9" t="str">
        <f t="shared" si="60"/>
        <v/>
      </c>
      <c r="X417" s="32"/>
      <c r="Y417" s="36"/>
    </row>
    <row r="418" spans="1:25" s="4" customFormat="1" ht="18" customHeight="1">
      <c r="A418" s="36"/>
      <c r="B418" s="69">
        <v>119.29</v>
      </c>
      <c r="C418" s="69" t="s">
        <v>740</v>
      </c>
      <c r="D418" s="31" t="s">
        <v>708</v>
      </c>
      <c r="E418" s="29" t="s">
        <v>34</v>
      </c>
      <c r="F418" s="28">
        <v>0.45</v>
      </c>
      <c r="G418" s="29">
        <v>0.04</v>
      </c>
      <c r="H418" s="29">
        <v>-0.04</v>
      </c>
      <c r="I418" s="30" t="s">
        <v>39</v>
      </c>
      <c r="J418" s="12">
        <f t="shared" si="61"/>
        <v>0.49</v>
      </c>
      <c r="K418" s="12">
        <f t="shared" si="62"/>
        <v>0.41000000000000003</v>
      </c>
      <c r="L418" s="78"/>
      <c r="M418" s="78"/>
      <c r="N418" s="78"/>
      <c r="O418" s="36"/>
      <c r="P418" s="24" t="str">
        <f t="shared" si="55"/>
        <v xml:space="preserve"> </v>
      </c>
      <c r="Q418" s="25" t="str">
        <f t="shared" si="55"/>
        <v xml:space="preserve"> </v>
      </c>
      <c r="R418" s="25" t="str">
        <f t="shared" si="55"/>
        <v xml:space="preserve"> </v>
      </c>
      <c r="S418" s="26" t="str">
        <f t="shared" si="56"/>
        <v xml:space="preserve"> </v>
      </c>
      <c r="T418" s="7" t="str">
        <f t="shared" si="57"/>
        <v xml:space="preserve"> </v>
      </c>
      <c r="U418" s="8" t="str">
        <f t="shared" si="58"/>
        <v xml:space="preserve"> </v>
      </c>
      <c r="V418" s="9" t="str">
        <f t="shared" si="59"/>
        <v xml:space="preserve"> </v>
      </c>
      <c r="W418" s="9" t="str">
        <f t="shared" si="60"/>
        <v/>
      </c>
      <c r="X418" s="32"/>
      <c r="Y418" s="36"/>
    </row>
    <row r="419" spans="1:25" s="4" customFormat="1" ht="18" customHeight="1">
      <c r="A419" s="36"/>
      <c r="B419" s="69" t="s">
        <v>938</v>
      </c>
      <c r="C419" s="69" t="s">
        <v>741</v>
      </c>
      <c r="D419" s="31" t="s">
        <v>708</v>
      </c>
      <c r="E419" s="29" t="s">
        <v>34</v>
      </c>
      <c r="F419" s="28">
        <v>0.45</v>
      </c>
      <c r="G419" s="29">
        <v>0.04</v>
      </c>
      <c r="H419" s="29">
        <v>-0.04</v>
      </c>
      <c r="I419" s="30" t="s">
        <v>39</v>
      </c>
      <c r="J419" s="12">
        <f t="shared" si="61"/>
        <v>0.49</v>
      </c>
      <c r="K419" s="12">
        <f t="shared" si="62"/>
        <v>0.41000000000000003</v>
      </c>
      <c r="L419" s="78"/>
      <c r="M419" s="78"/>
      <c r="N419" s="78"/>
      <c r="O419" s="36"/>
      <c r="P419" s="24" t="str">
        <f t="shared" si="55"/>
        <v xml:space="preserve"> </v>
      </c>
      <c r="Q419" s="25" t="str">
        <f t="shared" si="55"/>
        <v xml:space="preserve"> </v>
      </c>
      <c r="R419" s="25" t="str">
        <f t="shared" si="55"/>
        <v xml:space="preserve"> </v>
      </c>
      <c r="S419" s="26" t="str">
        <f t="shared" si="56"/>
        <v xml:space="preserve"> </v>
      </c>
      <c r="T419" s="7" t="str">
        <f t="shared" si="57"/>
        <v xml:space="preserve"> </v>
      </c>
      <c r="U419" s="8" t="str">
        <f t="shared" si="58"/>
        <v xml:space="preserve"> </v>
      </c>
      <c r="V419" s="9" t="str">
        <f t="shared" si="59"/>
        <v xml:space="preserve"> </v>
      </c>
      <c r="W419" s="9" t="str">
        <f t="shared" si="60"/>
        <v/>
      </c>
      <c r="X419" s="32"/>
      <c r="Y419" s="36"/>
    </row>
    <row r="420" spans="1:25" s="4" customFormat="1" ht="18" customHeight="1">
      <c r="A420" s="36"/>
      <c r="B420" s="69">
        <v>119.31</v>
      </c>
      <c r="C420" s="69" t="s">
        <v>742</v>
      </c>
      <c r="D420" s="31" t="s">
        <v>708</v>
      </c>
      <c r="E420" s="29" t="s">
        <v>34</v>
      </c>
      <c r="F420" s="28">
        <v>0.45</v>
      </c>
      <c r="G420" s="29">
        <v>0.04</v>
      </c>
      <c r="H420" s="29">
        <v>-0.04</v>
      </c>
      <c r="I420" s="30" t="s">
        <v>39</v>
      </c>
      <c r="J420" s="12">
        <f t="shared" si="61"/>
        <v>0.49</v>
      </c>
      <c r="K420" s="12">
        <f t="shared" si="62"/>
        <v>0.41000000000000003</v>
      </c>
      <c r="L420" s="78"/>
      <c r="M420" s="78"/>
      <c r="N420" s="78"/>
      <c r="O420" s="36"/>
      <c r="P420" s="24" t="str">
        <f t="shared" si="55"/>
        <v xml:space="preserve"> </v>
      </c>
      <c r="Q420" s="25" t="str">
        <f t="shared" si="55"/>
        <v xml:space="preserve"> </v>
      </c>
      <c r="R420" s="25" t="str">
        <f t="shared" si="55"/>
        <v xml:space="preserve"> </v>
      </c>
      <c r="S420" s="26" t="str">
        <f t="shared" si="56"/>
        <v xml:space="preserve"> </v>
      </c>
      <c r="T420" s="7" t="str">
        <f t="shared" si="57"/>
        <v xml:space="preserve"> </v>
      </c>
      <c r="U420" s="8" t="str">
        <f t="shared" si="58"/>
        <v xml:space="preserve"> </v>
      </c>
      <c r="V420" s="9" t="str">
        <f t="shared" si="59"/>
        <v xml:space="preserve"> </v>
      </c>
      <c r="W420" s="9" t="str">
        <f t="shared" si="60"/>
        <v/>
      </c>
      <c r="X420" s="32"/>
      <c r="Y420" s="36"/>
    </row>
    <row r="421" spans="1:25" s="4" customFormat="1" ht="18" customHeight="1">
      <c r="A421" s="36"/>
      <c r="B421" s="69">
        <v>119.32</v>
      </c>
      <c r="C421" s="69" t="s">
        <v>743</v>
      </c>
      <c r="D421" s="31" t="s">
        <v>708</v>
      </c>
      <c r="E421" s="29" t="s">
        <v>34</v>
      </c>
      <c r="F421" s="28">
        <v>0.45</v>
      </c>
      <c r="G421" s="29">
        <v>0.04</v>
      </c>
      <c r="H421" s="29">
        <v>-0.04</v>
      </c>
      <c r="I421" s="30" t="s">
        <v>39</v>
      </c>
      <c r="J421" s="12">
        <f t="shared" si="61"/>
        <v>0.49</v>
      </c>
      <c r="K421" s="12">
        <f t="shared" si="62"/>
        <v>0.41000000000000003</v>
      </c>
      <c r="L421" s="78"/>
      <c r="M421" s="78"/>
      <c r="N421" s="78"/>
      <c r="O421" s="36"/>
      <c r="P421" s="24" t="str">
        <f t="shared" si="55"/>
        <v xml:space="preserve"> </v>
      </c>
      <c r="Q421" s="25" t="str">
        <f t="shared" si="55"/>
        <v xml:space="preserve"> </v>
      </c>
      <c r="R421" s="25" t="str">
        <f t="shared" si="55"/>
        <v xml:space="preserve"> </v>
      </c>
      <c r="S421" s="26" t="str">
        <f t="shared" si="56"/>
        <v xml:space="preserve"> </v>
      </c>
      <c r="T421" s="7" t="str">
        <f t="shared" si="57"/>
        <v xml:space="preserve"> </v>
      </c>
      <c r="U421" s="8" t="str">
        <f t="shared" si="58"/>
        <v xml:space="preserve"> </v>
      </c>
      <c r="V421" s="9" t="str">
        <f t="shared" si="59"/>
        <v xml:space="preserve"> </v>
      </c>
      <c r="W421" s="9" t="str">
        <f t="shared" si="60"/>
        <v/>
      </c>
      <c r="X421" s="32"/>
      <c r="Y421" s="36"/>
    </row>
    <row r="422" spans="1:25" s="4" customFormat="1" ht="18" customHeight="1">
      <c r="A422" s="36"/>
      <c r="B422" s="69">
        <v>119.33</v>
      </c>
      <c r="C422" s="69" t="s">
        <v>744</v>
      </c>
      <c r="D422" s="31" t="s">
        <v>708</v>
      </c>
      <c r="E422" s="29" t="s">
        <v>34</v>
      </c>
      <c r="F422" s="28">
        <v>0.45</v>
      </c>
      <c r="G422" s="29">
        <v>0.04</v>
      </c>
      <c r="H422" s="29">
        <v>-0.04</v>
      </c>
      <c r="I422" s="30" t="s">
        <v>39</v>
      </c>
      <c r="J422" s="12">
        <f t="shared" si="61"/>
        <v>0.49</v>
      </c>
      <c r="K422" s="12">
        <f t="shared" si="62"/>
        <v>0.41000000000000003</v>
      </c>
      <c r="L422" s="78"/>
      <c r="M422" s="78"/>
      <c r="N422" s="78"/>
      <c r="O422" s="36"/>
      <c r="P422" s="24" t="str">
        <f t="shared" si="55"/>
        <v xml:space="preserve"> </v>
      </c>
      <c r="Q422" s="25" t="str">
        <f t="shared" si="55"/>
        <v xml:space="preserve"> </v>
      </c>
      <c r="R422" s="25" t="str">
        <f t="shared" si="55"/>
        <v xml:space="preserve"> </v>
      </c>
      <c r="S422" s="26" t="str">
        <f t="shared" si="56"/>
        <v xml:space="preserve"> </v>
      </c>
      <c r="T422" s="7" t="str">
        <f t="shared" si="57"/>
        <v xml:space="preserve"> </v>
      </c>
      <c r="U422" s="8" t="str">
        <f t="shared" si="58"/>
        <v xml:space="preserve"> </v>
      </c>
      <c r="V422" s="9" t="str">
        <f t="shared" si="59"/>
        <v xml:space="preserve"> </v>
      </c>
      <c r="W422" s="9" t="str">
        <f t="shared" si="60"/>
        <v/>
      </c>
      <c r="X422" s="32"/>
      <c r="Y422" s="36"/>
    </row>
    <row r="423" spans="1:25" s="4" customFormat="1" ht="18" customHeight="1">
      <c r="A423" s="36"/>
      <c r="B423" s="69">
        <v>119.34</v>
      </c>
      <c r="C423" s="69" t="s">
        <v>745</v>
      </c>
      <c r="D423" s="31" t="s">
        <v>708</v>
      </c>
      <c r="E423" s="29" t="s">
        <v>34</v>
      </c>
      <c r="F423" s="28">
        <v>0.45</v>
      </c>
      <c r="G423" s="29">
        <v>0.04</v>
      </c>
      <c r="H423" s="29">
        <v>-0.04</v>
      </c>
      <c r="I423" s="30" t="s">
        <v>39</v>
      </c>
      <c r="J423" s="12">
        <f t="shared" si="61"/>
        <v>0.49</v>
      </c>
      <c r="K423" s="12">
        <f t="shared" si="62"/>
        <v>0.41000000000000003</v>
      </c>
      <c r="L423" s="78"/>
      <c r="M423" s="78"/>
      <c r="N423" s="78"/>
      <c r="O423" s="36"/>
      <c r="P423" s="24" t="str">
        <f t="shared" si="55"/>
        <v xml:space="preserve"> </v>
      </c>
      <c r="Q423" s="25" t="str">
        <f t="shared" si="55"/>
        <v xml:space="preserve"> </v>
      </c>
      <c r="R423" s="25" t="str">
        <f t="shared" si="55"/>
        <v xml:space="preserve"> </v>
      </c>
      <c r="S423" s="26" t="str">
        <f t="shared" si="56"/>
        <v xml:space="preserve"> </v>
      </c>
      <c r="T423" s="7" t="str">
        <f t="shared" si="57"/>
        <v xml:space="preserve"> </v>
      </c>
      <c r="U423" s="8" t="str">
        <f t="shared" si="58"/>
        <v xml:space="preserve"> </v>
      </c>
      <c r="V423" s="9" t="str">
        <f t="shared" si="59"/>
        <v xml:space="preserve"> </v>
      </c>
      <c r="W423" s="9" t="str">
        <f t="shared" si="60"/>
        <v/>
      </c>
      <c r="X423" s="32"/>
      <c r="Y423" s="36"/>
    </row>
    <row r="424" spans="1:25" s="4" customFormat="1" ht="18" customHeight="1">
      <c r="A424" s="36"/>
      <c r="B424" s="69">
        <v>119.35</v>
      </c>
      <c r="C424" s="69" t="s">
        <v>746</v>
      </c>
      <c r="D424" s="31" t="s">
        <v>708</v>
      </c>
      <c r="E424" s="29" t="s">
        <v>34</v>
      </c>
      <c r="F424" s="28">
        <v>0.45</v>
      </c>
      <c r="G424" s="29">
        <v>0.04</v>
      </c>
      <c r="H424" s="29">
        <v>-0.04</v>
      </c>
      <c r="I424" s="30" t="s">
        <v>39</v>
      </c>
      <c r="J424" s="12">
        <f t="shared" si="61"/>
        <v>0.49</v>
      </c>
      <c r="K424" s="12">
        <f t="shared" si="62"/>
        <v>0.41000000000000003</v>
      </c>
      <c r="L424" s="78"/>
      <c r="M424" s="78"/>
      <c r="N424" s="78"/>
      <c r="O424" s="36"/>
      <c r="P424" s="24" t="str">
        <f t="shared" si="55"/>
        <v xml:space="preserve"> </v>
      </c>
      <c r="Q424" s="25" t="str">
        <f t="shared" si="55"/>
        <v xml:space="preserve"> </v>
      </c>
      <c r="R424" s="25" t="str">
        <f t="shared" si="55"/>
        <v xml:space="preserve"> </v>
      </c>
      <c r="S424" s="26" t="str">
        <f t="shared" si="56"/>
        <v xml:space="preserve"> </v>
      </c>
      <c r="T424" s="7" t="str">
        <f t="shared" si="57"/>
        <v xml:space="preserve"> </v>
      </c>
      <c r="U424" s="8" t="str">
        <f t="shared" si="58"/>
        <v xml:space="preserve"> </v>
      </c>
      <c r="V424" s="9" t="str">
        <f t="shared" si="59"/>
        <v xml:space="preserve"> </v>
      </c>
      <c r="W424" s="9" t="str">
        <f t="shared" si="60"/>
        <v/>
      </c>
      <c r="X424" s="32"/>
      <c r="Y424" s="36"/>
    </row>
    <row r="425" spans="1:25" s="4" customFormat="1" ht="18" customHeight="1">
      <c r="A425" s="36"/>
      <c r="B425" s="69">
        <v>119.36</v>
      </c>
      <c r="C425" s="69" t="s">
        <v>747</v>
      </c>
      <c r="D425" s="31" t="s">
        <v>708</v>
      </c>
      <c r="E425" s="29" t="s">
        <v>34</v>
      </c>
      <c r="F425" s="28">
        <v>0.45</v>
      </c>
      <c r="G425" s="29">
        <v>0.04</v>
      </c>
      <c r="H425" s="29">
        <v>-0.04</v>
      </c>
      <c r="I425" s="30" t="s">
        <v>39</v>
      </c>
      <c r="J425" s="12">
        <f t="shared" si="61"/>
        <v>0.49</v>
      </c>
      <c r="K425" s="12">
        <f t="shared" si="62"/>
        <v>0.41000000000000003</v>
      </c>
      <c r="L425" s="78"/>
      <c r="M425" s="78"/>
      <c r="N425" s="78"/>
      <c r="O425" s="36"/>
      <c r="P425" s="24" t="str">
        <f t="shared" si="55"/>
        <v xml:space="preserve"> </v>
      </c>
      <c r="Q425" s="25" t="str">
        <f t="shared" si="55"/>
        <v xml:space="preserve"> </v>
      </c>
      <c r="R425" s="25" t="str">
        <f t="shared" si="55"/>
        <v xml:space="preserve"> </v>
      </c>
      <c r="S425" s="26" t="str">
        <f t="shared" si="56"/>
        <v xml:space="preserve"> </v>
      </c>
      <c r="T425" s="7" t="str">
        <f t="shared" si="57"/>
        <v xml:space="preserve"> </v>
      </c>
      <c r="U425" s="8" t="str">
        <f t="shared" si="58"/>
        <v xml:space="preserve"> </v>
      </c>
      <c r="V425" s="9" t="str">
        <f t="shared" si="59"/>
        <v xml:space="preserve"> </v>
      </c>
      <c r="W425" s="9" t="str">
        <f t="shared" si="60"/>
        <v/>
      </c>
      <c r="X425" s="32"/>
      <c r="Y425" s="36"/>
    </row>
    <row r="426" spans="1:25" s="4" customFormat="1" ht="18" customHeight="1">
      <c r="A426" s="36"/>
      <c r="B426" s="69">
        <v>119.37</v>
      </c>
      <c r="C426" s="69" t="s">
        <v>748</v>
      </c>
      <c r="D426" s="31" t="s">
        <v>708</v>
      </c>
      <c r="E426" s="29" t="s">
        <v>34</v>
      </c>
      <c r="F426" s="28">
        <v>0.45</v>
      </c>
      <c r="G426" s="29">
        <v>0.04</v>
      </c>
      <c r="H426" s="29">
        <v>-0.04</v>
      </c>
      <c r="I426" s="30" t="s">
        <v>39</v>
      </c>
      <c r="J426" s="12">
        <f t="shared" si="61"/>
        <v>0.49</v>
      </c>
      <c r="K426" s="12">
        <f t="shared" si="62"/>
        <v>0.41000000000000003</v>
      </c>
      <c r="L426" s="78"/>
      <c r="M426" s="78"/>
      <c r="N426" s="78"/>
      <c r="O426" s="36"/>
      <c r="P426" s="24" t="str">
        <f t="shared" si="55"/>
        <v xml:space="preserve"> </v>
      </c>
      <c r="Q426" s="25" t="str">
        <f t="shared" si="55"/>
        <v xml:space="preserve"> </v>
      </c>
      <c r="R426" s="25" t="str">
        <f t="shared" si="55"/>
        <v xml:space="preserve"> </v>
      </c>
      <c r="S426" s="26" t="str">
        <f t="shared" si="56"/>
        <v xml:space="preserve"> </v>
      </c>
      <c r="T426" s="7" t="str">
        <f t="shared" si="57"/>
        <v xml:space="preserve"> </v>
      </c>
      <c r="U426" s="8" t="str">
        <f t="shared" si="58"/>
        <v xml:space="preserve"> </v>
      </c>
      <c r="V426" s="9" t="str">
        <f t="shared" si="59"/>
        <v xml:space="preserve"> </v>
      </c>
      <c r="W426" s="9" t="str">
        <f t="shared" si="60"/>
        <v/>
      </c>
      <c r="X426" s="32"/>
      <c r="Y426" s="36"/>
    </row>
    <row r="427" spans="1:25" s="4" customFormat="1" ht="18" customHeight="1">
      <c r="A427" s="36"/>
      <c r="B427" s="69">
        <v>119.38</v>
      </c>
      <c r="C427" s="69" t="s">
        <v>749</v>
      </c>
      <c r="D427" s="31" t="s">
        <v>708</v>
      </c>
      <c r="E427" s="29" t="s">
        <v>34</v>
      </c>
      <c r="F427" s="28">
        <v>0.45</v>
      </c>
      <c r="G427" s="29">
        <v>0.04</v>
      </c>
      <c r="H427" s="29">
        <v>-0.04</v>
      </c>
      <c r="I427" s="30" t="s">
        <v>39</v>
      </c>
      <c r="J427" s="12">
        <f t="shared" si="61"/>
        <v>0.49</v>
      </c>
      <c r="K427" s="12">
        <f t="shared" si="62"/>
        <v>0.41000000000000003</v>
      </c>
      <c r="L427" s="78"/>
      <c r="M427" s="78"/>
      <c r="N427" s="78"/>
      <c r="O427" s="36"/>
      <c r="P427" s="24" t="str">
        <f t="shared" si="55"/>
        <v xml:space="preserve"> </v>
      </c>
      <c r="Q427" s="25" t="str">
        <f t="shared" si="55"/>
        <v xml:space="preserve"> </v>
      </c>
      <c r="R427" s="25" t="str">
        <f t="shared" si="55"/>
        <v xml:space="preserve"> </v>
      </c>
      <c r="S427" s="26" t="str">
        <f t="shared" si="56"/>
        <v xml:space="preserve"> </v>
      </c>
      <c r="T427" s="7" t="str">
        <f t="shared" si="57"/>
        <v xml:space="preserve"> </v>
      </c>
      <c r="U427" s="8" t="str">
        <f t="shared" si="58"/>
        <v xml:space="preserve"> </v>
      </c>
      <c r="V427" s="9" t="str">
        <f t="shared" si="59"/>
        <v xml:space="preserve"> </v>
      </c>
      <c r="W427" s="9" t="str">
        <f t="shared" si="60"/>
        <v/>
      </c>
      <c r="X427" s="32"/>
      <c r="Y427" s="36"/>
    </row>
    <row r="428" spans="1:25" s="4" customFormat="1" ht="18" customHeight="1">
      <c r="A428" s="36"/>
      <c r="B428" s="69">
        <v>119.39</v>
      </c>
      <c r="C428" s="69" t="s">
        <v>750</v>
      </c>
      <c r="D428" s="31" t="s">
        <v>708</v>
      </c>
      <c r="E428" s="29" t="s">
        <v>34</v>
      </c>
      <c r="F428" s="28">
        <v>0.45</v>
      </c>
      <c r="G428" s="29">
        <v>0.04</v>
      </c>
      <c r="H428" s="29">
        <v>-0.04</v>
      </c>
      <c r="I428" s="30" t="s">
        <v>39</v>
      </c>
      <c r="J428" s="12">
        <f t="shared" si="61"/>
        <v>0.49</v>
      </c>
      <c r="K428" s="12">
        <f t="shared" si="62"/>
        <v>0.41000000000000003</v>
      </c>
      <c r="L428" s="78"/>
      <c r="M428" s="78"/>
      <c r="N428" s="78"/>
      <c r="O428" s="36"/>
      <c r="P428" s="24" t="str">
        <f t="shared" si="55"/>
        <v xml:space="preserve"> </v>
      </c>
      <c r="Q428" s="25" t="str">
        <f t="shared" si="55"/>
        <v xml:space="preserve"> </v>
      </c>
      <c r="R428" s="25" t="str">
        <f t="shared" si="55"/>
        <v xml:space="preserve"> </v>
      </c>
      <c r="S428" s="26" t="str">
        <f t="shared" si="56"/>
        <v xml:space="preserve"> </v>
      </c>
      <c r="T428" s="7" t="str">
        <f t="shared" si="57"/>
        <v xml:space="preserve"> </v>
      </c>
      <c r="U428" s="8" t="str">
        <f t="shared" si="58"/>
        <v xml:space="preserve"> </v>
      </c>
      <c r="V428" s="9" t="str">
        <f t="shared" si="59"/>
        <v xml:space="preserve"> </v>
      </c>
      <c r="W428" s="9" t="str">
        <f t="shared" si="60"/>
        <v/>
      </c>
      <c r="X428" s="32"/>
      <c r="Y428" s="36"/>
    </row>
    <row r="429" spans="1:25" s="4" customFormat="1" ht="18" customHeight="1">
      <c r="A429" s="36"/>
      <c r="B429" s="69" t="s">
        <v>939</v>
      </c>
      <c r="C429" s="69" t="s">
        <v>751</v>
      </c>
      <c r="D429" s="31" t="s">
        <v>708</v>
      </c>
      <c r="E429" s="29" t="s">
        <v>34</v>
      </c>
      <c r="F429" s="28">
        <v>0.45</v>
      </c>
      <c r="G429" s="29">
        <v>0.04</v>
      </c>
      <c r="H429" s="29">
        <v>-0.04</v>
      </c>
      <c r="I429" s="30" t="s">
        <v>39</v>
      </c>
      <c r="J429" s="12">
        <f t="shared" si="61"/>
        <v>0.49</v>
      </c>
      <c r="K429" s="12">
        <f t="shared" si="62"/>
        <v>0.41000000000000003</v>
      </c>
      <c r="L429" s="78"/>
      <c r="M429" s="78"/>
      <c r="N429" s="78"/>
      <c r="O429" s="36"/>
      <c r="P429" s="24" t="str">
        <f t="shared" si="55"/>
        <v xml:space="preserve"> </v>
      </c>
      <c r="Q429" s="25" t="str">
        <f t="shared" si="55"/>
        <v xml:space="preserve"> </v>
      </c>
      <c r="R429" s="25" t="str">
        <f t="shared" si="55"/>
        <v xml:space="preserve"> </v>
      </c>
      <c r="S429" s="26" t="str">
        <f t="shared" si="56"/>
        <v xml:space="preserve"> </v>
      </c>
      <c r="T429" s="7" t="str">
        <f t="shared" si="57"/>
        <v xml:space="preserve"> </v>
      </c>
      <c r="U429" s="8" t="str">
        <f t="shared" si="58"/>
        <v xml:space="preserve"> </v>
      </c>
      <c r="V429" s="9" t="str">
        <f t="shared" si="59"/>
        <v xml:space="preserve"> </v>
      </c>
      <c r="W429" s="9" t="str">
        <f t="shared" si="60"/>
        <v/>
      </c>
      <c r="X429" s="32"/>
      <c r="Y429" s="36"/>
    </row>
    <row r="430" spans="1:25" s="4" customFormat="1" ht="18" customHeight="1">
      <c r="A430" s="36"/>
      <c r="B430" s="69">
        <v>119.41</v>
      </c>
      <c r="C430" s="69" t="s">
        <v>752</v>
      </c>
      <c r="D430" s="31" t="s">
        <v>708</v>
      </c>
      <c r="E430" s="29" t="s">
        <v>34</v>
      </c>
      <c r="F430" s="28">
        <v>0.45</v>
      </c>
      <c r="G430" s="29">
        <v>0.04</v>
      </c>
      <c r="H430" s="29">
        <v>-0.04</v>
      </c>
      <c r="I430" s="30" t="s">
        <v>39</v>
      </c>
      <c r="J430" s="12">
        <f t="shared" si="61"/>
        <v>0.49</v>
      </c>
      <c r="K430" s="12">
        <f t="shared" si="62"/>
        <v>0.41000000000000003</v>
      </c>
      <c r="L430" s="78"/>
      <c r="M430" s="78"/>
      <c r="N430" s="78"/>
      <c r="O430" s="36"/>
      <c r="P430" s="24" t="str">
        <f t="shared" si="55"/>
        <v xml:space="preserve"> </v>
      </c>
      <c r="Q430" s="25" t="str">
        <f t="shared" si="55"/>
        <v xml:space="preserve"> </v>
      </c>
      <c r="R430" s="25" t="str">
        <f t="shared" si="55"/>
        <v xml:space="preserve"> </v>
      </c>
      <c r="S430" s="26" t="str">
        <f t="shared" si="56"/>
        <v xml:space="preserve"> </v>
      </c>
      <c r="T430" s="7" t="str">
        <f t="shared" si="57"/>
        <v xml:space="preserve"> </v>
      </c>
      <c r="U430" s="8" t="str">
        <f t="shared" si="58"/>
        <v xml:space="preserve"> </v>
      </c>
      <c r="V430" s="9" t="str">
        <f t="shared" si="59"/>
        <v xml:space="preserve"> </v>
      </c>
      <c r="W430" s="9" t="str">
        <f t="shared" si="60"/>
        <v/>
      </c>
      <c r="X430" s="32"/>
      <c r="Y430" s="36"/>
    </row>
    <row r="431" spans="1:25" s="4" customFormat="1" ht="18" customHeight="1">
      <c r="A431" s="36"/>
      <c r="B431" s="69">
        <v>119.42</v>
      </c>
      <c r="C431" s="69" t="s">
        <v>753</v>
      </c>
      <c r="D431" s="31" t="s">
        <v>708</v>
      </c>
      <c r="E431" s="29" t="s">
        <v>34</v>
      </c>
      <c r="F431" s="28">
        <v>0.45</v>
      </c>
      <c r="G431" s="29">
        <v>0.04</v>
      </c>
      <c r="H431" s="29">
        <v>-0.04</v>
      </c>
      <c r="I431" s="30" t="s">
        <v>39</v>
      </c>
      <c r="J431" s="12">
        <f t="shared" si="61"/>
        <v>0.49</v>
      </c>
      <c r="K431" s="12">
        <f t="shared" si="62"/>
        <v>0.41000000000000003</v>
      </c>
      <c r="L431" s="78"/>
      <c r="M431" s="78"/>
      <c r="N431" s="78"/>
      <c r="O431" s="36"/>
      <c r="P431" s="24" t="str">
        <f t="shared" si="55"/>
        <v xml:space="preserve"> </v>
      </c>
      <c r="Q431" s="25" t="str">
        <f t="shared" si="55"/>
        <v xml:space="preserve"> </v>
      </c>
      <c r="R431" s="25" t="str">
        <f t="shared" si="55"/>
        <v xml:space="preserve"> </v>
      </c>
      <c r="S431" s="26" t="str">
        <f t="shared" si="56"/>
        <v xml:space="preserve"> </v>
      </c>
      <c r="T431" s="7" t="str">
        <f t="shared" si="57"/>
        <v xml:space="preserve"> </v>
      </c>
      <c r="U431" s="8" t="str">
        <f t="shared" si="58"/>
        <v xml:space="preserve"> </v>
      </c>
      <c r="V431" s="9" t="str">
        <f t="shared" si="59"/>
        <v xml:space="preserve"> </v>
      </c>
      <c r="W431" s="9" t="str">
        <f t="shared" si="60"/>
        <v/>
      </c>
      <c r="X431" s="32"/>
      <c r="Y431" s="36"/>
    </row>
    <row r="432" spans="1:25" s="4" customFormat="1" ht="18" customHeight="1">
      <c r="A432" s="36"/>
      <c r="B432" s="69">
        <v>119.43</v>
      </c>
      <c r="C432" s="69" t="s">
        <v>754</v>
      </c>
      <c r="D432" s="31" t="s">
        <v>708</v>
      </c>
      <c r="E432" s="29" t="s">
        <v>34</v>
      </c>
      <c r="F432" s="28">
        <v>0.45</v>
      </c>
      <c r="G432" s="29">
        <v>0.04</v>
      </c>
      <c r="H432" s="29">
        <v>-0.04</v>
      </c>
      <c r="I432" s="30" t="s">
        <v>39</v>
      </c>
      <c r="J432" s="12">
        <f t="shared" si="61"/>
        <v>0.49</v>
      </c>
      <c r="K432" s="12">
        <f t="shared" si="62"/>
        <v>0.41000000000000003</v>
      </c>
      <c r="L432" s="78"/>
      <c r="M432" s="78"/>
      <c r="N432" s="78"/>
      <c r="O432" s="36"/>
      <c r="P432" s="24" t="str">
        <f t="shared" si="55"/>
        <v xml:space="preserve"> </v>
      </c>
      <c r="Q432" s="25" t="str">
        <f t="shared" si="55"/>
        <v xml:space="preserve"> </v>
      </c>
      <c r="R432" s="25" t="str">
        <f t="shared" si="55"/>
        <v xml:space="preserve"> </v>
      </c>
      <c r="S432" s="26" t="str">
        <f t="shared" si="56"/>
        <v xml:space="preserve"> </v>
      </c>
      <c r="T432" s="7" t="str">
        <f t="shared" si="57"/>
        <v xml:space="preserve"> </v>
      </c>
      <c r="U432" s="8" t="str">
        <f t="shared" si="58"/>
        <v xml:space="preserve"> </v>
      </c>
      <c r="V432" s="9" t="str">
        <f t="shared" si="59"/>
        <v xml:space="preserve"> </v>
      </c>
      <c r="W432" s="9" t="str">
        <f t="shared" si="60"/>
        <v/>
      </c>
      <c r="X432" s="32"/>
      <c r="Y432" s="36"/>
    </row>
    <row r="433" spans="1:25" s="4" customFormat="1" ht="18" customHeight="1">
      <c r="A433" s="36"/>
      <c r="B433" s="69">
        <v>119.44</v>
      </c>
      <c r="C433" s="69" t="s">
        <v>755</v>
      </c>
      <c r="D433" s="31" t="s">
        <v>708</v>
      </c>
      <c r="E433" s="29" t="s">
        <v>34</v>
      </c>
      <c r="F433" s="28">
        <v>0.45</v>
      </c>
      <c r="G433" s="29">
        <v>0.04</v>
      </c>
      <c r="H433" s="29">
        <v>-0.04</v>
      </c>
      <c r="I433" s="30" t="s">
        <v>39</v>
      </c>
      <c r="J433" s="12">
        <f t="shared" si="61"/>
        <v>0.49</v>
      </c>
      <c r="K433" s="12">
        <f t="shared" si="62"/>
        <v>0.41000000000000003</v>
      </c>
      <c r="L433" s="78"/>
      <c r="M433" s="78"/>
      <c r="N433" s="78"/>
      <c r="O433" s="36"/>
      <c r="P433" s="24" t="str">
        <f t="shared" si="55"/>
        <v xml:space="preserve"> </v>
      </c>
      <c r="Q433" s="25" t="str">
        <f t="shared" si="55"/>
        <v xml:space="preserve"> </v>
      </c>
      <c r="R433" s="25" t="str">
        <f t="shared" si="55"/>
        <v xml:space="preserve"> </v>
      </c>
      <c r="S433" s="26" t="str">
        <f t="shared" si="56"/>
        <v xml:space="preserve"> </v>
      </c>
      <c r="T433" s="7" t="str">
        <f t="shared" si="57"/>
        <v xml:space="preserve"> </v>
      </c>
      <c r="U433" s="8" t="str">
        <f t="shared" si="58"/>
        <v xml:space="preserve"> </v>
      </c>
      <c r="V433" s="9" t="str">
        <f t="shared" si="59"/>
        <v xml:space="preserve"> </v>
      </c>
      <c r="W433" s="9" t="str">
        <f t="shared" si="60"/>
        <v/>
      </c>
      <c r="X433" s="32"/>
      <c r="Y433" s="36"/>
    </row>
    <row r="434" spans="1:25" s="4" customFormat="1" ht="18" customHeight="1">
      <c r="A434" s="36"/>
      <c r="B434" s="69">
        <v>119.45</v>
      </c>
      <c r="C434" s="69" t="s">
        <v>756</v>
      </c>
      <c r="D434" s="31" t="s">
        <v>708</v>
      </c>
      <c r="E434" s="29" t="s">
        <v>34</v>
      </c>
      <c r="F434" s="28">
        <v>0.45</v>
      </c>
      <c r="G434" s="29">
        <v>0.04</v>
      </c>
      <c r="H434" s="29">
        <v>-0.04</v>
      </c>
      <c r="I434" s="30" t="s">
        <v>39</v>
      </c>
      <c r="J434" s="12">
        <f t="shared" si="61"/>
        <v>0.49</v>
      </c>
      <c r="K434" s="12">
        <f t="shared" si="62"/>
        <v>0.41000000000000003</v>
      </c>
      <c r="L434" s="78"/>
      <c r="M434" s="78"/>
      <c r="N434" s="78"/>
      <c r="O434" s="36"/>
      <c r="P434" s="24" t="str">
        <f t="shared" si="55"/>
        <v xml:space="preserve"> </v>
      </c>
      <c r="Q434" s="25" t="str">
        <f t="shared" si="55"/>
        <v xml:space="preserve"> </v>
      </c>
      <c r="R434" s="25" t="str">
        <f t="shared" si="55"/>
        <v xml:space="preserve"> </v>
      </c>
      <c r="S434" s="26" t="str">
        <f t="shared" si="56"/>
        <v xml:space="preserve"> </v>
      </c>
      <c r="T434" s="7" t="str">
        <f t="shared" si="57"/>
        <v xml:space="preserve"> </v>
      </c>
      <c r="U434" s="8" t="str">
        <f t="shared" si="58"/>
        <v xml:space="preserve"> </v>
      </c>
      <c r="V434" s="9" t="str">
        <f t="shared" si="59"/>
        <v xml:space="preserve"> </v>
      </c>
      <c r="W434" s="9" t="str">
        <f t="shared" si="60"/>
        <v/>
      </c>
      <c r="X434" s="32"/>
      <c r="Y434" s="36"/>
    </row>
    <row r="435" spans="1:25" s="4" customFormat="1" ht="18" customHeight="1">
      <c r="A435" s="36"/>
      <c r="B435" s="69">
        <v>119.46</v>
      </c>
      <c r="C435" s="69" t="s">
        <v>757</v>
      </c>
      <c r="D435" s="31" t="s">
        <v>708</v>
      </c>
      <c r="E435" s="29" t="s">
        <v>34</v>
      </c>
      <c r="F435" s="28">
        <v>0.45</v>
      </c>
      <c r="G435" s="29">
        <v>0.04</v>
      </c>
      <c r="H435" s="29">
        <v>-0.04</v>
      </c>
      <c r="I435" s="30" t="s">
        <v>39</v>
      </c>
      <c r="J435" s="12">
        <f t="shared" si="61"/>
        <v>0.49</v>
      </c>
      <c r="K435" s="12">
        <f t="shared" si="62"/>
        <v>0.41000000000000003</v>
      </c>
      <c r="L435" s="78"/>
      <c r="M435" s="78"/>
      <c r="N435" s="78"/>
      <c r="O435" s="36"/>
      <c r="P435" s="24" t="str">
        <f t="shared" si="55"/>
        <v xml:space="preserve"> </v>
      </c>
      <c r="Q435" s="25" t="str">
        <f t="shared" si="55"/>
        <v xml:space="preserve"> </v>
      </c>
      <c r="R435" s="25" t="str">
        <f t="shared" si="55"/>
        <v xml:space="preserve"> </v>
      </c>
      <c r="S435" s="26" t="str">
        <f t="shared" si="56"/>
        <v xml:space="preserve"> </v>
      </c>
      <c r="T435" s="7" t="str">
        <f t="shared" si="57"/>
        <v xml:space="preserve"> </v>
      </c>
      <c r="U435" s="8" t="str">
        <f t="shared" si="58"/>
        <v xml:space="preserve"> </v>
      </c>
      <c r="V435" s="9" t="str">
        <f t="shared" si="59"/>
        <v xml:space="preserve"> </v>
      </c>
      <c r="W435" s="9" t="str">
        <f t="shared" si="60"/>
        <v/>
      </c>
      <c r="X435" s="32"/>
      <c r="Y435" s="36"/>
    </row>
    <row r="436" spans="1:25" s="4" customFormat="1" ht="18" customHeight="1">
      <c r="A436" s="36"/>
      <c r="B436" s="69">
        <v>119.47</v>
      </c>
      <c r="C436" s="69" t="s">
        <v>758</v>
      </c>
      <c r="D436" s="31" t="s">
        <v>708</v>
      </c>
      <c r="E436" s="29" t="s">
        <v>34</v>
      </c>
      <c r="F436" s="28">
        <v>0.45</v>
      </c>
      <c r="G436" s="29">
        <v>0.04</v>
      </c>
      <c r="H436" s="29">
        <v>-0.04</v>
      </c>
      <c r="I436" s="30" t="s">
        <v>39</v>
      </c>
      <c r="J436" s="12">
        <f t="shared" si="61"/>
        <v>0.49</v>
      </c>
      <c r="K436" s="12">
        <f t="shared" si="62"/>
        <v>0.41000000000000003</v>
      </c>
      <c r="L436" s="78"/>
      <c r="M436" s="78"/>
      <c r="N436" s="78"/>
      <c r="O436" s="36"/>
      <c r="P436" s="24" t="str">
        <f t="shared" si="55"/>
        <v xml:space="preserve"> </v>
      </c>
      <c r="Q436" s="25" t="str">
        <f t="shared" si="55"/>
        <v xml:space="preserve"> </v>
      </c>
      <c r="R436" s="25" t="str">
        <f t="shared" si="55"/>
        <v xml:space="preserve"> </v>
      </c>
      <c r="S436" s="26" t="str">
        <f t="shared" si="56"/>
        <v xml:space="preserve"> </v>
      </c>
      <c r="T436" s="7" t="str">
        <f t="shared" si="57"/>
        <v xml:space="preserve"> </v>
      </c>
      <c r="U436" s="8" t="str">
        <f t="shared" si="58"/>
        <v xml:space="preserve"> </v>
      </c>
      <c r="V436" s="9" t="str">
        <f t="shared" si="59"/>
        <v xml:space="preserve"> </v>
      </c>
      <c r="W436" s="9" t="str">
        <f t="shared" si="60"/>
        <v/>
      </c>
      <c r="X436" s="32"/>
      <c r="Y436" s="36"/>
    </row>
    <row r="437" spans="1:25" s="4" customFormat="1" ht="18" customHeight="1">
      <c r="A437" s="36"/>
      <c r="B437" s="69">
        <v>120.01</v>
      </c>
      <c r="C437" s="69" t="s">
        <v>682</v>
      </c>
      <c r="D437" s="31" t="s">
        <v>708</v>
      </c>
      <c r="E437" s="29" t="s">
        <v>34</v>
      </c>
      <c r="F437" s="28">
        <v>40.299999999999997</v>
      </c>
      <c r="G437" s="29">
        <v>0.04</v>
      </c>
      <c r="H437" s="29">
        <v>-0.04</v>
      </c>
      <c r="I437" s="30" t="s">
        <v>39</v>
      </c>
      <c r="J437" s="12">
        <f t="shared" si="61"/>
        <v>40.339999999999996</v>
      </c>
      <c r="K437" s="12">
        <f t="shared" si="62"/>
        <v>40.26</v>
      </c>
      <c r="L437" s="78"/>
      <c r="M437" s="78"/>
      <c r="N437" s="78"/>
      <c r="O437" s="36"/>
      <c r="P437" s="24" t="str">
        <f t="shared" si="55"/>
        <v xml:space="preserve"> </v>
      </c>
      <c r="Q437" s="25" t="str">
        <f t="shared" si="55"/>
        <v xml:space="preserve"> </v>
      </c>
      <c r="R437" s="25" t="str">
        <f t="shared" si="55"/>
        <v xml:space="preserve"> </v>
      </c>
      <c r="S437" s="26" t="str">
        <f t="shared" si="56"/>
        <v xml:space="preserve"> </v>
      </c>
      <c r="T437" s="7" t="str">
        <f t="shared" si="57"/>
        <v xml:space="preserve"> </v>
      </c>
      <c r="U437" s="8" t="str">
        <f t="shared" si="58"/>
        <v xml:space="preserve"> </v>
      </c>
      <c r="V437" s="9" t="str">
        <f t="shared" si="59"/>
        <v xml:space="preserve"> </v>
      </c>
      <c r="W437" s="9" t="str">
        <f t="shared" si="60"/>
        <v/>
      </c>
      <c r="X437" s="32"/>
      <c r="Y437" s="36"/>
    </row>
    <row r="438" spans="1:25" s="4" customFormat="1" ht="18" customHeight="1">
      <c r="A438" s="36"/>
      <c r="B438" s="69">
        <v>120.02</v>
      </c>
      <c r="C438" s="69" t="s">
        <v>683</v>
      </c>
      <c r="D438" s="31" t="s">
        <v>708</v>
      </c>
      <c r="E438" s="29" t="s">
        <v>34</v>
      </c>
      <c r="F438" s="28">
        <v>40.299999999999997</v>
      </c>
      <c r="G438" s="29">
        <v>0.04</v>
      </c>
      <c r="H438" s="29">
        <v>-0.04</v>
      </c>
      <c r="I438" s="30" t="s">
        <v>39</v>
      </c>
      <c r="J438" s="12">
        <f t="shared" si="61"/>
        <v>40.339999999999996</v>
      </c>
      <c r="K438" s="12">
        <f t="shared" si="62"/>
        <v>40.26</v>
      </c>
      <c r="L438" s="78"/>
      <c r="M438" s="78"/>
      <c r="N438" s="78"/>
      <c r="O438" s="36"/>
      <c r="P438" s="24" t="str">
        <f t="shared" si="55"/>
        <v xml:space="preserve"> </v>
      </c>
      <c r="Q438" s="25" t="str">
        <f t="shared" si="55"/>
        <v xml:space="preserve"> </v>
      </c>
      <c r="R438" s="25" t="str">
        <f t="shared" si="55"/>
        <v xml:space="preserve"> </v>
      </c>
      <c r="S438" s="26" t="str">
        <f t="shared" si="56"/>
        <v xml:space="preserve"> </v>
      </c>
      <c r="T438" s="7" t="str">
        <f t="shared" si="57"/>
        <v xml:space="preserve"> </v>
      </c>
      <c r="U438" s="8" t="str">
        <f t="shared" si="58"/>
        <v xml:space="preserve"> </v>
      </c>
      <c r="V438" s="9" t="str">
        <f t="shared" si="59"/>
        <v xml:space="preserve"> </v>
      </c>
      <c r="W438" s="9" t="str">
        <f t="shared" si="60"/>
        <v/>
      </c>
      <c r="X438" s="32"/>
      <c r="Y438" s="36"/>
    </row>
    <row r="439" spans="1:25" s="4" customFormat="1" ht="18" customHeight="1">
      <c r="A439" s="36"/>
      <c r="B439" s="69">
        <v>121.01</v>
      </c>
      <c r="C439" s="69" t="s">
        <v>684</v>
      </c>
      <c r="D439" s="31" t="s">
        <v>707</v>
      </c>
      <c r="E439" s="29" t="s">
        <v>34</v>
      </c>
      <c r="F439" s="28">
        <v>41.71</v>
      </c>
      <c r="G439" s="29">
        <v>0.04</v>
      </c>
      <c r="H439" s="29">
        <v>-0.04</v>
      </c>
      <c r="I439" s="30" t="s">
        <v>39</v>
      </c>
      <c r="J439" s="12">
        <f t="shared" si="61"/>
        <v>41.75</v>
      </c>
      <c r="K439" s="12">
        <f t="shared" si="62"/>
        <v>41.67</v>
      </c>
      <c r="L439" s="78"/>
      <c r="M439" s="78"/>
      <c r="N439" s="78"/>
      <c r="O439" s="36"/>
      <c r="P439" s="24" t="str">
        <f t="shared" si="55"/>
        <v xml:space="preserve"> </v>
      </c>
      <c r="Q439" s="25" t="str">
        <f t="shared" si="55"/>
        <v xml:space="preserve"> </v>
      </c>
      <c r="R439" s="25" t="str">
        <f t="shared" si="55"/>
        <v xml:space="preserve"> </v>
      </c>
      <c r="S439" s="26" t="str">
        <f t="shared" si="56"/>
        <v xml:space="preserve"> </v>
      </c>
      <c r="T439" s="7" t="str">
        <f t="shared" si="57"/>
        <v xml:space="preserve"> </v>
      </c>
      <c r="U439" s="8" t="str">
        <f t="shared" si="58"/>
        <v xml:space="preserve"> </v>
      </c>
      <c r="V439" s="9" t="str">
        <f t="shared" si="59"/>
        <v xml:space="preserve"> </v>
      </c>
      <c r="W439" s="9" t="str">
        <f t="shared" si="60"/>
        <v/>
      </c>
      <c r="X439" s="32"/>
      <c r="Y439" s="36"/>
    </row>
    <row r="440" spans="1:25" s="4" customFormat="1" ht="18" customHeight="1">
      <c r="A440" s="36"/>
      <c r="B440" s="69">
        <v>121.02</v>
      </c>
      <c r="C440" s="69" t="s">
        <v>685</v>
      </c>
      <c r="D440" s="31" t="s">
        <v>707</v>
      </c>
      <c r="E440" s="29" t="s">
        <v>34</v>
      </c>
      <c r="F440" s="28">
        <v>41.71</v>
      </c>
      <c r="G440" s="29">
        <v>0.04</v>
      </c>
      <c r="H440" s="29">
        <v>-0.04</v>
      </c>
      <c r="I440" s="30" t="s">
        <v>39</v>
      </c>
      <c r="J440" s="12">
        <f t="shared" si="61"/>
        <v>41.75</v>
      </c>
      <c r="K440" s="12">
        <f t="shared" si="62"/>
        <v>41.67</v>
      </c>
      <c r="L440" s="78"/>
      <c r="M440" s="78"/>
      <c r="N440" s="78"/>
      <c r="O440" s="36"/>
      <c r="P440" s="24" t="str">
        <f t="shared" si="55"/>
        <v xml:space="preserve"> </v>
      </c>
      <c r="Q440" s="25" t="str">
        <f t="shared" si="55"/>
        <v xml:space="preserve"> </v>
      </c>
      <c r="R440" s="25" t="str">
        <f t="shared" si="55"/>
        <v xml:space="preserve"> </v>
      </c>
      <c r="S440" s="26" t="str">
        <f t="shared" si="56"/>
        <v xml:space="preserve"> </v>
      </c>
      <c r="T440" s="7" t="str">
        <f t="shared" si="57"/>
        <v xml:space="preserve"> </v>
      </c>
      <c r="U440" s="8" t="str">
        <f t="shared" si="58"/>
        <v xml:space="preserve"> </v>
      </c>
      <c r="V440" s="9" t="str">
        <f t="shared" si="59"/>
        <v xml:space="preserve"> </v>
      </c>
      <c r="W440" s="9" t="str">
        <f t="shared" si="60"/>
        <v/>
      </c>
      <c r="X440" s="32"/>
      <c r="Y440" s="36"/>
    </row>
    <row r="441" spans="1:25" s="4" customFormat="1" ht="18" customHeight="1">
      <c r="A441" s="36"/>
      <c r="B441" s="69">
        <v>122.01</v>
      </c>
      <c r="C441" s="69" t="s">
        <v>686</v>
      </c>
      <c r="D441" s="31" t="s">
        <v>774</v>
      </c>
      <c r="E441" s="29" t="s">
        <v>34</v>
      </c>
      <c r="F441" s="28">
        <v>44.36</v>
      </c>
      <c r="G441" s="29">
        <v>0.04</v>
      </c>
      <c r="H441" s="29">
        <v>-0.04</v>
      </c>
      <c r="I441" s="30" t="s">
        <v>39</v>
      </c>
      <c r="J441" s="12">
        <f t="shared" si="61"/>
        <v>44.4</v>
      </c>
      <c r="K441" s="12">
        <f t="shared" si="62"/>
        <v>44.32</v>
      </c>
      <c r="L441" s="78"/>
      <c r="M441" s="78"/>
      <c r="N441" s="78"/>
      <c r="O441" s="36"/>
      <c r="P441" s="24" t="str">
        <f t="shared" si="55"/>
        <v xml:space="preserve"> </v>
      </c>
      <c r="Q441" s="25" t="str">
        <f t="shared" si="55"/>
        <v xml:space="preserve"> </v>
      </c>
      <c r="R441" s="25" t="str">
        <f t="shared" si="55"/>
        <v xml:space="preserve"> </v>
      </c>
      <c r="S441" s="26" t="str">
        <f t="shared" si="56"/>
        <v xml:space="preserve"> </v>
      </c>
      <c r="T441" s="7" t="str">
        <f t="shared" si="57"/>
        <v xml:space="preserve"> </v>
      </c>
      <c r="U441" s="8" t="str">
        <f t="shared" si="58"/>
        <v xml:space="preserve"> </v>
      </c>
      <c r="V441" s="9" t="str">
        <f t="shared" si="59"/>
        <v xml:space="preserve"> </v>
      </c>
      <c r="W441" s="9" t="str">
        <f t="shared" si="60"/>
        <v/>
      </c>
      <c r="X441" s="32"/>
      <c r="Y441" s="36"/>
    </row>
    <row r="442" spans="1:25" s="4" customFormat="1" ht="18" customHeight="1">
      <c r="A442" s="36"/>
      <c r="B442" s="69">
        <v>122.02</v>
      </c>
      <c r="C442" s="69" t="s">
        <v>687</v>
      </c>
      <c r="D442" s="31" t="s">
        <v>774</v>
      </c>
      <c r="E442" s="29" t="s">
        <v>34</v>
      </c>
      <c r="F442" s="28">
        <v>44.36</v>
      </c>
      <c r="G442" s="29">
        <v>0.04</v>
      </c>
      <c r="H442" s="29">
        <v>-0.04</v>
      </c>
      <c r="I442" s="30" t="s">
        <v>39</v>
      </c>
      <c r="J442" s="12">
        <f t="shared" si="61"/>
        <v>44.4</v>
      </c>
      <c r="K442" s="12">
        <f t="shared" si="62"/>
        <v>44.32</v>
      </c>
      <c r="L442" s="78"/>
      <c r="M442" s="78"/>
      <c r="N442" s="78"/>
      <c r="O442" s="36"/>
      <c r="P442" s="24" t="str">
        <f t="shared" si="55"/>
        <v xml:space="preserve"> </v>
      </c>
      <c r="Q442" s="25" t="str">
        <f t="shared" si="55"/>
        <v xml:space="preserve"> </v>
      </c>
      <c r="R442" s="25" t="str">
        <f t="shared" si="55"/>
        <v xml:space="preserve"> </v>
      </c>
      <c r="S442" s="26" t="str">
        <f t="shared" si="56"/>
        <v xml:space="preserve"> </v>
      </c>
      <c r="T442" s="7" t="str">
        <f t="shared" si="57"/>
        <v xml:space="preserve"> </v>
      </c>
      <c r="U442" s="8" t="str">
        <f t="shared" si="58"/>
        <v xml:space="preserve"> </v>
      </c>
      <c r="V442" s="9" t="str">
        <f t="shared" si="59"/>
        <v xml:space="preserve"> </v>
      </c>
      <c r="W442" s="9" t="str">
        <f t="shared" si="60"/>
        <v/>
      </c>
      <c r="X442" s="32"/>
      <c r="Y442" s="36"/>
    </row>
    <row r="443" spans="1:25" s="4" customFormat="1" ht="18" customHeight="1">
      <c r="A443" s="36"/>
      <c r="B443" s="69">
        <v>122.03</v>
      </c>
      <c r="C443" s="69" t="s">
        <v>688</v>
      </c>
      <c r="D443" s="31" t="s">
        <v>774</v>
      </c>
      <c r="E443" s="29" t="s">
        <v>34</v>
      </c>
      <c r="F443" s="28">
        <v>44.36</v>
      </c>
      <c r="G443" s="29">
        <v>0.05</v>
      </c>
      <c r="H443" s="29">
        <v>-0.05</v>
      </c>
      <c r="I443" s="30" t="s">
        <v>39</v>
      </c>
      <c r="J443" s="12">
        <f t="shared" si="61"/>
        <v>44.41</v>
      </c>
      <c r="K443" s="12">
        <f t="shared" si="62"/>
        <v>44.31</v>
      </c>
      <c r="L443" s="78"/>
      <c r="M443" s="78"/>
      <c r="N443" s="78"/>
      <c r="O443" s="36"/>
      <c r="P443" s="24" t="str">
        <f t="shared" si="55"/>
        <v xml:space="preserve"> </v>
      </c>
      <c r="Q443" s="25" t="str">
        <f t="shared" si="55"/>
        <v xml:space="preserve"> </v>
      </c>
      <c r="R443" s="25" t="str">
        <f t="shared" si="55"/>
        <v xml:space="preserve"> </v>
      </c>
      <c r="S443" s="26" t="str">
        <f t="shared" si="56"/>
        <v xml:space="preserve"> </v>
      </c>
      <c r="T443" s="7" t="str">
        <f t="shared" si="57"/>
        <v xml:space="preserve"> </v>
      </c>
      <c r="U443" s="8" t="str">
        <f t="shared" si="58"/>
        <v xml:space="preserve"> </v>
      </c>
      <c r="V443" s="9" t="str">
        <f t="shared" si="59"/>
        <v xml:space="preserve"> </v>
      </c>
      <c r="W443" s="9" t="str">
        <f t="shared" si="60"/>
        <v/>
      </c>
      <c r="X443" s="32"/>
      <c r="Y443" s="36"/>
    </row>
    <row r="444" spans="1:25" s="4" customFormat="1" ht="18" customHeight="1">
      <c r="A444" s="36"/>
      <c r="B444" s="69">
        <v>123.01</v>
      </c>
      <c r="C444" s="69" t="s">
        <v>689</v>
      </c>
      <c r="D444" s="31" t="s">
        <v>774</v>
      </c>
      <c r="E444" s="29" t="s">
        <v>34</v>
      </c>
      <c r="F444" s="28">
        <v>42.92</v>
      </c>
      <c r="G444" s="29">
        <v>0.05</v>
      </c>
      <c r="H444" s="29">
        <v>-0.05</v>
      </c>
      <c r="I444" s="30" t="s">
        <v>39</v>
      </c>
      <c r="J444" s="12">
        <f t="shared" si="61"/>
        <v>42.97</v>
      </c>
      <c r="K444" s="12">
        <f t="shared" si="62"/>
        <v>42.870000000000005</v>
      </c>
      <c r="L444" s="78"/>
      <c r="M444" s="78"/>
      <c r="N444" s="78"/>
      <c r="O444" s="36"/>
      <c r="P444" s="24" t="str">
        <f t="shared" si="55"/>
        <v xml:space="preserve"> </v>
      </c>
      <c r="Q444" s="25" t="str">
        <f t="shared" si="55"/>
        <v xml:space="preserve"> </v>
      </c>
      <c r="R444" s="25" t="str">
        <f t="shared" si="55"/>
        <v xml:space="preserve"> </v>
      </c>
      <c r="S444" s="26" t="str">
        <f t="shared" si="56"/>
        <v xml:space="preserve"> </v>
      </c>
      <c r="T444" s="7" t="str">
        <f t="shared" si="57"/>
        <v xml:space="preserve"> </v>
      </c>
      <c r="U444" s="8" t="str">
        <f t="shared" si="58"/>
        <v xml:space="preserve"> </v>
      </c>
      <c r="V444" s="9" t="str">
        <f t="shared" si="59"/>
        <v xml:space="preserve"> </v>
      </c>
      <c r="W444" s="9" t="str">
        <f t="shared" si="60"/>
        <v/>
      </c>
      <c r="X444" s="32"/>
      <c r="Y444" s="36"/>
    </row>
    <row r="445" spans="1:25" s="4" customFormat="1" ht="18" customHeight="1">
      <c r="A445" s="36"/>
      <c r="B445" s="69">
        <v>123.02</v>
      </c>
      <c r="C445" s="69" t="s">
        <v>690</v>
      </c>
      <c r="D445" s="31" t="s">
        <v>774</v>
      </c>
      <c r="E445" s="29" t="s">
        <v>34</v>
      </c>
      <c r="F445" s="28">
        <v>42.92</v>
      </c>
      <c r="G445" s="29">
        <v>0.05</v>
      </c>
      <c r="H445" s="29">
        <v>-0.05</v>
      </c>
      <c r="I445" s="30" t="s">
        <v>39</v>
      </c>
      <c r="J445" s="12">
        <f t="shared" si="61"/>
        <v>42.97</v>
      </c>
      <c r="K445" s="12">
        <f t="shared" si="62"/>
        <v>42.870000000000005</v>
      </c>
      <c r="L445" s="78"/>
      <c r="M445" s="78"/>
      <c r="N445" s="78"/>
      <c r="O445" s="36"/>
      <c r="P445" s="24" t="str">
        <f t="shared" si="55"/>
        <v xml:space="preserve"> </v>
      </c>
      <c r="Q445" s="25" t="str">
        <f t="shared" si="55"/>
        <v xml:space="preserve"> </v>
      </c>
      <c r="R445" s="25" t="str">
        <f t="shared" si="55"/>
        <v xml:space="preserve"> </v>
      </c>
      <c r="S445" s="26" t="str">
        <f t="shared" si="56"/>
        <v xml:space="preserve"> </v>
      </c>
      <c r="T445" s="7" t="str">
        <f t="shared" si="57"/>
        <v xml:space="preserve"> </v>
      </c>
      <c r="U445" s="8" t="str">
        <f t="shared" si="58"/>
        <v xml:space="preserve"> </v>
      </c>
      <c r="V445" s="9" t="str">
        <f t="shared" si="59"/>
        <v xml:space="preserve"> </v>
      </c>
      <c r="W445" s="9" t="str">
        <f t="shared" si="60"/>
        <v/>
      </c>
      <c r="X445" s="32"/>
      <c r="Y445" s="36"/>
    </row>
    <row r="446" spans="1:25" s="4" customFormat="1" ht="18" customHeight="1">
      <c r="A446" s="36"/>
      <c r="B446" s="69">
        <v>123.03</v>
      </c>
      <c r="C446" s="69" t="s">
        <v>691</v>
      </c>
      <c r="D446" s="31" t="s">
        <v>774</v>
      </c>
      <c r="E446" s="29" t="s">
        <v>34</v>
      </c>
      <c r="F446" s="28">
        <v>42.92</v>
      </c>
      <c r="G446" s="29">
        <v>0.05</v>
      </c>
      <c r="H446" s="29">
        <v>-0.05</v>
      </c>
      <c r="I446" s="30" t="s">
        <v>39</v>
      </c>
      <c r="J446" s="12">
        <f t="shared" si="61"/>
        <v>42.97</v>
      </c>
      <c r="K446" s="12">
        <f t="shared" si="62"/>
        <v>42.870000000000005</v>
      </c>
      <c r="L446" s="78"/>
      <c r="M446" s="78"/>
      <c r="N446" s="78"/>
      <c r="O446" s="36"/>
      <c r="P446" s="24" t="str">
        <f t="shared" si="55"/>
        <v xml:space="preserve"> </v>
      </c>
      <c r="Q446" s="25" t="str">
        <f t="shared" si="55"/>
        <v xml:space="preserve"> </v>
      </c>
      <c r="R446" s="25" t="str">
        <f t="shared" si="55"/>
        <v xml:space="preserve"> </v>
      </c>
      <c r="S446" s="26" t="str">
        <f t="shared" si="56"/>
        <v xml:space="preserve"> </v>
      </c>
      <c r="T446" s="7" t="str">
        <f t="shared" si="57"/>
        <v xml:space="preserve"> </v>
      </c>
      <c r="U446" s="8" t="str">
        <f t="shared" si="58"/>
        <v xml:space="preserve"> </v>
      </c>
      <c r="V446" s="9" t="str">
        <f t="shared" si="59"/>
        <v xml:space="preserve"> </v>
      </c>
      <c r="W446" s="9" t="str">
        <f t="shared" si="60"/>
        <v/>
      </c>
      <c r="X446" s="32"/>
      <c r="Y446" s="36"/>
    </row>
    <row r="447" spans="1:25" s="4" customFormat="1" ht="18" customHeight="1">
      <c r="A447" s="36"/>
      <c r="B447" s="69">
        <v>124.01</v>
      </c>
      <c r="C447" s="69"/>
      <c r="D447" s="31" t="s">
        <v>707</v>
      </c>
      <c r="E447" s="29" t="s">
        <v>34</v>
      </c>
      <c r="F447" s="28">
        <v>4.6100000000000003</v>
      </c>
      <c r="G447" s="29">
        <v>0.05</v>
      </c>
      <c r="H447" s="29">
        <v>-0.05</v>
      </c>
      <c r="I447" s="30" t="s">
        <v>39</v>
      </c>
      <c r="J447" s="12">
        <f t="shared" si="61"/>
        <v>4.66</v>
      </c>
      <c r="K447" s="12">
        <f t="shared" si="62"/>
        <v>4.5600000000000005</v>
      </c>
      <c r="L447" s="78"/>
      <c r="M447" s="78"/>
      <c r="N447" s="78"/>
      <c r="O447" s="36"/>
      <c r="P447" s="24" t="str">
        <f t="shared" si="55"/>
        <v xml:space="preserve"> </v>
      </c>
      <c r="Q447" s="25" t="str">
        <f t="shared" si="55"/>
        <v xml:space="preserve"> </v>
      </c>
      <c r="R447" s="25" t="str">
        <f t="shared" si="55"/>
        <v xml:space="preserve"> </v>
      </c>
      <c r="S447" s="26" t="str">
        <f t="shared" si="56"/>
        <v xml:space="preserve"> </v>
      </c>
      <c r="T447" s="7" t="str">
        <f t="shared" si="57"/>
        <v xml:space="preserve"> </v>
      </c>
      <c r="U447" s="8" t="str">
        <f t="shared" si="58"/>
        <v xml:space="preserve"> </v>
      </c>
      <c r="V447" s="9" t="str">
        <f t="shared" si="59"/>
        <v xml:space="preserve"> </v>
      </c>
      <c r="W447" s="9" t="str">
        <f t="shared" si="60"/>
        <v/>
      </c>
      <c r="X447" s="32"/>
      <c r="Y447" s="36"/>
    </row>
    <row r="448" spans="1:25" s="4" customFormat="1" ht="18" customHeight="1">
      <c r="A448" s="36"/>
      <c r="B448" s="69">
        <v>124.02</v>
      </c>
      <c r="C448" s="69"/>
      <c r="D448" s="31" t="s">
        <v>707</v>
      </c>
      <c r="E448" s="29" t="s">
        <v>34</v>
      </c>
      <c r="F448" s="28">
        <v>4.6100000000000003</v>
      </c>
      <c r="G448" s="29">
        <v>0.05</v>
      </c>
      <c r="H448" s="29">
        <v>-0.05</v>
      </c>
      <c r="I448" s="30" t="s">
        <v>39</v>
      </c>
      <c r="J448" s="12">
        <f t="shared" si="61"/>
        <v>4.66</v>
      </c>
      <c r="K448" s="12">
        <f t="shared" si="62"/>
        <v>4.5600000000000005</v>
      </c>
      <c r="L448" s="78"/>
      <c r="M448" s="78"/>
      <c r="N448" s="78"/>
      <c r="O448" s="36"/>
      <c r="P448" s="24" t="str">
        <f t="shared" si="55"/>
        <v xml:space="preserve"> </v>
      </c>
      <c r="Q448" s="25" t="str">
        <f t="shared" si="55"/>
        <v xml:space="preserve"> </v>
      </c>
      <c r="R448" s="25" t="str">
        <f t="shared" si="55"/>
        <v xml:space="preserve"> </v>
      </c>
      <c r="S448" s="26" t="str">
        <f t="shared" si="56"/>
        <v xml:space="preserve"> </v>
      </c>
      <c r="T448" s="7" t="str">
        <f t="shared" si="57"/>
        <v xml:space="preserve"> </v>
      </c>
      <c r="U448" s="8" t="str">
        <f t="shared" si="58"/>
        <v xml:space="preserve"> </v>
      </c>
      <c r="V448" s="9" t="str">
        <f t="shared" si="59"/>
        <v xml:space="preserve"> </v>
      </c>
      <c r="W448" s="9" t="str">
        <f t="shared" si="60"/>
        <v/>
      </c>
      <c r="X448" s="32"/>
      <c r="Y448" s="36"/>
    </row>
    <row r="449" spans="1:25" s="4" customFormat="1" ht="18" customHeight="1">
      <c r="A449" s="36"/>
      <c r="B449" s="69">
        <v>124.03</v>
      </c>
      <c r="C449" s="69"/>
      <c r="D449" s="31" t="s">
        <v>707</v>
      </c>
      <c r="E449" s="29" t="s">
        <v>34</v>
      </c>
      <c r="F449" s="28">
        <v>4.6100000000000003</v>
      </c>
      <c r="G449" s="29">
        <v>0.05</v>
      </c>
      <c r="H449" s="29">
        <v>-0.05</v>
      </c>
      <c r="I449" s="30" t="s">
        <v>39</v>
      </c>
      <c r="J449" s="12">
        <f t="shared" si="61"/>
        <v>4.66</v>
      </c>
      <c r="K449" s="12">
        <f t="shared" si="62"/>
        <v>4.5600000000000005</v>
      </c>
      <c r="L449" s="78"/>
      <c r="M449" s="78"/>
      <c r="N449" s="78"/>
      <c r="O449" s="36"/>
      <c r="P449" s="24" t="str">
        <f t="shared" si="55"/>
        <v xml:space="preserve"> </v>
      </c>
      <c r="Q449" s="25" t="str">
        <f t="shared" si="55"/>
        <v xml:space="preserve"> </v>
      </c>
      <c r="R449" s="25" t="str">
        <f t="shared" si="55"/>
        <v xml:space="preserve"> </v>
      </c>
      <c r="S449" s="26" t="str">
        <f t="shared" si="56"/>
        <v xml:space="preserve"> </v>
      </c>
      <c r="T449" s="7" t="str">
        <f t="shared" si="57"/>
        <v xml:space="preserve"> </v>
      </c>
      <c r="U449" s="8" t="str">
        <f t="shared" si="58"/>
        <v xml:space="preserve"> </v>
      </c>
      <c r="V449" s="9" t="str">
        <f t="shared" si="59"/>
        <v xml:space="preserve"> </v>
      </c>
      <c r="W449" s="9" t="str">
        <f t="shared" si="60"/>
        <v/>
      </c>
      <c r="X449" s="32"/>
      <c r="Y449" s="36"/>
    </row>
    <row r="450" spans="1:25" s="4" customFormat="1" ht="18" customHeight="1">
      <c r="A450" s="36"/>
      <c r="B450" s="69">
        <v>124.04</v>
      </c>
      <c r="C450" s="69"/>
      <c r="D450" s="31" t="s">
        <v>707</v>
      </c>
      <c r="E450" s="29" t="s">
        <v>34</v>
      </c>
      <c r="F450" s="28">
        <v>4.6100000000000003</v>
      </c>
      <c r="G450" s="29">
        <v>0.05</v>
      </c>
      <c r="H450" s="29">
        <v>-0.05</v>
      </c>
      <c r="I450" s="30" t="s">
        <v>39</v>
      </c>
      <c r="J450" s="12">
        <f t="shared" si="61"/>
        <v>4.66</v>
      </c>
      <c r="K450" s="12">
        <f t="shared" si="62"/>
        <v>4.5600000000000005</v>
      </c>
      <c r="L450" s="78"/>
      <c r="M450" s="78"/>
      <c r="N450" s="78"/>
      <c r="O450" s="36"/>
      <c r="P450" s="24" t="str">
        <f t="shared" si="55"/>
        <v xml:space="preserve"> </v>
      </c>
      <c r="Q450" s="25" t="str">
        <f t="shared" si="55"/>
        <v xml:space="preserve"> </v>
      </c>
      <c r="R450" s="25" t="str">
        <f t="shared" si="55"/>
        <v xml:space="preserve"> </v>
      </c>
      <c r="S450" s="26" t="str">
        <f t="shared" si="56"/>
        <v xml:space="preserve"> </v>
      </c>
      <c r="T450" s="7" t="str">
        <f t="shared" si="57"/>
        <v xml:space="preserve"> </v>
      </c>
      <c r="U450" s="8" t="str">
        <f t="shared" si="58"/>
        <v xml:space="preserve"> </v>
      </c>
      <c r="V450" s="9" t="str">
        <f t="shared" si="59"/>
        <v xml:space="preserve"> </v>
      </c>
      <c r="W450" s="9" t="str">
        <f t="shared" si="60"/>
        <v/>
      </c>
      <c r="X450" s="32"/>
      <c r="Y450" s="36"/>
    </row>
    <row r="451" spans="1:25" s="4" customFormat="1" ht="18" customHeight="1">
      <c r="A451" s="36"/>
      <c r="B451" s="69">
        <v>124.05</v>
      </c>
      <c r="C451" s="69"/>
      <c r="D451" s="31" t="s">
        <v>707</v>
      </c>
      <c r="E451" s="29" t="s">
        <v>34</v>
      </c>
      <c r="F451" s="28">
        <v>4.6100000000000003</v>
      </c>
      <c r="G451" s="29">
        <v>0.05</v>
      </c>
      <c r="H451" s="29">
        <v>-0.05</v>
      </c>
      <c r="I451" s="30" t="s">
        <v>39</v>
      </c>
      <c r="J451" s="12">
        <f t="shared" si="61"/>
        <v>4.66</v>
      </c>
      <c r="K451" s="12">
        <f t="shared" si="62"/>
        <v>4.5600000000000005</v>
      </c>
      <c r="L451" s="78"/>
      <c r="M451" s="78"/>
      <c r="N451" s="78"/>
      <c r="O451" s="36"/>
      <c r="P451" s="24" t="str">
        <f t="shared" si="55"/>
        <v xml:space="preserve"> </v>
      </c>
      <c r="Q451" s="25" t="str">
        <f t="shared" si="55"/>
        <v xml:space="preserve"> </v>
      </c>
      <c r="R451" s="25" t="str">
        <f t="shared" si="55"/>
        <v xml:space="preserve"> </v>
      </c>
      <c r="S451" s="26" t="str">
        <f t="shared" si="56"/>
        <v xml:space="preserve"> </v>
      </c>
      <c r="T451" s="7" t="str">
        <f t="shared" si="57"/>
        <v xml:space="preserve"> </v>
      </c>
      <c r="U451" s="8" t="str">
        <f t="shared" si="58"/>
        <v xml:space="preserve"> </v>
      </c>
      <c r="V451" s="9" t="str">
        <f t="shared" si="59"/>
        <v xml:space="preserve"> </v>
      </c>
      <c r="W451" s="9" t="str">
        <f t="shared" si="60"/>
        <v/>
      </c>
      <c r="X451" s="32"/>
      <c r="Y451" s="36"/>
    </row>
    <row r="452" spans="1:25" s="4" customFormat="1" ht="18" customHeight="1">
      <c r="A452" s="36"/>
      <c r="B452" s="69">
        <v>124.06</v>
      </c>
      <c r="C452" s="69"/>
      <c r="D452" s="31" t="s">
        <v>707</v>
      </c>
      <c r="E452" s="29" t="s">
        <v>34</v>
      </c>
      <c r="F452" s="28">
        <v>4.6100000000000003</v>
      </c>
      <c r="G452" s="29">
        <v>0.05</v>
      </c>
      <c r="H452" s="29">
        <v>-0.05</v>
      </c>
      <c r="I452" s="30" t="s">
        <v>39</v>
      </c>
      <c r="J452" s="12">
        <f t="shared" si="61"/>
        <v>4.66</v>
      </c>
      <c r="K452" s="12">
        <f t="shared" si="62"/>
        <v>4.5600000000000005</v>
      </c>
      <c r="L452" s="78"/>
      <c r="M452" s="78"/>
      <c r="N452" s="78"/>
      <c r="O452" s="36"/>
      <c r="P452" s="24" t="str">
        <f t="shared" ref="P452:R515" si="63">IF(ISERR(L452/L452)=TRUE," ",L452-$F452)</f>
        <v xml:space="preserve"> </v>
      </c>
      <c r="Q452" s="25" t="str">
        <f t="shared" si="63"/>
        <v xml:space="preserve"> </v>
      </c>
      <c r="R452" s="25" t="str">
        <f t="shared" si="63"/>
        <v xml:space="preserve"> </v>
      </c>
      <c r="S452" s="26" t="str">
        <f t="shared" si="56"/>
        <v xml:space="preserve"> </v>
      </c>
      <c r="T452" s="7" t="str">
        <f t="shared" si="57"/>
        <v xml:space="preserve"> </v>
      </c>
      <c r="U452" s="8" t="str">
        <f t="shared" si="58"/>
        <v xml:space="preserve"> </v>
      </c>
      <c r="V452" s="9" t="str">
        <f t="shared" si="59"/>
        <v xml:space="preserve"> </v>
      </c>
      <c r="W452" s="9" t="str">
        <f t="shared" si="60"/>
        <v/>
      </c>
      <c r="X452" s="32"/>
      <c r="Y452" s="36"/>
    </row>
    <row r="453" spans="1:25" s="4" customFormat="1" ht="18" customHeight="1">
      <c r="A453" s="36"/>
      <c r="B453" s="69">
        <v>124.07</v>
      </c>
      <c r="C453" s="69"/>
      <c r="D453" s="31" t="s">
        <v>707</v>
      </c>
      <c r="E453" s="29" t="s">
        <v>34</v>
      </c>
      <c r="F453" s="28">
        <v>4.6100000000000003</v>
      </c>
      <c r="G453" s="29">
        <v>0.1</v>
      </c>
      <c r="H453" s="29">
        <v>-0.1</v>
      </c>
      <c r="I453" s="30" t="s">
        <v>39</v>
      </c>
      <c r="J453" s="12">
        <f t="shared" si="61"/>
        <v>4.71</v>
      </c>
      <c r="K453" s="12">
        <f t="shared" si="62"/>
        <v>4.5100000000000007</v>
      </c>
      <c r="L453" s="78"/>
      <c r="M453" s="78"/>
      <c r="N453" s="78"/>
      <c r="O453" s="36"/>
      <c r="P453" s="24" t="str">
        <f t="shared" si="63"/>
        <v xml:space="preserve"> </v>
      </c>
      <c r="Q453" s="25" t="str">
        <f t="shared" si="63"/>
        <v xml:space="preserve"> </v>
      </c>
      <c r="R453" s="25" t="str">
        <f t="shared" si="63"/>
        <v xml:space="preserve"> </v>
      </c>
      <c r="S453" s="26" t="str">
        <f t="shared" si="56"/>
        <v xml:space="preserve"> </v>
      </c>
      <c r="T453" s="7" t="str">
        <f t="shared" si="57"/>
        <v xml:space="preserve"> </v>
      </c>
      <c r="U453" s="8" t="str">
        <f t="shared" si="58"/>
        <v xml:space="preserve"> </v>
      </c>
      <c r="V453" s="9" t="str">
        <f t="shared" si="59"/>
        <v xml:space="preserve"> </v>
      </c>
      <c r="W453" s="9" t="str">
        <f t="shared" si="60"/>
        <v/>
      </c>
      <c r="X453" s="32"/>
      <c r="Y453" s="36"/>
    </row>
    <row r="454" spans="1:25" s="4" customFormat="1" ht="18" customHeight="1">
      <c r="A454" s="36"/>
      <c r="B454" s="69">
        <v>124.08</v>
      </c>
      <c r="C454" s="69"/>
      <c r="D454" s="31" t="s">
        <v>707</v>
      </c>
      <c r="E454" s="29" t="s">
        <v>34</v>
      </c>
      <c r="F454" s="28">
        <v>4.6100000000000003</v>
      </c>
      <c r="G454" s="29">
        <v>0.1</v>
      </c>
      <c r="H454" s="29">
        <v>-0.1</v>
      </c>
      <c r="I454" s="30" t="s">
        <v>39</v>
      </c>
      <c r="J454" s="12">
        <f t="shared" si="61"/>
        <v>4.71</v>
      </c>
      <c r="K454" s="12">
        <f t="shared" si="62"/>
        <v>4.5100000000000007</v>
      </c>
      <c r="L454" s="78"/>
      <c r="M454" s="78"/>
      <c r="N454" s="78"/>
      <c r="O454" s="36"/>
      <c r="P454" s="24" t="str">
        <f t="shared" si="63"/>
        <v xml:space="preserve"> </v>
      </c>
      <c r="Q454" s="25" t="str">
        <f t="shared" si="63"/>
        <v xml:space="preserve"> </v>
      </c>
      <c r="R454" s="25" t="str">
        <f t="shared" si="63"/>
        <v xml:space="preserve"> </v>
      </c>
      <c r="S454" s="26" t="str">
        <f t="shared" si="56"/>
        <v xml:space="preserve"> </v>
      </c>
      <c r="T454" s="7" t="str">
        <f t="shared" si="57"/>
        <v xml:space="preserve"> </v>
      </c>
      <c r="U454" s="8" t="str">
        <f t="shared" si="58"/>
        <v xml:space="preserve"> </v>
      </c>
      <c r="V454" s="9" t="str">
        <f t="shared" si="59"/>
        <v xml:space="preserve"> </v>
      </c>
      <c r="W454" s="9" t="str">
        <f t="shared" si="60"/>
        <v/>
      </c>
      <c r="X454" s="32"/>
      <c r="Y454" s="36"/>
    </row>
    <row r="455" spans="1:25" s="4" customFormat="1" ht="18" customHeight="1">
      <c r="A455" s="36"/>
      <c r="B455" s="69">
        <v>124.09</v>
      </c>
      <c r="C455" s="69"/>
      <c r="D455" s="31" t="s">
        <v>707</v>
      </c>
      <c r="E455" s="29" t="s">
        <v>34</v>
      </c>
      <c r="F455" s="28">
        <v>4.6100000000000003</v>
      </c>
      <c r="G455" s="29">
        <v>0.1</v>
      </c>
      <c r="H455" s="29">
        <v>-0.1</v>
      </c>
      <c r="I455" s="30" t="s">
        <v>39</v>
      </c>
      <c r="J455" s="12">
        <f t="shared" si="61"/>
        <v>4.71</v>
      </c>
      <c r="K455" s="12">
        <f t="shared" si="62"/>
        <v>4.5100000000000007</v>
      </c>
      <c r="L455" s="78"/>
      <c r="M455" s="78"/>
      <c r="N455" s="78"/>
      <c r="O455" s="36"/>
      <c r="P455" s="24" t="str">
        <f t="shared" si="63"/>
        <v xml:space="preserve"> </v>
      </c>
      <c r="Q455" s="25" t="str">
        <f t="shared" si="63"/>
        <v xml:space="preserve"> </v>
      </c>
      <c r="R455" s="25" t="str">
        <f t="shared" si="63"/>
        <v xml:space="preserve"> </v>
      </c>
      <c r="S455" s="26" t="str">
        <f t="shared" si="56"/>
        <v xml:space="preserve"> </v>
      </c>
      <c r="T455" s="7" t="str">
        <f t="shared" si="57"/>
        <v xml:space="preserve"> </v>
      </c>
      <c r="U455" s="8" t="str">
        <f t="shared" si="58"/>
        <v xml:space="preserve"> </v>
      </c>
      <c r="V455" s="9" t="str">
        <f t="shared" si="59"/>
        <v xml:space="preserve"> </v>
      </c>
      <c r="W455" s="9" t="str">
        <f t="shared" si="60"/>
        <v/>
      </c>
      <c r="X455" s="32"/>
      <c r="Y455" s="36"/>
    </row>
    <row r="456" spans="1:25" s="4" customFormat="1" ht="18" customHeight="1">
      <c r="A456" s="36"/>
      <c r="B456" s="69" t="s">
        <v>940</v>
      </c>
      <c r="C456" s="69"/>
      <c r="D456" s="31" t="s">
        <v>707</v>
      </c>
      <c r="E456" s="29" t="s">
        <v>34</v>
      </c>
      <c r="F456" s="28">
        <v>4.6100000000000003</v>
      </c>
      <c r="G456" s="29">
        <v>0.1</v>
      </c>
      <c r="H456" s="29">
        <v>-0.1</v>
      </c>
      <c r="I456" s="30" t="s">
        <v>39</v>
      </c>
      <c r="J456" s="12">
        <f t="shared" si="61"/>
        <v>4.71</v>
      </c>
      <c r="K456" s="12">
        <f t="shared" si="62"/>
        <v>4.5100000000000007</v>
      </c>
      <c r="L456" s="78"/>
      <c r="M456" s="78"/>
      <c r="N456" s="78"/>
      <c r="O456" s="36"/>
      <c r="P456" s="24" t="str">
        <f t="shared" si="63"/>
        <v xml:space="preserve"> </v>
      </c>
      <c r="Q456" s="25" t="str">
        <f t="shared" si="63"/>
        <v xml:space="preserve"> </v>
      </c>
      <c r="R456" s="25" t="str">
        <f t="shared" si="63"/>
        <v xml:space="preserve"> </v>
      </c>
      <c r="S456" s="26" t="str">
        <f t="shared" si="56"/>
        <v xml:space="preserve"> </v>
      </c>
      <c r="T456" s="7" t="str">
        <f t="shared" si="57"/>
        <v xml:space="preserve"> </v>
      </c>
      <c r="U456" s="8" t="str">
        <f t="shared" si="58"/>
        <v xml:space="preserve"> </v>
      </c>
      <c r="V456" s="9" t="str">
        <f t="shared" si="59"/>
        <v xml:space="preserve"> </v>
      </c>
      <c r="W456" s="9" t="str">
        <f t="shared" si="60"/>
        <v/>
      </c>
      <c r="X456" s="32"/>
      <c r="Y456" s="36"/>
    </row>
    <row r="457" spans="1:25" s="4" customFormat="1" ht="18" customHeight="1">
      <c r="A457" s="36"/>
      <c r="B457" s="69">
        <v>124.11</v>
      </c>
      <c r="C457" s="69"/>
      <c r="D457" s="31" t="s">
        <v>707</v>
      </c>
      <c r="E457" s="29" t="s">
        <v>34</v>
      </c>
      <c r="F457" s="28">
        <v>4.6100000000000003</v>
      </c>
      <c r="G457" s="29">
        <v>0.1</v>
      </c>
      <c r="H457" s="29">
        <v>-0.1</v>
      </c>
      <c r="I457" s="30" t="s">
        <v>39</v>
      </c>
      <c r="J457" s="12">
        <f t="shared" si="61"/>
        <v>4.71</v>
      </c>
      <c r="K457" s="12">
        <f t="shared" si="62"/>
        <v>4.5100000000000007</v>
      </c>
      <c r="L457" s="78"/>
      <c r="M457" s="78"/>
      <c r="N457" s="78"/>
      <c r="O457" s="36"/>
      <c r="P457" s="24" t="str">
        <f t="shared" si="63"/>
        <v xml:space="preserve"> </v>
      </c>
      <c r="Q457" s="25" t="str">
        <f t="shared" si="63"/>
        <v xml:space="preserve"> </v>
      </c>
      <c r="R457" s="25" t="str">
        <f t="shared" si="63"/>
        <v xml:space="preserve"> </v>
      </c>
      <c r="S457" s="26" t="str">
        <f t="shared" si="56"/>
        <v xml:space="preserve"> </v>
      </c>
      <c r="T457" s="7" t="str">
        <f t="shared" si="57"/>
        <v xml:space="preserve"> </v>
      </c>
      <c r="U457" s="8" t="str">
        <f t="shared" si="58"/>
        <v xml:space="preserve"> </v>
      </c>
      <c r="V457" s="9" t="str">
        <f t="shared" si="59"/>
        <v xml:space="preserve"> </v>
      </c>
      <c r="W457" s="9" t="str">
        <f t="shared" si="60"/>
        <v/>
      </c>
      <c r="X457" s="32"/>
      <c r="Y457" s="36"/>
    </row>
    <row r="458" spans="1:25" s="4" customFormat="1" ht="18" customHeight="1">
      <c r="A458" s="36"/>
      <c r="B458" s="69">
        <v>124.12</v>
      </c>
      <c r="C458" s="69"/>
      <c r="D458" s="31" t="s">
        <v>707</v>
      </c>
      <c r="E458" s="29" t="s">
        <v>34</v>
      </c>
      <c r="F458" s="28">
        <v>4.6100000000000003</v>
      </c>
      <c r="G458" s="29">
        <v>0.1</v>
      </c>
      <c r="H458" s="29">
        <v>-0.1</v>
      </c>
      <c r="I458" s="30" t="s">
        <v>39</v>
      </c>
      <c r="J458" s="12">
        <f t="shared" si="61"/>
        <v>4.71</v>
      </c>
      <c r="K458" s="12">
        <f t="shared" si="62"/>
        <v>4.5100000000000007</v>
      </c>
      <c r="L458" s="78"/>
      <c r="M458" s="78"/>
      <c r="N458" s="78"/>
      <c r="O458" s="36"/>
      <c r="P458" s="24" t="str">
        <f t="shared" si="63"/>
        <v xml:space="preserve"> </v>
      </c>
      <c r="Q458" s="25" t="str">
        <f t="shared" si="63"/>
        <v xml:space="preserve"> </v>
      </c>
      <c r="R458" s="25" t="str">
        <f t="shared" si="63"/>
        <v xml:space="preserve"> </v>
      </c>
      <c r="S458" s="26" t="str">
        <f t="shared" si="56"/>
        <v xml:space="preserve"> </v>
      </c>
      <c r="T458" s="7" t="str">
        <f t="shared" si="57"/>
        <v xml:space="preserve"> </v>
      </c>
      <c r="U458" s="8" t="str">
        <f t="shared" si="58"/>
        <v xml:space="preserve"> </v>
      </c>
      <c r="V458" s="9" t="str">
        <f t="shared" si="59"/>
        <v xml:space="preserve"> </v>
      </c>
      <c r="W458" s="9" t="str">
        <f t="shared" si="60"/>
        <v/>
      </c>
      <c r="X458" s="32"/>
      <c r="Y458" s="36"/>
    </row>
    <row r="459" spans="1:25" s="4" customFormat="1" ht="18" customHeight="1">
      <c r="A459" s="36"/>
      <c r="B459" s="69">
        <v>124.13</v>
      </c>
      <c r="C459" s="69"/>
      <c r="D459" s="31" t="s">
        <v>707</v>
      </c>
      <c r="E459" s="29" t="s">
        <v>34</v>
      </c>
      <c r="F459" s="28">
        <v>4.6100000000000003</v>
      </c>
      <c r="G459" s="29">
        <v>0.1</v>
      </c>
      <c r="H459" s="29">
        <v>-0.1</v>
      </c>
      <c r="I459" s="30" t="s">
        <v>39</v>
      </c>
      <c r="J459" s="12">
        <f t="shared" si="61"/>
        <v>4.71</v>
      </c>
      <c r="K459" s="12">
        <f t="shared" si="62"/>
        <v>4.5100000000000007</v>
      </c>
      <c r="L459" s="78"/>
      <c r="M459" s="78"/>
      <c r="N459" s="78"/>
      <c r="O459" s="36"/>
      <c r="P459" s="24" t="str">
        <f t="shared" si="63"/>
        <v xml:space="preserve"> </v>
      </c>
      <c r="Q459" s="25" t="str">
        <f t="shared" si="63"/>
        <v xml:space="preserve"> </v>
      </c>
      <c r="R459" s="25" t="str">
        <f t="shared" si="63"/>
        <v xml:space="preserve"> </v>
      </c>
      <c r="S459" s="26" t="str">
        <f t="shared" si="56"/>
        <v xml:space="preserve"> </v>
      </c>
      <c r="T459" s="7" t="str">
        <f t="shared" si="57"/>
        <v xml:space="preserve"> </v>
      </c>
      <c r="U459" s="8" t="str">
        <f t="shared" si="58"/>
        <v xml:space="preserve"> </v>
      </c>
      <c r="V459" s="9" t="str">
        <f t="shared" si="59"/>
        <v xml:space="preserve"> </v>
      </c>
      <c r="W459" s="9" t="str">
        <f t="shared" si="60"/>
        <v/>
      </c>
      <c r="X459" s="32"/>
      <c r="Y459" s="36"/>
    </row>
    <row r="460" spans="1:25" s="4" customFormat="1" ht="18" customHeight="1">
      <c r="A460" s="36"/>
      <c r="B460" s="69">
        <v>124.14</v>
      </c>
      <c r="C460" s="69"/>
      <c r="D460" s="31" t="s">
        <v>707</v>
      </c>
      <c r="E460" s="29" t="s">
        <v>34</v>
      </c>
      <c r="F460" s="28">
        <v>4.6100000000000003</v>
      </c>
      <c r="G460" s="29">
        <v>0.1</v>
      </c>
      <c r="H460" s="29">
        <v>-0.1</v>
      </c>
      <c r="I460" s="30" t="s">
        <v>39</v>
      </c>
      <c r="J460" s="12">
        <f t="shared" si="61"/>
        <v>4.71</v>
      </c>
      <c r="K460" s="12">
        <f t="shared" si="62"/>
        <v>4.5100000000000007</v>
      </c>
      <c r="L460" s="78"/>
      <c r="M460" s="78"/>
      <c r="N460" s="78"/>
      <c r="O460" s="36"/>
      <c r="P460" s="24" t="str">
        <f t="shared" si="63"/>
        <v xml:space="preserve"> </v>
      </c>
      <c r="Q460" s="25" t="str">
        <f t="shared" si="63"/>
        <v xml:space="preserve"> </v>
      </c>
      <c r="R460" s="25" t="str">
        <f t="shared" si="63"/>
        <v xml:space="preserve"> </v>
      </c>
      <c r="S460" s="26" t="str">
        <f t="shared" si="56"/>
        <v xml:space="preserve"> </v>
      </c>
      <c r="T460" s="7" t="str">
        <f t="shared" si="57"/>
        <v xml:space="preserve"> </v>
      </c>
      <c r="U460" s="8" t="str">
        <f t="shared" si="58"/>
        <v xml:space="preserve"> </v>
      </c>
      <c r="V460" s="9" t="str">
        <f t="shared" si="59"/>
        <v xml:space="preserve"> </v>
      </c>
      <c r="W460" s="9" t="str">
        <f t="shared" si="60"/>
        <v/>
      </c>
      <c r="X460" s="32"/>
      <c r="Y460" s="36"/>
    </row>
    <row r="461" spans="1:25" s="4" customFormat="1" ht="18" customHeight="1">
      <c r="A461" s="36"/>
      <c r="B461" s="69">
        <v>124.15</v>
      </c>
      <c r="C461" s="69"/>
      <c r="D461" s="31" t="s">
        <v>707</v>
      </c>
      <c r="E461" s="29" t="s">
        <v>34</v>
      </c>
      <c r="F461" s="28">
        <v>4.6100000000000003</v>
      </c>
      <c r="G461" s="29">
        <v>0.1</v>
      </c>
      <c r="H461" s="29">
        <v>-0.1</v>
      </c>
      <c r="I461" s="30" t="s">
        <v>39</v>
      </c>
      <c r="J461" s="12">
        <f t="shared" si="61"/>
        <v>4.71</v>
      </c>
      <c r="K461" s="12">
        <f t="shared" si="62"/>
        <v>4.5100000000000007</v>
      </c>
      <c r="L461" s="78"/>
      <c r="M461" s="78"/>
      <c r="N461" s="78"/>
      <c r="O461" s="36"/>
      <c r="P461" s="24" t="str">
        <f t="shared" si="63"/>
        <v xml:space="preserve"> </v>
      </c>
      <c r="Q461" s="25" t="str">
        <f t="shared" si="63"/>
        <v xml:space="preserve"> </v>
      </c>
      <c r="R461" s="25" t="str">
        <f t="shared" si="63"/>
        <v xml:space="preserve"> </v>
      </c>
      <c r="S461" s="26" t="str">
        <f t="shared" si="56"/>
        <v xml:space="preserve"> </v>
      </c>
      <c r="T461" s="7" t="str">
        <f t="shared" si="57"/>
        <v xml:space="preserve"> </v>
      </c>
      <c r="U461" s="8" t="str">
        <f t="shared" si="58"/>
        <v xml:space="preserve"> </v>
      </c>
      <c r="V461" s="9" t="str">
        <f t="shared" si="59"/>
        <v xml:space="preserve"> </v>
      </c>
      <c r="W461" s="9" t="str">
        <f t="shared" si="60"/>
        <v/>
      </c>
      <c r="X461" s="32"/>
      <c r="Y461" s="36"/>
    </row>
    <row r="462" spans="1:25" s="4" customFormat="1" ht="18" customHeight="1">
      <c r="A462" s="36"/>
      <c r="B462" s="69">
        <v>125.01</v>
      </c>
      <c r="C462" s="69" t="s">
        <v>692</v>
      </c>
      <c r="D462" s="31" t="s">
        <v>707</v>
      </c>
      <c r="E462" s="29" t="s">
        <v>34</v>
      </c>
      <c r="F462" s="28">
        <v>0</v>
      </c>
      <c r="G462" s="29">
        <v>0.1</v>
      </c>
      <c r="H462" s="29">
        <v>-0.1</v>
      </c>
      <c r="I462" s="30" t="s">
        <v>39</v>
      </c>
      <c r="J462" s="12">
        <f t="shared" si="61"/>
        <v>0.1</v>
      </c>
      <c r="K462" s="12">
        <f t="shared" si="62"/>
        <v>-0.1</v>
      </c>
      <c r="L462" s="78"/>
      <c r="M462" s="78"/>
      <c r="N462" s="78"/>
      <c r="O462" s="36"/>
      <c r="P462" s="24" t="str">
        <f t="shared" si="63"/>
        <v xml:space="preserve"> </v>
      </c>
      <c r="Q462" s="25" t="str">
        <f t="shared" si="63"/>
        <v xml:space="preserve"> </v>
      </c>
      <c r="R462" s="25" t="str">
        <f t="shared" si="63"/>
        <v xml:space="preserve"> </v>
      </c>
      <c r="S462" s="26" t="str">
        <f t="shared" si="56"/>
        <v xml:space="preserve"> </v>
      </c>
      <c r="T462" s="7" t="str">
        <f t="shared" si="57"/>
        <v xml:space="preserve"> </v>
      </c>
      <c r="U462" s="8" t="str">
        <f t="shared" si="58"/>
        <v xml:space="preserve"> </v>
      </c>
      <c r="V462" s="9" t="str">
        <f t="shared" si="59"/>
        <v xml:space="preserve"> </v>
      </c>
      <c r="W462" s="9" t="str">
        <f t="shared" si="60"/>
        <v/>
      </c>
      <c r="X462" s="32"/>
      <c r="Y462" s="36"/>
    </row>
    <row r="463" spans="1:25" s="4" customFormat="1" ht="18" customHeight="1">
      <c r="A463" s="36"/>
      <c r="B463" s="69">
        <v>125.02</v>
      </c>
      <c r="C463" s="69" t="s">
        <v>693</v>
      </c>
      <c r="D463" s="31" t="s">
        <v>707</v>
      </c>
      <c r="E463" s="29" t="s">
        <v>34</v>
      </c>
      <c r="F463" s="28">
        <v>4.12</v>
      </c>
      <c r="G463" s="29">
        <v>0.1</v>
      </c>
      <c r="H463" s="29">
        <v>-0.1</v>
      </c>
      <c r="I463" s="30" t="s">
        <v>39</v>
      </c>
      <c r="J463" s="12">
        <f t="shared" si="61"/>
        <v>4.22</v>
      </c>
      <c r="K463" s="12">
        <f t="shared" si="62"/>
        <v>4.0200000000000005</v>
      </c>
      <c r="L463" s="78"/>
      <c r="M463" s="78"/>
      <c r="N463" s="78"/>
      <c r="O463" s="36"/>
      <c r="P463" s="24" t="str">
        <f t="shared" si="63"/>
        <v xml:space="preserve"> </v>
      </c>
      <c r="Q463" s="25" t="str">
        <f t="shared" si="63"/>
        <v xml:space="preserve"> </v>
      </c>
      <c r="R463" s="25" t="str">
        <f t="shared" si="63"/>
        <v xml:space="preserve"> </v>
      </c>
      <c r="S463" s="26" t="str">
        <f t="shared" si="56"/>
        <v xml:space="preserve"> </v>
      </c>
      <c r="T463" s="7" t="str">
        <f t="shared" si="57"/>
        <v xml:space="preserve"> </v>
      </c>
      <c r="U463" s="8" t="str">
        <f t="shared" si="58"/>
        <v xml:space="preserve"> </v>
      </c>
      <c r="V463" s="9" t="str">
        <f t="shared" si="59"/>
        <v xml:space="preserve"> </v>
      </c>
      <c r="W463" s="9" t="str">
        <f t="shared" si="60"/>
        <v/>
      </c>
      <c r="X463" s="32"/>
      <c r="Y463" s="36"/>
    </row>
    <row r="464" spans="1:25" s="4" customFormat="1" ht="18" customHeight="1">
      <c r="A464" s="36"/>
      <c r="B464" s="69">
        <v>125.03</v>
      </c>
      <c r="C464" s="69" t="s">
        <v>694</v>
      </c>
      <c r="D464" s="31" t="s">
        <v>707</v>
      </c>
      <c r="E464" s="29" t="s">
        <v>34</v>
      </c>
      <c r="F464" s="28">
        <v>4.12</v>
      </c>
      <c r="G464" s="29">
        <v>0.1</v>
      </c>
      <c r="H464" s="29">
        <v>-0.1</v>
      </c>
      <c r="I464" s="30" t="s">
        <v>39</v>
      </c>
      <c r="J464" s="12">
        <f t="shared" si="61"/>
        <v>4.22</v>
      </c>
      <c r="K464" s="12">
        <f t="shared" si="62"/>
        <v>4.0200000000000005</v>
      </c>
      <c r="L464" s="78"/>
      <c r="M464" s="78"/>
      <c r="N464" s="78"/>
      <c r="O464" s="36"/>
      <c r="P464" s="24" t="str">
        <f t="shared" si="63"/>
        <v xml:space="preserve"> </v>
      </c>
      <c r="Q464" s="25" t="str">
        <f t="shared" si="63"/>
        <v xml:space="preserve"> </v>
      </c>
      <c r="R464" s="25" t="str">
        <f t="shared" si="63"/>
        <v xml:space="preserve"> </v>
      </c>
      <c r="S464" s="26" t="str">
        <f t="shared" si="56"/>
        <v xml:space="preserve"> </v>
      </c>
      <c r="T464" s="7" t="str">
        <f t="shared" si="57"/>
        <v xml:space="preserve"> </v>
      </c>
      <c r="U464" s="8" t="str">
        <f t="shared" si="58"/>
        <v xml:space="preserve"> </v>
      </c>
      <c r="V464" s="9" t="str">
        <f t="shared" si="59"/>
        <v xml:space="preserve"> </v>
      </c>
      <c r="W464" s="9" t="str">
        <f t="shared" si="60"/>
        <v/>
      </c>
      <c r="X464" s="32"/>
      <c r="Y464" s="36"/>
    </row>
    <row r="465" spans="1:25" s="4" customFormat="1" ht="18" customHeight="1">
      <c r="A465" s="36"/>
      <c r="B465" s="69">
        <v>125.04</v>
      </c>
      <c r="C465" s="69" t="s">
        <v>695</v>
      </c>
      <c r="D465" s="31" t="s">
        <v>707</v>
      </c>
      <c r="E465" s="29" t="s">
        <v>34</v>
      </c>
      <c r="F465" s="28">
        <v>4.12</v>
      </c>
      <c r="G465" s="29">
        <v>0.1</v>
      </c>
      <c r="H465" s="29">
        <v>-0.1</v>
      </c>
      <c r="I465" s="30" t="s">
        <v>39</v>
      </c>
      <c r="J465" s="12">
        <f t="shared" si="61"/>
        <v>4.22</v>
      </c>
      <c r="K465" s="12">
        <f t="shared" si="62"/>
        <v>4.0200000000000005</v>
      </c>
      <c r="L465" s="78"/>
      <c r="M465" s="78"/>
      <c r="N465" s="78"/>
      <c r="O465" s="36"/>
      <c r="P465" s="24" t="str">
        <f t="shared" si="63"/>
        <v xml:space="preserve"> </v>
      </c>
      <c r="Q465" s="25" t="str">
        <f t="shared" si="63"/>
        <v xml:space="preserve"> </v>
      </c>
      <c r="R465" s="25" t="str">
        <f t="shared" si="63"/>
        <v xml:space="preserve"> </v>
      </c>
      <c r="S465" s="26" t="str">
        <f t="shared" si="56"/>
        <v xml:space="preserve"> </v>
      </c>
      <c r="T465" s="7" t="str">
        <f t="shared" si="57"/>
        <v xml:space="preserve"> </v>
      </c>
      <c r="U465" s="8" t="str">
        <f t="shared" si="58"/>
        <v xml:space="preserve"> </v>
      </c>
      <c r="V465" s="9" t="str">
        <f t="shared" si="59"/>
        <v xml:space="preserve"> </v>
      </c>
      <c r="W465" s="9" t="str">
        <f t="shared" si="60"/>
        <v/>
      </c>
      <c r="X465" s="32"/>
      <c r="Y465" s="36"/>
    </row>
    <row r="466" spans="1:25" s="4" customFormat="1" ht="18" customHeight="1">
      <c r="A466" s="36"/>
      <c r="B466" s="69">
        <v>125.05</v>
      </c>
      <c r="C466" s="69" t="s">
        <v>696</v>
      </c>
      <c r="D466" s="31" t="s">
        <v>707</v>
      </c>
      <c r="E466" s="29" t="s">
        <v>34</v>
      </c>
      <c r="F466" s="28">
        <v>4.12</v>
      </c>
      <c r="G466" s="29">
        <v>0.1</v>
      </c>
      <c r="H466" s="29">
        <v>-0.1</v>
      </c>
      <c r="I466" s="30" t="s">
        <v>39</v>
      </c>
      <c r="J466" s="12">
        <f t="shared" si="61"/>
        <v>4.22</v>
      </c>
      <c r="K466" s="12">
        <f t="shared" si="62"/>
        <v>4.0200000000000005</v>
      </c>
      <c r="L466" s="78"/>
      <c r="M466" s="78"/>
      <c r="N466" s="78"/>
      <c r="O466" s="36"/>
      <c r="P466" s="24" t="str">
        <f t="shared" si="63"/>
        <v xml:space="preserve"> </v>
      </c>
      <c r="Q466" s="25" t="str">
        <f t="shared" si="63"/>
        <v xml:space="preserve"> </v>
      </c>
      <c r="R466" s="25" t="str">
        <f t="shared" si="63"/>
        <v xml:space="preserve"> </v>
      </c>
      <c r="S466" s="26" t="str">
        <f t="shared" si="56"/>
        <v xml:space="preserve"> </v>
      </c>
      <c r="T466" s="7" t="str">
        <f t="shared" si="57"/>
        <v xml:space="preserve"> </v>
      </c>
      <c r="U466" s="8" t="str">
        <f t="shared" si="58"/>
        <v xml:space="preserve"> </v>
      </c>
      <c r="V466" s="9" t="str">
        <f t="shared" si="59"/>
        <v xml:space="preserve"> </v>
      </c>
      <c r="W466" s="9" t="str">
        <f t="shared" si="60"/>
        <v/>
      </c>
      <c r="X466" s="32"/>
      <c r="Y466" s="36"/>
    </row>
    <row r="467" spans="1:25" s="4" customFormat="1" ht="18" customHeight="1">
      <c r="A467" s="36"/>
      <c r="B467" s="69">
        <v>125.06</v>
      </c>
      <c r="C467" s="69" t="s">
        <v>697</v>
      </c>
      <c r="D467" s="31" t="s">
        <v>707</v>
      </c>
      <c r="E467" s="29" t="s">
        <v>34</v>
      </c>
      <c r="F467" s="28">
        <v>4.12</v>
      </c>
      <c r="G467" s="29">
        <v>0.1</v>
      </c>
      <c r="H467" s="29">
        <v>-0.1</v>
      </c>
      <c r="I467" s="30" t="s">
        <v>39</v>
      </c>
      <c r="J467" s="12">
        <f t="shared" ref="J467:J530" si="64">IF(AND(F467="",G467=""),"",IF(F467="",G467,F467+G467))</f>
        <v>4.22</v>
      </c>
      <c r="K467" s="12">
        <f t="shared" ref="K467:K530" si="65">IF(AND(F467="",H467=""),"",IF(F467="",H467,F467+H467))</f>
        <v>4.0200000000000005</v>
      </c>
      <c r="L467" s="78"/>
      <c r="M467" s="78"/>
      <c r="N467" s="78"/>
      <c r="O467" s="36"/>
      <c r="P467" s="24" t="str">
        <f t="shared" si="63"/>
        <v xml:space="preserve"> </v>
      </c>
      <c r="Q467" s="25" t="str">
        <f t="shared" si="63"/>
        <v xml:space="preserve"> </v>
      </c>
      <c r="R467" s="25" t="str">
        <f t="shared" si="63"/>
        <v xml:space="preserve"> </v>
      </c>
      <c r="S467" s="26" t="str">
        <f t="shared" si="56"/>
        <v xml:space="preserve"> </v>
      </c>
      <c r="T467" s="7" t="str">
        <f t="shared" si="57"/>
        <v xml:space="preserve"> </v>
      </c>
      <c r="U467" s="8" t="str">
        <f t="shared" si="58"/>
        <v xml:space="preserve"> </v>
      </c>
      <c r="V467" s="9" t="str">
        <f t="shared" si="59"/>
        <v xml:space="preserve"> </v>
      </c>
      <c r="W467" s="9" t="str">
        <f t="shared" si="60"/>
        <v/>
      </c>
      <c r="X467" s="32"/>
      <c r="Y467" s="36"/>
    </row>
    <row r="468" spans="1:25" s="4" customFormat="1" ht="18" customHeight="1">
      <c r="A468" s="36"/>
      <c r="B468" s="69">
        <v>125.07</v>
      </c>
      <c r="C468" s="69" t="s">
        <v>698</v>
      </c>
      <c r="D468" s="31" t="s">
        <v>707</v>
      </c>
      <c r="E468" s="29" t="s">
        <v>34</v>
      </c>
      <c r="F468" s="28">
        <v>4.12</v>
      </c>
      <c r="G468" s="29">
        <v>0.05</v>
      </c>
      <c r="H468" s="29">
        <v>-0.05</v>
      </c>
      <c r="I468" s="30" t="s">
        <v>39</v>
      </c>
      <c r="J468" s="12">
        <f t="shared" si="64"/>
        <v>4.17</v>
      </c>
      <c r="K468" s="12">
        <f t="shared" si="65"/>
        <v>4.07</v>
      </c>
      <c r="L468" s="78"/>
      <c r="M468" s="78"/>
      <c r="N468" s="78"/>
      <c r="O468" s="36"/>
      <c r="P468" s="24" t="str">
        <f t="shared" si="63"/>
        <v xml:space="preserve"> </v>
      </c>
      <c r="Q468" s="25" t="str">
        <f t="shared" si="63"/>
        <v xml:space="preserve"> </v>
      </c>
      <c r="R468" s="25" t="str">
        <f t="shared" si="63"/>
        <v xml:space="preserve"> </v>
      </c>
      <c r="S468" s="26" t="str">
        <f t="shared" si="56"/>
        <v xml:space="preserve"> </v>
      </c>
      <c r="T468" s="7" t="str">
        <f t="shared" si="57"/>
        <v xml:space="preserve"> </v>
      </c>
      <c r="U468" s="8" t="str">
        <f t="shared" si="58"/>
        <v xml:space="preserve"> </v>
      </c>
      <c r="V468" s="9" t="str">
        <f t="shared" si="59"/>
        <v xml:space="preserve"> </v>
      </c>
      <c r="W468" s="9" t="str">
        <f t="shared" si="60"/>
        <v/>
      </c>
      <c r="X468" s="32"/>
      <c r="Y468" s="36"/>
    </row>
    <row r="469" spans="1:25" s="4" customFormat="1" ht="18" customHeight="1">
      <c r="A469" s="36"/>
      <c r="B469" s="69">
        <v>125.08</v>
      </c>
      <c r="C469" s="69" t="s">
        <v>699</v>
      </c>
      <c r="D469" s="31" t="s">
        <v>707</v>
      </c>
      <c r="E469" s="29" t="s">
        <v>34</v>
      </c>
      <c r="F469" s="28">
        <v>4.12</v>
      </c>
      <c r="G469" s="29">
        <v>0.05</v>
      </c>
      <c r="H469" s="29">
        <v>-0.05</v>
      </c>
      <c r="I469" s="30" t="s">
        <v>39</v>
      </c>
      <c r="J469" s="12">
        <f t="shared" si="64"/>
        <v>4.17</v>
      </c>
      <c r="K469" s="12">
        <f t="shared" si="65"/>
        <v>4.07</v>
      </c>
      <c r="L469" s="78"/>
      <c r="M469" s="78"/>
      <c r="N469" s="78"/>
      <c r="O469" s="36"/>
      <c r="P469" s="24" t="str">
        <f t="shared" si="63"/>
        <v xml:space="preserve"> </v>
      </c>
      <c r="Q469" s="25" t="str">
        <f t="shared" si="63"/>
        <v xml:space="preserve"> </v>
      </c>
      <c r="R469" s="25" t="str">
        <f t="shared" si="63"/>
        <v xml:space="preserve"> </v>
      </c>
      <c r="S469" s="26" t="str">
        <f t="shared" si="56"/>
        <v xml:space="preserve"> </v>
      </c>
      <c r="T469" s="7" t="str">
        <f t="shared" si="57"/>
        <v xml:space="preserve"> </v>
      </c>
      <c r="U469" s="8" t="str">
        <f t="shared" si="58"/>
        <v xml:space="preserve"> </v>
      </c>
      <c r="V469" s="9" t="str">
        <f t="shared" si="59"/>
        <v xml:space="preserve"> </v>
      </c>
      <c r="W469" s="9" t="str">
        <f t="shared" si="60"/>
        <v/>
      </c>
      <c r="X469" s="32" t="s">
        <v>856</v>
      </c>
      <c r="Y469" s="36"/>
    </row>
    <row r="470" spans="1:25" s="4" customFormat="1" ht="18" customHeight="1">
      <c r="A470" s="36"/>
      <c r="B470" s="69">
        <v>125.09</v>
      </c>
      <c r="C470" s="69" t="s">
        <v>700</v>
      </c>
      <c r="D470" s="31" t="s">
        <v>707</v>
      </c>
      <c r="E470" s="29" t="s">
        <v>34</v>
      </c>
      <c r="F470" s="28">
        <v>4.12</v>
      </c>
      <c r="G470" s="29">
        <v>0.05</v>
      </c>
      <c r="H470" s="29">
        <v>-0.05</v>
      </c>
      <c r="I470" s="30" t="s">
        <v>39</v>
      </c>
      <c r="J470" s="12">
        <f t="shared" si="64"/>
        <v>4.17</v>
      </c>
      <c r="K470" s="12">
        <f t="shared" si="65"/>
        <v>4.07</v>
      </c>
      <c r="L470" s="78"/>
      <c r="M470" s="78"/>
      <c r="N470" s="78"/>
      <c r="O470" s="36"/>
      <c r="P470" s="24" t="str">
        <f t="shared" si="63"/>
        <v xml:space="preserve"> </v>
      </c>
      <c r="Q470" s="25" t="str">
        <f t="shared" si="63"/>
        <v xml:space="preserve"> </v>
      </c>
      <c r="R470" s="25" t="str">
        <f t="shared" si="63"/>
        <v xml:space="preserve"> </v>
      </c>
      <c r="S470" s="26" t="str">
        <f t="shared" si="56"/>
        <v xml:space="preserve"> </v>
      </c>
      <c r="T470" s="7" t="str">
        <f t="shared" si="57"/>
        <v xml:space="preserve"> </v>
      </c>
      <c r="U470" s="8" t="str">
        <f t="shared" si="58"/>
        <v xml:space="preserve"> </v>
      </c>
      <c r="V470" s="9" t="str">
        <f t="shared" si="59"/>
        <v xml:space="preserve"> </v>
      </c>
      <c r="W470" s="9" t="str">
        <f t="shared" si="60"/>
        <v/>
      </c>
      <c r="X470" s="32"/>
      <c r="Y470" s="36"/>
    </row>
    <row r="471" spans="1:25" s="4" customFormat="1" ht="18" customHeight="1">
      <c r="A471" s="36"/>
      <c r="B471" s="69" t="s">
        <v>941</v>
      </c>
      <c r="C471" s="69" t="s">
        <v>701</v>
      </c>
      <c r="D471" s="31" t="s">
        <v>707</v>
      </c>
      <c r="E471" s="29" t="s">
        <v>34</v>
      </c>
      <c r="F471" s="28">
        <v>4.12</v>
      </c>
      <c r="G471" s="29">
        <v>0.05</v>
      </c>
      <c r="H471" s="29">
        <v>-0.05</v>
      </c>
      <c r="I471" s="30" t="s">
        <v>39</v>
      </c>
      <c r="J471" s="12">
        <f t="shared" si="64"/>
        <v>4.17</v>
      </c>
      <c r="K471" s="12">
        <f t="shared" si="65"/>
        <v>4.07</v>
      </c>
      <c r="L471" s="78"/>
      <c r="M471" s="78"/>
      <c r="N471" s="78"/>
      <c r="O471" s="36"/>
      <c r="P471" s="24" t="str">
        <f t="shared" si="63"/>
        <v xml:space="preserve"> </v>
      </c>
      <c r="Q471" s="25" t="str">
        <f t="shared" si="63"/>
        <v xml:space="preserve"> </v>
      </c>
      <c r="R471" s="25" t="str">
        <f t="shared" si="63"/>
        <v xml:space="preserve"> </v>
      </c>
      <c r="S471" s="26" t="str">
        <f t="shared" si="56"/>
        <v xml:space="preserve"> </v>
      </c>
      <c r="T471" s="7" t="str">
        <f t="shared" si="57"/>
        <v xml:space="preserve"> </v>
      </c>
      <c r="U471" s="8" t="str">
        <f t="shared" si="58"/>
        <v xml:space="preserve"> </v>
      </c>
      <c r="V471" s="9" t="str">
        <f t="shared" si="59"/>
        <v xml:space="preserve"> </v>
      </c>
      <c r="W471" s="9" t="str">
        <f t="shared" si="60"/>
        <v/>
      </c>
      <c r="X471" s="32"/>
      <c r="Y471" s="36"/>
    </row>
    <row r="472" spans="1:25" s="4" customFormat="1" ht="18" customHeight="1">
      <c r="A472" s="36"/>
      <c r="B472" s="69">
        <v>125.11</v>
      </c>
      <c r="C472" s="69" t="s">
        <v>702</v>
      </c>
      <c r="D472" s="31" t="s">
        <v>707</v>
      </c>
      <c r="E472" s="29" t="s">
        <v>34</v>
      </c>
      <c r="F472" s="28">
        <v>4.12</v>
      </c>
      <c r="G472" s="29">
        <v>0.05</v>
      </c>
      <c r="H472" s="29">
        <v>-0.05</v>
      </c>
      <c r="I472" s="30" t="s">
        <v>39</v>
      </c>
      <c r="J472" s="12">
        <f t="shared" si="64"/>
        <v>4.17</v>
      </c>
      <c r="K472" s="12">
        <f t="shared" si="65"/>
        <v>4.07</v>
      </c>
      <c r="L472" s="78"/>
      <c r="M472" s="78"/>
      <c r="N472" s="78"/>
      <c r="O472" s="36"/>
      <c r="P472" s="24" t="str">
        <f t="shared" si="63"/>
        <v xml:space="preserve"> </v>
      </c>
      <c r="Q472" s="25" t="str">
        <f t="shared" si="63"/>
        <v xml:space="preserve"> </v>
      </c>
      <c r="R472" s="25" t="str">
        <f t="shared" si="63"/>
        <v xml:space="preserve"> </v>
      </c>
      <c r="S472" s="26" t="str">
        <f t="shared" si="56"/>
        <v xml:space="preserve"> </v>
      </c>
      <c r="T472" s="7" t="str">
        <f t="shared" si="57"/>
        <v xml:space="preserve"> </v>
      </c>
      <c r="U472" s="8" t="str">
        <f t="shared" si="58"/>
        <v xml:space="preserve"> </v>
      </c>
      <c r="V472" s="9" t="str">
        <f t="shared" si="59"/>
        <v xml:space="preserve"> </v>
      </c>
      <c r="W472" s="9" t="str">
        <f t="shared" si="60"/>
        <v/>
      </c>
      <c r="X472" s="32"/>
      <c r="Y472" s="36"/>
    </row>
    <row r="473" spans="1:25" s="4" customFormat="1" ht="18" customHeight="1">
      <c r="A473" s="36"/>
      <c r="B473" s="69">
        <v>125.12</v>
      </c>
      <c r="C473" s="69" t="s">
        <v>703</v>
      </c>
      <c r="D473" s="31" t="s">
        <v>707</v>
      </c>
      <c r="E473" s="29" t="s">
        <v>34</v>
      </c>
      <c r="F473" s="28">
        <v>4.12</v>
      </c>
      <c r="G473" s="29">
        <v>0.05</v>
      </c>
      <c r="H473" s="29">
        <v>-0.05</v>
      </c>
      <c r="I473" s="30" t="s">
        <v>39</v>
      </c>
      <c r="J473" s="12">
        <f t="shared" si="64"/>
        <v>4.17</v>
      </c>
      <c r="K473" s="12">
        <f t="shared" si="65"/>
        <v>4.07</v>
      </c>
      <c r="L473" s="78"/>
      <c r="M473" s="78"/>
      <c r="N473" s="78"/>
      <c r="O473" s="36"/>
      <c r="P473" s="24" t="str">
        <f t="shared" si="63"/>
        <v xml:space="preserve"> </v>
      </c>
      <c r="Q473" s="25" t="str">
        <f t="shared" si="63"/>
        <v xml:space="preserve"> </v>
      </c>
      <c r="R473" s="25" t="str">
        <f t="shared" si="63"/>
        <v xml:space="preserve"> </v>
      </c>
      <c r="S473" s="26" t="str">
        <f t="shared" si="56"/>
        <v xml:space="preserve"> </v>
      </c>
      <c r="T473" s="7" t="str">
        <f t="shared" si="57"/>
        <v xml:space="preserve"> </v>
      </c>
      <c r="U473" s="8" t="str">
        <f t="shared" si="58"/>
        <v xml:space="preserve"> </v>
      </c>
      <c r="V473" s="9" t="str">
        <f t="shared" si="59"/>
        <v xml:space="preserve"> </v>
      </c>
      <c r="W473" s="9" t="str">
        <f t="shared" si="60"/>
        <v/>
      </c>
      <c r="X473" s="32"/>
      <c r="Y473" s="36"/>
    </row>
    <row r="474" spans="1:25" s="4" customFormat="1" ht="18" customHeight="1">
      <c r="A474" s="36"/>
      <c r="B474" s="69">
        <v>125.13</v>
      </c>
      <c r="C474" s="69" t="s">
        <v>704</v>
      </c>
      <c r="D474" s="31" t="s">
        <v>707</v>
      </c>
      <c r="E474" s="29" t="s">
        <v>34</v>
      </c>
      <c r="F474" s="28">
        <v>4.12</v>
      </c>
      <c r="G474" s="29">
        <v>0.05</v>
      </c>
      <c r="H474" s="29">
        <v>-0.05</v>
      </c>
      <c r="I474" s="30" t="s">
        <v>39</v>
      </c>
      <c r="J474" s="12">
        <f t="shared" si="64"/>
        <v>4.17</v>
      </c>
      <c r="K474" s="12">
        <f t="shared" si="65"/>
        <v>4.07</v>
      </c>
      <c r="L474" s="78"/>
      <c r="M474" s="78"/>
      <c r="N474" s="78"/>
      <c r="O474" s="36"/>
      <c r="P474" s="24" t="str">
        <f t="shared" si="63"/>
        <v xml:space="preserve"> </v>
      </c>
      <c r="Q474" s="25" t="str">
        <f t="shared" si="63"/>
        <v xml:space="preserve"> </v>
      </c>
      <c r="R474" s="25" t="str">
        <f t="shared" si="63"/>
        <v xml:space="preserve"> </v>
      </c>
      <c r="S474" s="26" t="str">
        <f t="shared" si="56"/>
        <v xml:space="preserve"> </v>
      </c>
      <c r="T474" s="7" t="str">
        <f t="shared" si="57"/>
        <v xml:space="preserve"> </v>
      </c>
      <c r="U474" s="8" t="str">
        <f t="shared" si="58"/>
        <v xml:space="preserve"> </v>
      </c>
      <c r="V474" s="9" t="str">
        <f t="shared" si="59"/>
        <v xml:space="preserve"> </v>
      </c>
      <c r="W474" s="9" t="str">
        <f t="shared" si="60"/>
        <v/>
      </c>
      <c r="X474" s="32"/>
      <c r="Y474" s="36"/>
    </row>
    <row r="475" spans="1:25" s="4" customFormat="1" ht="18" customHeight="1">
      <c r="A475" s="36"/>
      <c r="B475" s="69">
        <v>125.14</v>
      </c>
      <c r="C475" s="69" t="s">
        <v>705</v>
      </c>
      <c r="D475" s="31" t="s">
        <v>707</v>
      </c>
      <c r="E475" s="29" t="s">
        <v>34</v>
      </c>
      <c r="F475" s="28">
        <v>4.12</v>
      </c>
      <c r="G475" s="29">
        <v>0.05</v>
      </c>
      <c r="H475" s="29">
        <v>-0.05</v>
      </c>
      <c r="I475" s="30" t="s">
        <v>39</v>
      </c>
      <c r="J475" s="12">
        <f t="shared" si="64"/>
        <v>4.17</v>
      </c>
      <c r="K475" s="12">
        <f t="shared" si="65"/>
        <v>4.07</v>
      </c>
      <c r="L475" s="78"/>
      <c r="M475" s="78"/>
      <c r="N475" s="78"/>
      <c r="O475" s="36"/>
      <c r="P475" s="24" t="str">
        <f t="shared" si="63"/>
        <v xml:space="preserve"> </v>
      </c>
      <c r="Q475" s="25" t="str">
        <f t="shared" si="63"/>
        <v xml:space="preserve"> </v>
      </c>
      <c r="R475" s="25" t="str">
        <f t="shared" si="63"/>
        <v xml:space="preserve"> </v>
      </c>
      <c r="S475" s="26" t="str">
        <f t="shared" si="56"/>
        <v xml:space="preserve"> </v>
      </c>
      <c r="T475" s="7" t="str">
        <f t="shared" si="57"/>
        <v xml:space="preserve"> </v>
      </c>
      <c r="U475" s="8" t="str">
        <f t="shared" si="58"/>
        <v xml:space="preserve"> </v>
      </c>
      <c r="V475" s="9" t="str">
        <f t="shared" si="59"/>
        <v xml:space="preserve"> </v>
      </c>
      <c r="W475" s="9" t="str">
        <f t="shared" si="60"/>
        <v/>
      </c>
      <c r="X475" s="32"/>
      <c r="Y475" s="36"/>
    </row>
    <row r="476" spans="1:25" s="4" customFormat="1" ht="18" customHeight="1">
      <c r="A476" s="36"/>
      <c r="B476" s="69">
        <v>125.15</v>
      </c>
      <c r="C476" s="69" t="s">
        <v>706</v>
      </c>
      <c r="D476" s="31" t="s">
        <v>707</v>
      </c>
      <c r="E476" s="29" t="s">
        <v>34</v>
      </c>
      <c r="F476" s="28">
        <v>4.12</v>
      </c>
      <c r="G476" s="29">
        <v>0.05</v>
      </c>
      <c r="H476" s="29">
        <v>-0.05</v>
      </c>
      <c r="I476" s="30" t="s">
        <v>39</v>
      </c>
      <c r="J476" s="12">
        <f t="shared" si="64"/>
        <v>4.17</v>
      </c>
      <c r="K476" s="12">
        <f t="shared" si="65"/>
        <v>4.07</v>
      </c>
      <c r="L476" s="78"/>
      <c r="M476" s="78"/>
      <c r="N476" s="78"/>
      <c r="O476" s="36"/>
      <c r="P476" s="24" t="str">
        <f t="shared" si="63"/>
        <v xml:space="preserve"> </v>
      </c>
      <c r="Q476" s="25" t="str">
        <f t="shared" si="63"/>
        <v xml:space="preserve"> </v>
      </c>
      <c r="R476" s="25" t="str">
        <f t="shared" si="63"/>
        <v xml:space="preserve"> </v>
      </c>
      <c r="S476" s="26" t="str">
        <f t="shared" si="56"/>
        <v xml:space="preserve"> </v>
      </c>
      <c r="T476" s="7" t="str">
        <f t="shared" si="57"/>
        <v xml:space="preserve"> </v>
      </c>
      <c r="U476" s="8" t="str">
        <f t="shared" si="58"/>
        <v xml:space="preserve"> </v>
      </c>
      <c r="V476" s="9" t="str">
        <f t="shared" si="59"/>
        <v xml:space="preserve"> </v>
      </c>
      <c r="W476" s="9" t="str">
        <f t="shared" si="60"/>
        <v/>
      </c>
      <c r="X476" s="32"/>
      <c r="Y476" s="36"/>
    </row>
    <row r="477" spans="1:25" s="4" customFormat="1" ht="18" customHeight="1">
      <c r="A477" s="36"/>
      <c r="B477" s="69">
        <v>126.01</v>
      </c>
      <c r="C477" s="69" t="s">
        <v>759</v>
      </c>
      <c r="D477" s="31" t="s">
        <v>707</v>
      </c>
      <c r="E477" s="29" t="s">
        <v>34</v>
      </c>
      <c r="F477" s="28">
        <v>3.1</v>
      </c>
      <c r="G477" s="29">
        <v>0.05</v>
      </c>
      <c r="H477" s="29">
        <v>-0.05</v>
      </c>
      <c r="I477" s="30" t="s">
        <v>39</v>
      </c>
      <c r="J477" s="12">
        <f t="shared" si="64"/>
        <v>3.15</v>
      </c>
      <c r="K477" s="12">
        <f t="shared" si="65"/>
        <v>3.0500000000000003</v>
      </c>
      <c r="L477" s="78"/>
      <c r="M477" s="78"/>
      <c r="N477" s="78"/>
      <c r="O477" s="36"/>
      <c r="P477" s="24" t="str">
        <f t="shared" si="63"/>
        <v xml:space="preserve"> </v>
      </c>
      <c r="Q477" s="25" t="str">
        <f t="shared" si="63"/>
        <v xml:space="preserve"> </v>
      </c>
      <c r="R477" s="25" t="str">
        <f t="shared" si="63"/>
        <v xml:space="preserve"> </v>
      </c>
      <c r="S477" s="26" t="str">
        <f t="shared" si="56"/>
        <v xml:space="preserve"> </v>
      </c>
      <c r="T477" s="7" t="str">
        <f t="shared" si="57"/>
        <v xml:space="preserve"> </v>
      </c>
      <c r="U477" s="8" t="str">
        <f t="shared" si="58"/>
        <v xml:space="preserve"> </v>
      </c>
      <c r="V477" s="9" t="str">
        <f t="shared" si="59"/>
        <v xml:space="preserve"> </v>
      </c>
      <c r="W477" s="9" t="str">
        <f t="shared" si="60"/>
        <v/>
      </c>
      <c r="X477" s="32"/>
      <c r="Y477" s="36"/>
    </row>
    <row r="478" spans="1:25" s="4" customFormat="1" ht="18" customHeight="1">
      <c r="A478" s="36"/>
      <c r="B478" s="69">
        <v>126.02</v>
      </c>
      <c r="C478" s="69" t="s">
        <v>760</v>
      </c>
      <c r="D478" s="31" t="s">
        <v>707</v>
      </c>
      <c r="E478" s="29" t="s">
        <v>34</v>
      </c>
      <c r="F478" s="28">
        <v>3.1</v>
      </c>
      <c r="G478" s="29">
        <v>0.05</v>
      </c>
      <c r="H478" s="29">
        <v>-0.05</v>
      </c>
      <c r="I478" s="30" t="s">
        <v>39</v>
      </c>
      <c r="J478" s="12">
        <f t="shared" si="64"/>
        <v>3.15</v>
      </c>
      <c r="K478" s="12">
        <f t="shared" si="65"/>
        <v>3.0500000000000003</v>
      </c>
      <c r="L478" s="78"/>
      <c r="M478" s="78"/>
      <c r="N478" s="78"/>
      <c r="O478" s="36"/>
      <c r="P478" s="24" t="str">
        <f t="shared" si="63"/>
        <v xml:space="preserve"> </v>
      </c>
      <c r="Q478" s="25" t="str">
        <f t="shared" si="63"/>
        <v xml:space="preserve"> </v>
      </c>
      <c r="R478" s="25" t="str">
        <f t="shared" si="63"/>
        <v xml:space="preserve"> </v>
      </c>
      <c r="S478" s="26" t="str">
        <f t="shared" si="56"/>
        <v xml:space="preserve"> </v>
      </c>
      <c r="T478" s="7" t="str">
        <f t="shared" si="57"/>
        <v xml:space="preserve"> </v>
      </c>
      <c r="U478" s="8" t="str">
        <f t="shared" si="58"/>
        <v xml:space="preserve"> </v>
      </c>
      <c r="V478" s="9" t="str">
        <f t="shared" si="59"/>
        <v xml:space="preserve"> </v>
      </c>
      <c r="W478" s="9" t="str">
        <f t="shared" si="60"/>
        <v/>
      </c>
      <c r="X478" s="32"/>
      <c r="Y478" s="36"/>
    </row>
    <row r="479" spans="1:25" s="4" customFormat="1" ht="18" customHeight="1">
      <c r="A479" s="36"/>
      <c r="B479" s="69">
        <v>126.03</v>
      </c>
      <c r="C479" s="69" t="s">
        <v>761</v>
      </c>
      <c r="D479" s="31" t="s">
        <v>707</v>
      </c>
      <c r="E479" s="29" t="s">
        <v>34</v>
      </c>
      <c r="F479" s="28">
        <v>3.1</v>
      </c>
      <c r="G479" s="29">
        <v>0.05</v>
      </c>
      <c r="H479" s="29">
        <v>-0.05</v>
      </c>
      <c r="I479" s="30" t="s">
        <v>39</v>
      </c>
      <c r="J479" s="12">
        <f t="shared" si="64"/>
        <v>3.15</v>
      </c>
      <c r="K479" s="12">
        <f t="shared" si="65"/>
        <v>3.0500000000000003</v>
      </c>
      <c r="L479" s="78"/>
      <c r="M479" s="78"/>
      <c r="N479" s="78"/>
      <c r="O479" s="36"/>
      <c r="P479" s="24" t="str">
        <f t="shared" si="63"/>
        <v xml:space="preserve"> </v>
      </c>
      <c r="Q479" s="25" t="str">
        <f t="shared" si="63"/>
        <v xml:space="preserve"> </v>
      </c>
      <c r="R479" s="25" t="str">
        <f t="shared" si="63"/>
        <v xml:space="preserve"> </v>
      </c>
      <c r="S479" s="26" t="str">
        <f t="shared" si="56"/>
        <v xml:space="preserve"> </v>
      </c>
      <c r="T479" s="7" t="str">
        <f t="shared" si="57"/>
        <v xml:space="preserve"> </v>
      </c>
      <c r="U479" s="8" t="str">
        <f t="shared" si="58"/>
        <v xml:space="preserve"> </v>
      </c>
      <c r="V479" s="9" t="str">
        <f t="shared" si="59"/>
        <v xml:space="preserve"> </v>
      </c>
      <c r="W479" s="9" t="str">
        <f t="shared" si="60"/>
        <v/>
      </c>
      <c r="X479" s="32"/>
      <c r="Y479" s="36"/>
    </row>
    <row r="480" spans="1:25" s="4" customFormat="1" ht="18" customHeight="1">
      <c r="A480" s="36"/>
      <c r="B480" s="69">
        <v>126.04</v>
      </c>
      <c r="C480" s="69" t="s">
        <v>762</v>
      </c>
      <c r="D480" s="31" t="s">
        <v>707</v>
      </c>
      <c r="E480" s="29" t="s">
        <v>34</v>
      </c>
      <c r="F480" s="28">
        <v>3.1</v>
      </c>
      <c r="G480" s="29">
        <v>0.05</v>
      </c>
      <c r="H480" s="29">
        <v>-0.05</v>
      </c>
      <c r="I480" s="30" t="s">
        <v>39</v>
      </c>
      <c r="J480" s="12">
        <f t="shared" si="64"/>
        <v>3.15</v>
      </c>
      <c r="K480" s="12">
        <f t="shared" si="65"/>
        <v>3.0500000000000003</v>
      </c>
      <c r="L480" s="78"/>
      <c r="M480" s="78"/>
      <c r="N480" s="78"/>
      <c r="O480" s="36"/>
      <c r="P480" s="24" t="str">
        <f t="shared" si="63"/>
        <v xml:space="preserve"> </v>
      </c>
      <c r="Q480" s="25" t="str">
        <f t="shared" si="63"/>
        <v xml:space="preserve"> </v>
      </c>
      <c r="R480" s="25" t="str">
        <f t="shared" si="63"/>
        <v xml:space="preserve"> </v>
      </c>
      <c r="S480" s="26" t="str">
        <f t="shared" si="56"/>
        <v xml:space="preserve"> </v>
      </c>
      <c r="T480" s="7" t="str">
        <f t="shared" si="57"/>
        <v xml:space="preserve"> </v>
      </c>
      <c r="U480" s="8" t="str">
        <f t="shared" si="58"/>
        <v xml:space="preserve"> </v>
      </c>
      <c r="V480" s="9" t="str">
        <f t="shared" si="59"/>
        <v xml:space="preserve"> </v>
      </c>
      <c r="W480" s="9" t="str">
        <f t="shared" si="60"/>
        <v/>
      </c>
      <c r="X480" s="32"/>
      <c r="Y480" s="36"/>
    </row>
    <row r="481" spans="1:25" s="4" customFormat="1" ht="18" customHeight="1">
      <c r="A481" s="36"/>
      <c r="B481" s="69">
        <v>126.05</v>
      </c>
      <c r="C481" s="69" t="s">
        <v>763</v>
      </c>
      <c r="D481" s="31" t="s">
        <v>707</v>
      </c>
      <c r="E481" s="29" t="s">
        <v>34</v>
      </c>
      <c r="F481" s="28">
        <v>3.1</v>
      </c>
      <c r="G481" s="29">
        <v>0.05</v>
      </c>
      <c r="H481" s="29">
        <v>-0.05</v>
      </c>
      <c r="I481" s="30" t="s">
        <v>39</v>
      </c>
      <c r="J481" s="12">
        <f t="shared" si="64"/>
        <v>3.15</v>
      </c>
      <c r="K481" s="12">
        <f t="shared" si="65"/>
        <v>3.0500000000000003</v>
      </c>
      <c r="L481" s="78"/>
      <c r="M481" s="78"/>
      <c r="N481" s="78"/>
      <c r="O481" s="36"/>
      <c r="P481" s="24" t="str">
        <f t="shared" si="63"/>
        <v xml:space="preserve"> </v>
      </c>
      <c r="Q481" s="25" t="str">
        <f t="shared" si="63"/>
        <v xml:space="preserve"> </v>
      </c>
      <c r="R481" s="25" t="str">
        <f t="shared" si="63"/>
        <v xml:space="preserve"> </v>
      </c>
      <c r="S481" s="26" t="str">
        <f t="shared" si="56"/>
        <v xml:space="preserve"> </v>
      </c>
      <c r="T481" s="7" t="str">
        <f t="shared" si="57"/>
        <v xml:space="preserve"> </v>
      </c>
      <c r="U481" s="8" t="str">
        <f t="shared" si="58"/>
        <v xml:space="preserve"> </v>
      </c>
      <c r="V481" s="9" t="str">
        <f t="shared" si="59"/>
        <v xml:space="preserve"> </v>
      </c>
      <c r="W481" s="9" t="str">
        <f t="shared" si="60"/>
        <v/>
      </c>
      <c r="X481" s="32"/>
      <c r="Y481" s="36"/>
    </row>
    <row r="482" spans="1:25" s="4" customFormat="1" ht="18" customHeight="1">
      <c r="A482" s="36"/>
      <c r="B482" s="69">
        <v>126.06</v>
      </c>
      <c r="C482" s="69" t="s">
        <v>764</v>
      </c>
      <c r="D482" s="31" t="s">
        <v>707</v>
      </c>
      <c r="E482" s="29" t="s">
        <v>34</v>
      </c>
      <c r="F482" s="28">
        <v>3.1</v>
      </c>
      <c r="G482" s="29">
        <v>0.05</v>
      </c>
      <c r="H482" s="29">
        <v>-0.05</v>
      </c>
      <c r="I482" s="30" t="s">
        <v>39</v>
      </c>
      <c r="J482" s="12">
        <f t="shared" si="64"/>
        <v>3.15</v>
      </c>
      <c r="K482" s="12">
        <f t="shared" si="65"/>
        <v>3.0500000000000003</v>
      </c>
      <c r="L482" s="78"/>
      <c r="M482" s="78"/>
      <c r="N482" s="78"/>
      <c r="O482" s="36"/>
      <c r="P482" s="24" t="str">
        <f t="shared" si="63"/>
        <v xml:space="preserve"> </v>
      </c>
      <c r="Q482" s="25" t="str">
        <f t="shared" si="63"/>
        <v xml:space="preserve"> </v>
      </c>
      <c r="R482" s="25" t="str">
        <f t="shared" si="63"/>
        <v xml:space="preserve"> </v>
      </c>
      <c r="S482" s="26" t="str">
        <f t="shared" si="56"/>
        <v xml:space="preserve"> </v>
      </c>
      <c r="T482" s="7" t="str">
        <f t="shared" si="57"/>
        <v xml:space="preserve"> </v>
      </c>
      <c r="U482" s="8" t="str">
        <f t="shared" si="58"/>
        <v xml:space="preserve"> </v>
      </c>
      <c r="V482" s="9" t="str">
        <f t="shared" si="59"/>
        <v xml:space="preserve"> </v>
      </c>
      <c r="W482" s="9" t="str">
        <f t="shared" si="60"/>
        <v/>
      </c>
      <c r="X482" s="32"/>
      <c r="Y482" s="36"/>
    </row>
    <row r="483" spans="1:25" s="4" customFormat="1" ht="18" customHeight="1">
      <c r="A483" s="36"/>
      <c r="B483" s="69">
        <v>126.07</v>
      </c>
      <c r="C483" s="69" t="s">
        <v>765</v>
      </c>
      <c r="D483" s="31" t="s">
        <v>707</v>
      </c>
      <c r="E483" s="29" t="s">
        <v>34</v>
      </c>
      <c r="F483" s="28">
        <v>3.1</v>
      </c>
      <c r="G483" s="29">
        <v>0.05</v>
      </c>
      <c r="H483" s="29">
        <v>-0.05</v>
      </c>
      <c r="I483" s="30" t="s">
        <v>39</v>
      </c>
      <c r="J483" s="12">
        <f t="shared" si="64"/>
        <v>3.15</v>
      </c>
      <c r="K483" s="12">
        <f t="shared" si="65"/>
        <v>3.0500000000000003</v>
      </c>
      <c r="L483" s="78"/>
      <c r="M483" s="78"/>
      <c r="N483" s="78"/>
      <c r="O483" s="36"/>
      <c r="P483" s="24" t="str">
        <f t="shared" si="63"/>
        <v xml:space="preserve"> </v>
      </c>
      <c r="Q483" s="25" t="str">
        <f t="shared" si="63"/>
        <v xml:space="preserve"> </v>
      </c>
      <c r="R483" s="25" t="str">
        <f t="shared" si="63"/>
        <v xml:space="preserve"> </v>
      </c>
      <c r="S483" s="26" t="str">
        <f t="shared" si="56"/>
        <v xml:space="preserve"> </v>
      </c>
      <c r="T483" s="7" t="str">
        <f t="shared" si="57"/>
        <v xml:space="preserve"> </v>
      </c>
      <c r="U483" s="8" t="str">
        <f t="shared" si="58"/>
        <v xml:space="preserve"> </v>
      </c>
      <c r="V483" s="9" t="str">
        <f t="shared" si="59"/>
        <v xml:space="preserve"> </v>
      </c>
      <c r="W483" s="9" t="str">
        <f t="shared" si="60"/>
        <v/>
      </c>
      <c r="X483" s="32"/>
      <c r="Y483" s="36"/>
    </row>
    <row r="484" spans="1:25" s="4" customFormat="1" ht="18" customHeight="1">
      <c r="A484" s="36"/>
      <c r="B484" s="69">
        <v>126.08</v>
      </c>
      <c r="C484" s="69" t="s">
        <v>766</v>
      </c>
      <c r="D484" s="31" t="s">
        <v>707</v>
      </c>
      <c r="E484" s="29" t="s">
        <v>34</v>
      </c>
      <c r="F484" s="28">
        <v>3.1</v>
      </c>
      <c r="G484" s="29">
        <v>0.05</v>
      </c>
      <c r="H484" s="29">
        <v>-0.05</v>
      </c>
      <c r="I484" s="30" t="s">
        <v>39</v>
      </c>
      <c r="J484" s="12">
        <f t="shared" si="64"/>
        <v>3.15</v>
      </c>
      <c r="K484" s="12">
        <f t="shared" si="65"/>
        <v>3.0500000000000003</v>
      </c>
      <c r="L484" s="78"/>
      <c r="M484" s="78"/>
      <c r="N484" s="78"/>
      <c r="O484" s="36"/>
      <c r="P484" s="24" t="str">
        <f t="shared" si="63"/>
        <v xml:space="preserve"> </v>
      </c>
      <c r="Q484" s="25" t="str">
        <f t="shared" si="63"/>
        <v xml:space="preserve"> </v>
      </c>
      <c r="R484" s="25" t="str">
        <f t="shared" si="63"/>
        <v xml:space="preserve"> </v>
      </c>
      <c r="S484" s="26" t="str">
        <f t="shared" si="56"/>
        <v xml:space="preserve"> </v>
      </c>
      <c r="T484" s="7" t="str">
        <f t="shared" si="57"/>
        <v xml:space="preserve"> </v>
      </c>
      <c r="U484" s="8" t="str">
        <f t="shared" si="58"/>
        <v xml:space="preserve"> </v>
      </c>
      <c r="V484" s="9" t="str">
        <f t="shared" si="59"/>
        <v xml:space="preserve"> </v>
      </c>
      <c r="W484" s="9" t="str">
        <f t="shared" si="60"/>
        <v/>
      </c>
      <c r="X484" s="32"/>
      <c r="Y484" s="36"/>
    </row>
    <row r="485" spans="1:25" s="4" customFormat="1" ht="18" customHeight="1">
      <c r="A485" s="36"/>
      <c r="B485" s="69">
        <v>126.09</v>
      </c>
      <c r="C485" s="69" t="s">
        <v>767</v>
      </c>
      <c r="D485" s="31" t="s">
        <v>707</v>
      </c>
      <c r="E485" s="29" t="s">
        <v>34</v>
      </c>
      <c r="F485" s="28">
        <v>3.1</v>
      </c>
      <c r="G485" s="29">
        <v>0.05</v>
      </c>
      <c r="H485" s="29">
        <v>-0.05</v>
      </c>
      <c r="I485" s="30" t="s">
        <v>39</v>
      </c>
      <c r="J485" s="12">
        <f t="shared" si="64"/>
        <v>3.15</v>
      </c>
      <c r="K485" s="12">
        <f t="shared" si="65"/>
        <v>3.0500000000000003</v>
      </c>
      <c r="L485" s="78"/>
      <c r="M485" s="78"/>
      <c r="N485" s="78"/>
      <c r="O485" s="36"/>
      <c r="P485" s="24" t="str">
        <f t="shared" si="63"/>
        <v xml:space="preserve"> </v>
      </c>
      <c r="Q485" s="25" t="str">
        <f t="shared" si="63"/>
        <v xml:space="preserve"> </v>
      </c>
      <c r="R485" s="25" t="str">
        <f t="shared" si="63"/>
        <v xml:space="preserve"> </v>
      </c>
      <c r="S485" s="26" t="str">
        <f t="shared" si="56"/>
        <v xml:space="preserve"> </v>
      </c>
      <c r="T485" s="7" t="str">
        <f t="shared" si="57"/>
        <v xml:space="preserve"> </v>
      </c>
      <c r="U485" s="8" t="str">
        <f t="shared" si="58"/>
        <v xml:space="preserve"> </v>
      </c>
      <c r="V485" s="9" t="str">
        <f t="shared" si="59"/>
        <v xml:space="preserve"> </v>
      </c>
      <c r="W485" s="9" t="str">
        <f t="shared" si="60"/>
        <v/>
      </c>
      <c r="X485" s="32"/>
      <c r="Y485" s="36"/>
    </row>
    <row r="486" spans="1:25" s="4" customFormat="1" ht="18" customHeight="1">
      <c r="A486" s="36"/>
      <c r="B486" s="69" t="s">
        <v>942</v>
      </c>
      <c r="C486" s="69" t="s">
        <v>768</v>
      </c>
      <c r="D486" s="31" t="s">
        <v>707</v>
      </c>
      <c r="E486" s="29" t="s">
        <v>34</v>
      </c>
      <c r="F486" s="28">
        <v>3.1</v>
      </c>
      <c r="G486" s="29">
        <v>0.05</v>
      </c>
      <c r="H486" s="29">
        <v>-0.05</v>
      </c>
      <c r="I486" s="30" t="s">
        <v>39</v>
      </c>
      <c r="J486" s="12">
        <f t="shared" si="64"/>
        <v>3.15</v>
      </c>
      <c r="K486" s="12">
        <f t="shared" si="65"/>
        <v>3.0500000000000003</v>
      </c>
      <c r="L486" s="78"/>
      <c r="M486" s="78"/>
      <c r="N486" s="78"/>
      <c r="O486" s="36"/>
      <c r="P486" s="24" t="str">
        <f t="shared" si="63"/>
        <v xml:space="preserve"> </v>
      </c>
      <c r="Q486" s="25" t="str">
        <f t="shared" si="63"/>
        <v xml:space="preserve"> </v>
      </c>
      <c r="R486" s="25" t="str">
        <f t="shared" si="63"/>
        <v xml:space="preserve"> </v>
      </c>
      <c r="S486" s="26" t="str">
        <f t="shared" si="56"/>
        <v xml:space="preserve"> </v>
      </c>
      <c r="T486" s="7" t="str">
        <f t="shared" si="57"/>
        <v xml:space="preserve"> </v>
      </c>
      <c r="U486" s="8" t="str">
        <f t="shared" si="58"/>
        <v xml:space="preserve"> </v>
      </c>
      <c r="V486" s="9" t="str">
        <f t="shared" si="59"/>
        <v xml:space="preserve"> </v>
      </c>
      <c r="W486" s="9" t="str">
        <f t="shared" si="60"/>
        <v/>
      </c>
      <c r="X486" s="32"/>
      <c r="Y486" s="36"/>
    </row>
    <row r="487" spans="1:25" s="4" customFormat="1" ht="18" customHeight="1">
      <c r="A487" s="36"/>
      <c r="B487" s="69">
        <v>126.11</v>
      </c>
      <c r="C487" s="69" t="s">
        <v>769</v>
      </c>
      <c r="D487" s="31" t="s">
        <v>707</v>
      </c>
      <c r="E487" s="29" t="s">
        <v>34</v>
      </c>
      <c r="F487" s="28">
        <v>3.1</v>
      </c>
      <c r="G487" s="29">
        <v>0.05</v>
      </c>
      <c r="H487" s="29">
        <v>-0.05</v>
      </c>
      <c r="I487" s="30" t="s">
        <v>39</v>
      </c>
      <c r="J487" s="12">
        <f t="shared" si="64"/>
        <v>3.15</v>
      </c>
      <c r="K487" s="12">
        <f t="shared" si="65"/>
        <v>3.0500000000000003</v>
      </c>
      <c r="L487" s="78"/>
      <c r="M487" s="78"/>
      <c r="N487" s="78"/>
      <c r="O487" s="36"/>
      <c r="P487" s="24" t="str">
        <f t="shared" si="63"/>
        <v xml:space="preserve"> </v>
      </c>
      <c r="Q487" s="25" t="str">
        <f t="shared" si="63"/>
        <v xml:space="preserve"> </v>
      </c>
      <c r="R487" s="25" t="str">
        <f t="shared" si="63"/>
        <v xml:space="preserve"> </v>
      </c>
      <c r="S487" s="26" t="str">
        <f t="shared" si="56"/>
        <v xml:space="preserve"> </v>
      </c>
      <c r="T487" s="7" t="str">
        <f t="shared" si="57"/>
        <v xml:space="preserve"> </v>
      </c>
      <c r="U487" s="8" t="str">
        <f t="shared" si="58"/>
        <v xml:space="preserve"> </v>
      </c>
      <c r="V487" s="9" t="str">
        <f t="shared" si="59"/>
        <v xml:space="preserve"> </v>
      </c>
      <c r="W487" s="9" t="str">
        <f t="shared" si="60"/>
        <v/>
      </c>
      <c r="X487" s="32"/>
      <c r="Y487" s="36"/>
    </row>
    <row r="488" spans="1:25" s="4" customFormat="1" ht="18" customHeight="1">
      <c r="A488" s="36"/>
      <c r="B488" s="69">
        <v>126.12</v>
      </c>
      <c r="C488" s="69" t="s">
        <v>770</v>
      </c>
      <c r="D488" s="31" t="s">
        <v>707</v>
      </c>
      <c r="E488" s="29" t="s">
        <v>34</v>
      </c>
      <c r="F488" s="28">
        <v>3.1</v>
      </c>
      <c r="G488" s="29">
        <v>0.05</v>
      </c>
      <c r="H488" s="29">
        <v>-0.05</v>
      </c>
      <c r="I488" s="30" t="s">
        <v>39</v>
      </c>
      <c r="J488" s="12">
        <f t="shared" si="64"/>
        <v>3.15</v>
      </c>
      <c r="K488" s="12">
        <f t="shared" si="65"/>
        <v>3.0500000000000003</v>
      </c>
      <c r="L488" s="78"/>
      <c r="M488" s="78"/>
      <c r="N488" s="78"/>
      <c r="O488" s="36"/>
      <c r="P488" s="24" t="str">
        <f t="shared" si="63"/>
        <v xml:space="preserve"> </v>
      </c>
      <c r="Q488" s="25" t="str">
        <f t="shared" si="63"/>
        <v xml:space="preserve"> </v>
      </c>
      <c r="R488" s="25" t="str">
        <f t="shared" si="63"/>
        <v xml:space="preserve"> </v>
      </c>
      <c r="S488" s="26" t="str">
        <f t="shared" si="56"/>
        <v xml:space="preserve"> </v>
      </c>
      <c r="T488" s="7" t="str">
        <f t="shared" si="57"/>
        <v xml:space="preserve"> </v>
      </c>
      <c r="U488" s="8" t="str">
        <f t="shared" si="58"/>
        <v xml:space="preserve"> </v>
      </c>
      <c r="V488" s="9" t="str">
        <f t="shared" si="59"/>
        <v xml:space="preserve"> </v>
      </c>
      <c r="W488" s="9" t="str">
        <f t="shared" si="60"/>
        <v/>
      </c>
      <c r="X488" s="32"/>
      <c r="Y488" s="36"/>
    </row>
    <row r="489" spans="1:25" s="4" customFormat="1" ht="18" customHeight="1">
      <c r="A489" s="36"/>
      <c r="B489" s="69">
        <v>126.13</v>
      </c>
      <c r="C489" s="69" t="s">
        <v>771</v>
      </c>
      <c r="D489" s="31" t="s">
        <v>707</v>
      </c>
      <c r="E489" s="29" t="s">
        <v>34</v>
      </c>
      <c r="F489" s="28">
        <v>3.1</v>
      </c>
      <c r="G489" s="29">
        <v>0.05</v>
      </c>
      <c r="H489" s="29">
        <v>-0.05</v>
      </c>
      <c r="I489" s="30" t="s">
        <v>39</v>
      </c>
      <c r="J489" s="12">
        <f t="shared" si="64"/>
        <v>3.15</v>
      </c>
      <c r="K489" s="12">
        <f t="shared" si="65"/>
        <v>3.0500000000000003</v>
      </c>
      <c r="L489" s="78"/>
      <c r="M489" s="78"/>
      <c r="N489" s="78"/>
      <c r="O489" s="36"/>
      <c r="P489" s="24" t="str">
        <f t="shared" si="63"/>
        <v xml:space="preserve"> </v>
      </c>
      <c r="Q489" s="25" t="str">
        <f t="shared" si="63"/>
        <v xml:space="preserve"> </v>
      </c>
      <c r="R489" s="25" t="str">
        <f t="shared" si="63"/>
        <v xml:space="preserve"> </v>
      </c>
      <c r="S489" s="26" t="str">
        <f t="shared" si="56"/>
        <v xml:space="preserve"> </v>
      </c>
      <c r="T489" s="7" t="str">
        <f t="shared" si="57"/>
        <v xml:space="preserve"> </v>
      </c>
      <c r="U489" s="8" t="str">
        <f t="shared" si="58"/>
        <v xml:space="preserve"> </v>
      </c>
      <c r="V489" s="9" t="str">
        <f t="shared" si="59"/>
        <v xml:space="preserve"> </v>
      </c>
      <c r="W489" s="9" t="str">
        <f t="shared" si="60"/>
        <v/>
      </c>
      <c r="X489" s="32"/>
      <c r="Y489" s="36"/>
    </row>
    <row r="490" spans="1:25" s="4" customFormat="1" ht="18" customHeight="1">
      <c r="A490" s="36"/>
      <c r="B490" s="69">
        <v>126.14</v>
      </c>
      <c r="C490" s="69" t="s">
        <v>772</v>
      </c>
      <c r="D490" s="31" t="s">
        <v>707</v>
      </c>
      <c r="E490" s="29" t="s">
        <v>34</v>
      </c>
      <c r="F490" s="28">
        <v>3.1</v>
      </c>
      <c r="G490" s="29">
        <v>0.05</v>
      </c>
      <c r="H490" s="29">
        <v>-0.05</v>
      </c>
      <c r="I490" s="30" t="s">
        <v>39</v>
      </c>
      <c r="J490" s="12">
        <f t="shared" si="64"/>
        <v>3.15</v>
      </c>
      <c r="K490" s="12">
        <f t="shared" si="65"/>
        <v>3.0500000000000003</v>
      </c>
      <c r="L490" s="78"/>
      <c r="M490" s="78"/>
      <c r="N490" s="78"/>
      <c r="O490" s="36"/>
      <c r="P490" s="24" t="str">
        <f t="shared" si="63"/>
        <v xml:space="preserve"> </v>
      </c>
      <c r="Q490" s="25" t="str">
        <f t="shared" si="63"/>
        <v xml:space="preserve"> </v>
      </c>
      <c r="R490" s="25" t="str">
        <f t="shared" si="63"/>
        <v xml:space="preserve"> </v>
      </c>
      <c r="S490" s="26" t="str">
        <f t="shared" si="56"/>
        <v xml:space="preserve"> </v>
      </c>
      <c r="T490" s="7" t="str">
        <f t="shared" si="57"/>
        <v xml:space="preserve"> </v>
      </c>
      <c r="U490" s="8" t="str">
        <f t="shared" si="58"/>
        <v xml:space="preserve"> </v>
      </c>
      <c r="V490" s="9" t="str">
        <f t="shared" si="59"/>
        <v xml:space="preserve"> </v>
      </c>
      <c r="W490" s="9" t="str">
        <f t="shared" si="60"/>
        <v/>
      </c>
      <c r="X490" s="32"/>
      <c r="Y490" s="36"/>
    </row>
    <row r="491" spans="1:25" s="4" customFormat="1" ht="18" customHeight="1">
      <c r="A491" s="36"/>
      <c r="B491" s="69">
        <v>126.15</v>
      </c>
      <c r="C491" s="69" t="s">
        <v>773</v>
      </c>
      <c r="D491" s="31" t="s">
        <v>707</v>
      </c>
      <c r="E491" s="29" t="s">
        <v>34</v>
      </c>
      <c r="F491" s="28">
        <v>3.1</v>
      </c>
      <c r="G491" s="29">
        <v>0.05</v>
      </c>
      <c r="H491" s="29">
        <v>-0.05</v>
      </c>
      <c r="I491" s="30" t="s">
        <v>39</v>
      </c>
      <c r="J491" s="12">
        <f t="shared" si="64"/>
        <v>3.15</v>
      </c>
      <c r="K491" s="12">
        <f t="shared" si="65"/>
        <v>3.0500000000000003</v>
      </c>
      <c r="L491" s="78"/>
      <c r="M491" s="78"/>
      <c r="N491" s="78"/>
      <c r="O491" s="36"/>
      <c r="P491" s="24" t="str">
        <f t="shared" si="63"/>
        <v xml:space="preserve"> </v>
      </c>
      <c r="Q491" s="25" t="str">
        <f t="shared" si="63"/>
        <v xml:space="preserve"> </v>
      </c>
      <c r="R491" s="25" t="str">
        <f t="shared" si="63"/>
        <v xml:space="preserve"> </v>
      </c>
      <c r="S491" s="26" t="str">
        <f t="shared" si="56"/>
        <v xml:space="preserve"> </v>
      </c>
      <c r="T491" s="7" t="str">
        <f t="shared" si="57"/>
        <v xml:space="preserve"> </v>
      </c>
      <c r="U491" s="8" t="str">
        <f t="shared" si="58"/>
        <v xml:space="preserve"> </v>
      </c>
      <c r="V491" s="9" t="str">
        <f t="shared" si="59"/>
        <v xml:space="preserve"> </v>
      </c>
      <c r="W491" s="9" t="str">
        <f t="shared" si="60"/>
        <v/>
      </c>
      <c r="X491" s="32"/>
      <c r="Y491" s="36"/>
    </row>
    <row r="492" spans="1:25" s="4" customFormat="1" ht="18" customHeight="1">
      <c r="A492" s="36"/>
      <c r="B492" s="69">
        <v>127.01</v>
      </c>
      <c r="C492" s="69" t="s">
        <v>779</v>
      </c>
      <c r="D492" s="31" t="s">
        <v>794</v>
      </c>
      <c r="E492" s="29" t="s">
        <v>34</v>
      </c>
      <c r="F492" s="28">
        <v>1.6</v>
      </c>
      <c r="G492" s="29">
        <v>0.05</v>
      </c>
      <c r="H492" s="29">
        <v>-0.05</v>
      </c>
      <c r="I492" s="30" t="s">
        <v>39</v>
      </c>
      <c r="J492" s="12">
        <f t="shared" si="64"/>
        <v>1.6500000000000001</v>
      </c>
      <c r="K492" s="12">
        <f t="shared" si="65"/>
        <v>1.55</v>
      </c>
      <c r="L492" s="78"/>
      <c r="M492" s="78"/>
      <c r="N492" s="78"/>
      <c r="O492" s="36"/>
      <c r="P492" s="24" t="str">
        <f t="shared" si="63"/>
        <v xml:space="preserve"> </v>
      </c>
      <c r="Q492" s="25" t="str">
        <f t="shared" si="63"/>
        <v xml:space="preserve"> </v>
      </c>
      <c r="R492" s="25" t="str">
        <f t="shared" si="63"/>
        <v xml:space="preserve"> </v>
      </c>
      <c r="S492" s="26" t="str">
        <f t="shared" si="56"/>
        <v xml:space="preserve"> </v>
      </c>
      <c r="T492" s="7" t="str">
        <f t="shared" si="57"/>
        <v xml:space="preserve"> </v>
      </c>
      <c r="U492" s="8" t="str">
        <f t="shared" si="58"/>
        <v xml:space="preserve"> </v>
      </c>
      <c r="V492" s="9" t="str">
        <f t="shared" si="59"/>
        <v xml:space="preserve"> </v>
      </c>
      <c r="W492" s="9" t="str">
        <f t="shared" si="60"/>
        <v/>
      </c>
      <c r="X492" s="32"/>
      <c r="Y492" s="36"/>
    </row>
    <row r="493" spans="1:25" s="4" customFormat="1" ht="18" customHeight="1">
      <c r="A493" s="36"/>
      <c r="B493" s="69">
        <v>127.02</v>
      </c>
      <c r="C493" s="69" t="s">
        <v>780</v>
      </c>
      <c r="D493" s="31" t="s">
        <v>794</v>
      </c>
      <c r="E493" s="29" t="s">
        <v>34</v>
      </c>
      <c r="F493" s="28">
        <v>1.6</v>
      </c>
      <c r="G493" s="29">
        <v>0.05</v>
      </c>
      <c r="H493" s="29">
        <v>-0.05</v>
      </c>
      <c r="I493" s="30" t="s">
        <v>39</v>
      </c>
      <c r="J493" s="12">
        <f t="shared" si="64"/>
        <v>1.6500000000000001</v>
      </c>
      <c r="K493" s="12">
        <f t="shared" si="65"/>
        <v>1.55</v>
      </c>
      <c r="L493" s="78"/>
      <c r="M493" s="78"/>
      <c r="N493" s="78"/>
      <c r="O493" s="36"/>
      <c r="P493" s="24" t="str">
        <f t="shared" si="63"/>
        <v xml:space="preserve"> </v>
      </c>
      <c r="Q493" s="25" t="str">
        <f t="shared" si="63"/>
        <v xml:space="preserve"> </v>
      </c>
      <c r="R493" s="25" t="str">
        <f t="shared" si="63"/>
        <v xml:space="preserve"> </v>
      </c>
      <c r="S493" s="26" t="str">
        <f t="shared" si="56"/>
        <v xml:space="preserve"> </v>
      </c>
      <c r="T493" s="7" t="str">
        <f t="shared" si="57"/>
        <v xml:space="preserve"> </v>
      </c>
      <c r="U493" s="8" t="str">
        <f t="shared" si="58"/>
        <v xml:space="preserve"> </v>
      </c>
      <c r="V493" s="9" t="str">
        <f t="shared" si="59"/>
        <v xml:space="preserve"> </v>
      </c>
      <c r="W493" s="9" t="str">
        <f t="shared" si="60"/>
        <v/>
      </c>
      <c r="X493" s="32"/>
      <c r="Y493" s="36"/>
    </row>
    <row r="494" spans="1:25" s="4" customFormat="1" ht="18" customHeight="1">
      <c r="A494" s="36"/>
      <c r="B494" s="69">
        <v>127.03</v>
      </c>
      <c r="C494" s="69" t="s">
        <v>781</v>
      </c>
      <c r="D494" s="31" t="s">
        <v>794</v>
      </c>
      <c r="E494" s="29" t="s">
        <v>34</v>
      </c>
      <c r="F494" s="28">
        <v>1.6</v>
      </c>
      <c r="G494" s="29">
        <v>0.05</v>
      </c>
      <c r="H494" s="29">
        <v>-0.05</v>
      </c>
      <c r="I494" s="30" t="s">
        <v>39</v>
      </c>
      <c r="J494" s="12">
        <f t="shared" si="64"/>
        <v>1.6500000000000001</v>
      </c>
      <c r="K494" s="12">
        <f t="shared" si="65"/>
        <v>1.55</v>
      </c>
      <c r="L494" s="78"/>
      <c r="M494" s="78"/>
      <c r="N494" s="78"/>
      <c r="O494" s="36"/>
      <c r="P494" s="24" t="str">
        <f t="shared" si="63"/>
        <v xml:space="preserve"> </v>
      </c>
      <c r="Q494" s="25" t="str">
        <f t="shared" si="63"/>
        <v xml:space="preserve"> </v>
      </c>
      <c r="R494" s="25" t="str">
        <f t="shared" si="63"/>
        <v xml:space="preserve"> </v>
      </c>
      <c r="S494" s="26" t="str">
        <f t="shared" si="56"/>
        <v xml:space="preserve"> </v>
      </c>
      <c r="T494" s="7" t="str">
        <f t="shared" si="57"/>
        <v xml:space="preserve"> </v>
      </c>
      <c r="U494" s="8" t="str">
        <f t="shared" si="58"/>
        <v xml:space="preserve"> </v>
      </c>
      <c r="V494" s="9" t="str">
        <f t="shared" si="59"/>
        <v xml:space="preserve"> </v>
      </c>
      <c r="W494" s="9" t="str">
        <f t="shared" si="60"/>
        <v/>
      </c>
      <c r="X494" s="32"/>
      <c r="Y494" s="36"/>
    </row>
    <row r="495" spans="1:25" s="4" customFormat="1" ht="18" customHeight="1">
      <c r="A495" s="36"/>
      <c r="B495" s="69">
        <v>127.04</v>
      </c>
      <c r="C495" s="69" t="s">
        <v>782</v>
      </c>
      <c r="D495" s="31" t="s">
        <v>794</v>
      </c>
      <c r="E495" s="29" t="s">
        <v>34</v>
      </c>
      <c r="F495" s="28">
        <v>1.6</v>
      </c>
      <c r="G495" s="29">
        <v>0.05</v>
      </c>
      <c r="H495" s="29">
        <v>-0.05</v>
      </c>
      <c r="I495" s="30" t="s">
        <v>39</v>
      </c>
      <c r="J495" s="12">
        <f t="shared" si="64"/>
        <v>1.6500000000000001</v>
      </c>
      <c r="K495" s="12">
        <f t="shared" si="65"/>
        <v>1.55</v>
      </c>
      <c r="L495" s="78"/>
      <c r="M495" s="78"/>
      <c r="N495" s="78"/>
      <c r="O495" s="36"/>
      <c r="P495" s="24" t="str">
        <f t="shared" si="63"/>
        <v xml:space="preserve"> </v>
      </c>
      <c r="Q495" s="25" t="str">
        <f t="shared" si="63"/>
        <v xml:space="preserve"> </v>
      </c>
      <c r="R495" s="25" t="str">
        <f t="shared" si="63"/>
        <v xml:space="preserve"> </v>
      </c>
      <c r="S495" s="26" t="str">
        <f t="shared" si="56"/>
        <v xml:space="preserve"> </v>
      </c>
      <c r="T495" s="7" t="str">
        <f t="shared" si="57"/>
        <v xml:space="preserve"> </v>
      </c>
      <c r="U495" s="8" t="str">
        <f t="shared" si="58"/>
        <v xml:space="preserve"> </v>
      </c>
      <c r="V495" s="9" t="str">
        <f t="shared" si="59"/>
        <v xml:space="preserve"> </v>
      </c>
      <c r="W495" s="9" t="str">
        <f t="shared" si="60"/>
        <v/>
      </c>
      <c r="X495" s="32"/>
      <c r="Y495" s="36"/>
    </row>
    <row r="496" spans="1:25" s="4" customFormat="1" ht="18" customHeight="1">
      <c r="A496" s="36"/>
      <c r="B496" s="69">
        <v>127.05</v>
      </c>
      <c r="C496" s="69" t="s">
        <v>783</v>
      </c>
      <c r="D496" s="31" t="s">
        <v>794</v>
      </c>
      <c r="E496" s="29" t="s">
        <v>34</v>
      </c>
      <c r="F496" s="28">
        <v>1.6</v>
      </c>
      <c r="G496" s="29">
        <v>0.05</v>
      </c>
      <c r="H496" s="29">
        <v>-0.05</v>
      </c>
      <c r="I496" s="30" t="s">
        <v>39</v>
      </c>
      <c r="J496" s="12">
        <f t="shared" si="64"/>
        <v>1.6500000000000001</v>
      </c>
      <c r="K496" s="12">
        <f t="shared" si="65"/>
        <v>1.55</v>
      </c>
      <c r="L496" s="78"/>
      <c r="M496" s="78"/>
      <c r="N496" s="78"/>
      <c r="O496" s="36"/>
      <c r="P496" s="24" t="str">
        <f t="shared" si="63"/>
        <v xml:space="preserve"> </v>
      </c>
      <c r="Q496" s="25" t="str">
        <f t="shared" si="63"/>
        <v xml:space="preserve"> </v>
      </c>
      <c r="R496" s="25" t="str">
        <f t="shared" si="63"/>
        <v xml:space="preserve"> </v>
      </c>
      <c r="S496" s="26" t="str">
        <f t="shared" si="56"/>
        <v xml:space="preserve"> </v>
      </c>
      <c r="T496" s="7" t="str">
        <f t="shared" si="57"/>
        <v xml:space="preserve"> </v>
      </c>
      <c r="U496" s="8" t="str">
        <f t="shared" si="58"/>
        <v xml:space="preserve"> </v>
      </c>
      <c r="V496" s="9" t="str">
        <f t="shared" si="59"/>
        <v xml:space="preserve"> </v>
      </c>
      <c r="W496" s="9" t="str">
        <f t="shared" si="60"/>
        <v/>
      </c>
      <c r="X496" s="32"/>
      <c r="Y496" s="36"/>
    </row>
    <row r="497" spans="1:25" s="4" customFormat="1" ht="18" customHeight="1">
      <c r="A497" s="36"/>
      <c r="B497" s="69">
        <v>127.06</v>
      </c>
      <c r="C497" s="69" t="s">
        <v>784</v>
      </c>
      <c r="D497" s="31" t="s">
        <v>794</v>
      </c>
      <c r="E497" s="29" t="s">
        <v>34</v>
      </c>
      <c r="F497" s="28">
        <v>1.6</v>
      </c>
      <c r="G497" s="29">
        <v>0.05</v>
      </c>
      <c r="H497" s="29">
        <v>-0.05</v>
      </c>
      <c r="I497" s="30" t="s">
        <v>39</v>
      </c>
      <c r="J497" s="12">
        <f t="shared" si="64"/>
        <v>1.6500000000000001</v>
      </c>
      <c r="K497" s="12">
        <f t="shared" si="65"/>
        <v>1.55</v>
      </c>
      <c r="L497" s="78"/>
      <c r="M497" s="78"/>
      <c r="N497" s="78"/>
      <c r="O497" s="36"/>
      <c r="P497" s="24" t="str">
        <f t="shared" si="63"/>
        <v xml:space="preserve"> </v>
      </c>
      <c r="Q497" s="25" t="str">
        <f t="shared" si="63"/>
        <v xml:space="preserve"> </v>
      </c>
      <c r="R497" s="25" t="str">
        <f t="shared" si="63"/>
        <v xml:space="preserve"> </v>
      </c>
      <c r="S497" s="26" t="str">
        <f t="shared" si="56"/>
        <v xml:space="preserve"> </v>
      </c>
      <c r="T497" s="7" t="str">
        <f t="shared" si="57"/>
        <v xml:space="preserve"> </v>
      </c>
      <c r="U497" s="8" t="str">
        <f t="shared" si="58"/>
        <v xml:space="preserve"> </v>
      </c>
      <c r="V497" s="9" t="str">
        <f t="shared" si="59"/>
        <v xml:space="preserve"> </v>
      </c>
      <c r="W497" s="9" t="str">
        <f t="shared" si="60"/>
        <v/>
      </c>
      <c r="X497" s="32"/>
      <c r="Y497" s="36"/>
    </row>
    <row r="498" spans="1:25" s="4" customFormat="1" ht="18" customHeight="1">
      <c r="A498" s="36"/>
      <c r="B498" s="69">
        <v>127.07</v>
      </c>
      <c r="C498" s="69" t="s">
        <v>785</v>
      </c>
      <c r="D498" s="31" t="s">
        <v>794</v>
      </c>
      <c r="E498" s="29" t="s">
        <v>34</v>
      </c>
      <c r="F498" s="28">
        <v>1.6</v>
      </c>
      <c r="G498" s="29">
        <v>0.05</v>
      </c>
      <c r="H498" s="29">
        <v>-0.05</v>
      </c>
      <c r="I498" s="30" t="s">
        <v>39</v>
      </c>
      <c r="J498" s="12">
        <f t="shared" si="64"/>
        <v>1.6500000000000001</v>
      </c>
      <c r="K498" s="12">
        <f t="shared" si="65"/>
        <v>1.55</v>
      </c>
      <c r="L498" s="78"/>
      <c r="M498" s="78"/>
      <c r="N498" s="78"/>
      <c r="O498" s="36"/>
      <c r="P498" s="24" t="str">
        <f t="shared" si="63"/>
        <v xml:space="preserve"> </v>
      </c>
      <c r="Q498" s="25" t="str">
        <f t="shared" si="63"/>
        <v xml:space="preserve"> </v>
      </c>
      <c r="R498" s="25" t="str">
        <f t="shared" si="63"/>
        <v xml:space="preserve"> </v>
      </c>
      <c r="S498" s="26" t="str">
        <f t="shared" si="56"/>
        <v xml:space="preserve"> </v>
      </c>
      <c r="T498" s="7" t="str">
        <f t="shared" si="57"/>
        <v xml:space="preserve"> </v>
      </c>
      <c r="U498" s="8" t="str">
        <f t="shared" si="58"/>
        <v xml:space="preserve"> </v>
      </c>
      <c r="V498" s="9" t="str">
        <f t="shared" si="59"/>
        <v xml:space="preserve"> </v>
      </c>
      <c r="W498" s="9" t="str">
        <f t="shared" si="60"/>
        <v/>
      </c>
      <c r="X498" s="32"/>
      <c r="Y498" s="36"/>
    </row>
    <row r="499" spans="1:25" s="4" customFormat="1" ht="18" customHeight="1">
      <c r="A499" s="36"/>
      <c r="B499" s="69">
        <v>127.08</v>
      </c>
      <c r="C499" s="69" t="s">
        <v>786</v>
      </c>
      <c r="D499" s="31" t="s">
        <v>794</v>
      </c>
      <c r="E499" s="29" t="s">
        <v>34</v>
      </c>
      <c r="F499" s="28">
        <v>1.6</v>
      </c>
      <c r="G499" s="29">
        <v>0.05</v>
      </c>
      <c r="H499" s="29">
        <v>-0.05</v>
      </c>
      <c r="I499" s="30" t="s">
        <v>39</v>
      </c>
      <c r="J499" s="12">
        <f t="shared" si="64"/>
        <v>1.6500000000000001</v>
      </c>
      <c r="K499" s="12">
        <f t="shared" si="65"/>
        <v>1.55</v>
      </c>
      <c r="L499" s="78"/>
      <c r="M499" s="78"/>
      <c r="N499" s="78"/>
      <c r="O499" s="36"/>
      <c r="P499" s="24" t="str">
        <f t="shared" si="63"/>
        <v xml:space="preserve"> </v>
      </c>
      <c r="Q499" s="25" t="str">
        <f t="shared" si="63"/>
        <v xml:space="preserve"> </v>
      </c>
      <c r="R499" s="25" t="str">
        <f t="shared" si="63"/>
        <v xml:space="preserve"> </v>
      </c>
      <c r="S499" s="26" t="str">
        <f t="shared" si="56"/>
        <v xml:space="preserve"> </v>
      </c>
      <c r="T499" s="7" t="str">
        <f t="shared" si="57"/>
        <v xml:space="preserve"> </v>
      </c>
      <c r="U499" s="8" t="str">
        <f t="shared" si="58"/>
        <v xml:space="preserve"> </v>
      </c>
      <c r="V499" s="9" t="str">
        <f t="shared" si="59"/>
        <v xml:space="preserve"> </v>
      </c>
      <c r="W499" s="9" t="str">
        <f t="shared" si="60"/>
        <v/>
      </c>
      <c r="X499" s="32"/>
      <c r="Y499" s="36"/>
    </row>
    <row r="500" spans="1:25" s="4" customFormat="1" ht="18" customHeight="1">
      <c r="A500" s="36"/>
      <c r="B500" s="69">
        <v>127.09</v>
      </c>
      <c r="C500" s="69" t="s">
        <v>787</v>
      </c>
      <c r="D500" s="31" t="s">
        <v>794</v>
      </c>
      <c r="E500" s="29" t="s">
        <v>34</v>
      </c>
      <c r="F500" s="28">
        <v>1.6</v>
      </c>
      <c r="G500" s="29">
        <v>0.05</v>
      </c>
      <c r="H500" s="29">
        <v>-0.05</v>
      </c>
      <c r="I500" s="30" t="s">
        <v>39</v>
      </c>
      <c r="J500" s="12">
        <f t="shared" si="64"/>
        <v>1.6500000000000001</v>
      </c>
      <c r="K500" s="12">
        <f t="shared" si="65"/>
        <v>1.55</v>
      </c>
      <c r="L500" s="78"/>
      <c r="M500" s="78"/>
      <c r="N500" s="78"/>
      <c r="O500" s="36"/>
      <c r="P500" s="24" t="str">
        <f t="shared" si="63"/>
        <v xml:space="preserve"> </v>
      </c>
      <c r="Q500" s="25" t="str">
        <f t="shared" si="63"/>
        <v xml:space="preserve"> </v>
      </c>
      <c r="R500" s="25" t="str">
        <f t="shared" si="63"/>
        <v xml:space="preserve"> </v>
      </c>
      <c r="S500" s="26" t="str">
        <f t="shared" si="56"/>
        <v xml:space="preserve"> </v>
      </c>
      <c r="T500" s="7" t="str">
        <f t="shared" si="57"/>
        <v xml:space="preserve"> </v>
      </c>
      <c r="U500" s="8" t="str">
        <f t="shared" si="58"/>
        <v xml:space="preserve"> </v>
      </c>
      <c r="V500" s="9" t="str">
        <f t="shared" si="59"/>
        <v xml:space="preserve"> </v>
      </c>
      <c r="W500" s="9" t="str">
        <f t="shared" si="60"/>
        <v/>
      </c>
      <c r="X500" s="32"/>
      <c r="Y500" s="36"/>
    </row>
    <row r="501" spans="1:25" s="4" customFormat="1" ht="18" customHeight="1">
      <c r="A501" s="36"/>
      <c r="B501" s="69" t="s">
        <v>943</v>
      </c>
      <c r="C501" s="69" t="s">
        <v>788</v>
      </c>
      <c r="D501" s="31" t="s">
        <v>794</v>
      </c>
      <c r="E501" s="29" t="s">
        <v>34</v>
      </c>
      <c r="F501" s="28">
        <v>1.6</v>
      </c>
      <c r="G501" s="29">
        <v>0.05</v>
      </c>
      <c r="H501" s="29">
        <v>-0.05</v>
      </c>
      <c r="I501" s="30" t="s">
        <v>39</v>
      </c>
      <c r="J501" s="12">
        <f t="shared" si="64"/>
        <v>1.6500000000000001</v>
      </c>
      <c r="K501" s="12">
        <f t="shared" si="65"/>
        <v>1.55</v>
      </c>
      <c r="L501" s="78"/>
      <c r="M501" s="78"/>
      <c r="N501" s="78"/>
      <c r="O501" s="36"/>
      <c r="P501" s="24" t="str">
        <f t="shared" si="63"/>
        <v xml:space="preserve"> </v>
      </c>
      <c r="Q501" s="25" t="str">
        <f t="shared" si="63"/>
        <v xml:space="preserve"> </v>
      </c>
      <c r="R501" s="25" t="str">
        <f t="shared" si="63"/>
        <v xml:space="preserve"> </v>
      </c>
      <c r="S501" s="26" t="str">
        <f t="shared" si="56"/>
        <v xml:space="preserve"> </v>
      </c>
      <c r="T501" s="7" t="str">
        <f t="shared" si="57"/>
        <v xml:space="preserve"> </v>
      </c>
      <c r="U501" s="8" t="str">
        <f t="shared" si="58"/>
        <v xml:space="preserve"> </v>
      </c>
      <c r="V501" s="9" t="str">
        <f t="shared" si="59"/>
        <v xml:space="preserve"> </v>
      </c>
      <c r="W501" s="9" t="str">
        <f t="shared" si="60"/>
        <v/>
      </c>
      <c r="X501" s="32"/>
      <c r="Y501" s="36"/>
    </row>
    <row r="502" spans="1:25" s="4" customFormat="1" ht="18" customHeight="1">
      <c r="A502" s="36"/>
      <c r="B502" s="69">
        <v>127.11</v>
      </c>
      <c r="C502" s="69" t="s">
        <v>789</v>
      </c>
      <c r="D502" s="31" t="s">
        <v>794</v>
      </c>
      <c r="E502" s="29" t="s">
        <v>34</v>
      </c>
      <c r="F502" s="28">
        <v>1.6</v>
      </c>
      <c r="G502" s="29">
        <v>0.05</v>
      </c>
      <c r="H502" s="29">
        <v>-0.05</v>
      </c>
      <c r="I502" s="30" t="s">
        <v>39</v>
      </c>
      <c r="J502" s="12">
        <f t="shared" si="64"/>
        <v>1.6500000000000001</v>
      </c>
      <c r="K502" s="12">
        <f t="shared" si="65"/>
        <v>1.55</v>
      </c>
      <c r="L502" s="78"/>
      <c r="M502" s="78"/>
      <c r="N502" s="78"/>
      <c r="O502" s="36"/>
      <c r="P502" s="24" t="str">
        <f t="shared" si="63"/>
        <v xml:space="preserve"> </v>
      </c>
      <c r="Q502" s="25" t="str">
        <f t="shared" si="63"/>
        <v xml:space="preserve"> </v>
      </c>
      <c r="R502" s="25" t="str">
        <f t="shared" si="63"/>
        <v xml:space="preserve"> </v>
      </c>
      <c r="S502" s="26" t="str">
        <f t="shared" si="56"/>
        <v xml:space="preserve"> </v>
      </c>
      <c r="T502" s="7" t="str">
        <f t="shared" si="57"/>
        <v xml:space="preserve"> </v>
      </c>
      <c r="U502" s="8" t="str">
        <f t="shared" si="58"/>
        <v xml:space="preserve"> </v>
      </c>
      <c r="V502" s="9" t="str">
        <f t="shared" si="59"/>
        <v xml:space="preserve"> </v>
      </c>
      <c r="W502" s="9" t="str">
        <f t="shared" si="60"/>
        <v/>
      </c>
      <c r="X502" s="32"/>
      <c r="Y502" s="36"/>
    </row>
    <row r="503" spans="1:25" s="4" customFormat="1" ht="18" customHeight="1">
      <c r="A503" s="36"/>
      <c r="B503" s="69">
        <v>127.12</v>
      </c>
      <c r="C503" s="69" t="s">
        <v>790</v>
      </c>
      <c r="D503" s="31" t="s">
        <v>794</v>
      </c>
      <c r="E503" s="29" t="s">
        <v>34</v>
      </c>
      <c r="F503" s="28">
        <v>1.6</v>
      </c>
      <c r="G503" s="29">
        <v>0.05</v>
      </c>
      <c r="H503" s="29">
        <v>-0.05</v>
      </c>
      <c r="I503" s="30" t="s">
        <v>39</v>
      </c>
      <c r="J503" s="12">
        <f t="shared" si="64"/>
        <v>1.6500000000000001</v>
      </c>
      <c r="K503" s="12">
        <f t="shared" si="65"/>
        <v>1.55</v>
      </c>
      <c r="L503" s="78"/>
      <c r="M503" s="78"/>
      <c r="N503" s="78"/>
      <c r="O503" s="36"/>
      <c r="P503" s="24" t="str">
        <f t="shared" si="63"/>
        <v xml:space="preserve"> </v>
      </c>
      <c r="Q503" s="25" t="str">
        <f t="shared" si="63"/>
        <v xml:space="preserve"> </v>
      </c>
      <c r="R503" s="25" t="str">
        <f t="shared" si="63"/>
        <v xml:space="preserve"> </v>
      </c>
      <c r="S503" s="26" t="str">
        <f t="shared" si="56"/>
        <v xml:space="preserve"> </v>
      </c>
      <c r="T503" s="7" t="str">
        <f t="shared" si="57"/>
        <v xml:space="preserve"> </v>
      </c>
      <c r="U503" s="8" t="str">
        <f t="shared" si="58"/>
        <v xml:space="preserve"> </v>
      </c>
      <c r="V503" s="9" t="str">
        <f t="shared" si="59"/>
        <v xml:space="preserve"> </v>
      </c>
      <c r="W503" s="9" t="str">
        <f t="shared" si="60"/>
        <v/>
      </c>
      <c r="X503" s="32"/>
      <c r="Y503" s="36"/>
    </row>
    <row r="504" spans="1:25" s="4" customFormat="1" ht="18" customHeight="1">
      <c r="A504" s="36"/>
      <c r="B504" s="69">
        <v>127.13</v>
      </c>
      <c r="C504" s="69" t="s">
        <v>791</v>
      </c>
      <c r="D504" s="31" t="s">
        <v>794</v>
      </c>
      <c r="E504" s="29" t="s">
        <v>34</v>
      </c>
      <c r="F504" s="28">
        <v>1.6</v>
      </c>
      <c r="G504" s="29">
        <v>0.05</v>
      </c>
      <c r="H504" s="29">
        <v>-0.05</v>
      </c>
      <c r="I504" s="30" t="s">
        <v>39</v>
      </c>
      <c r="J504" s="12">
        <f t="shared" si="64"/>
        <v>1.6500000000000001</v>
      </c>
      <c r="K504" s="12">
        <f t="shared" si="65"/>
        <v>1.55</v>
      </c>
      <c r="L504" s="78"/>
      <c r="M504" s="78"/>
      <c r="N504" s="78"/>
      <c r="O504" s="36"/>
      <c r="P504" s="24" t="str">
        <f t="shared" si="63"/>
        <v xml:space="preserve"> </v>
      </c>
      <c r="Q504" s="25" t="str">
        <f t="shared" si="63"/>
        <v xml:space="preserve"> </v>
      </c>
      <c r="R504" s="25" t="str">
        <f t="shared" si="63"/>
        <v xml:space="preserve"> </v>
      </c>
      <c r="S504" s="26" t="str">
        <f t="shared" si="56"/>
        <v xml:space="preserve"> </v>
      </c>
      <c r="T504" s="7" t="str">
        <f t="shared" si="57"/>
        <v xml:space="preserve"> </v>
      </c>
      <c r="U504" s="8" t="str">
        <f t="shared" si="58"/>
        <v xml:space="preserve"> </v>
      </c>
      <c r="V504" s="9" t="str">
        <f t="shared" si="59"/>
        <v xml:space="preserve"> </v>
      </c>
      <c r="W504" s="9" t="str">
        <f t="shared" si="60"/>
        <v/>
      </c>
      <c r="X504" s="32"/>
      <c r="Y504" s="36"/>
    </row>
    <row r="505" spans="1:25" s="4" customFormat="1" ht="18" customHeight="1">
      <c r="A505" s="36"/>
      <c r="B505" s="69">
        <v>127.14</v>
      </c>
      <c r="C505" s="69" t="s">
        <v>792</v>
      </c>
      <c r="D505" s="31" t="s">
        <v>794</v>
      </c>
      <c r="E505" s="29" t="s">
        <v>34</v>
      </c>
      <c r="F505" s="28">
        <v>1.6</v>
      </c>
      <c r="G505" s="29">
        <v>0.05</v>
      </c>
      <c r="H505" s="29">
        <v>-0.05</v>
      </c>
      <c r="I505" s="30" t="s">
        <v>39</v>
      </c>
      <c r="J505" s="12">
        <f t="shared" si="64"/>
        <v>1.6500000000000001</v>
      </c>
      <c r="K505" s="12">
        <f t="shared" si="65"/>
        <v>1.55</v>
      </c>
      <c r="L505" s="78"/>
      <c r="M505" s="78"/>
      <c r="N505" s="78"/>
      <c r="O505" s="36"/>
      <c r="P505" s="24" t="str">
        <f t="shared" si="63"/>
        <v xml:space="preserve"> </v>
      </c>
      <c r="Q505" s="25" t="str">
        <f t="shared" si="63"/>
        <v xml:space="preserve"> </v>
      </c>
      <c r="R505" s="25" t="str">
        <f t="shared" si="63"/>
        <v xml:space="preserve"> </v>
      </c>
      <c r="S505" s="26" t="str">
        <f t="shared" si="56"/>
        <v xml:space="preserve"> </v>
      </c>
      <c r="T505" s="7" t="str">
        <f t="shared" si="57"/>
        <v xml:space="preserve"> </v>
      </c>
      <c r="U505" s="8" t="str">
        <f t="shared" si="58"/>
        <v xml:space="preserve"> </v>
      </c>
      <c r="V505" s="9" t="str">
        <f t="shared" si="59"/>
        <v xml:space="preserve"> </v>
      </c>
      <c r="W505" s="9" t="str">
        <f t="shared" si="60"/>
        <v/>
      </c>
      <c r="X505" s="32"/>
      <c r="Y505" s="36"/>
    </row>
    <row r="506" spans="1:25" s="4" customFormat="1" ht="18" customHeight="1">
      <c r="A506" s="36"/>
      <c r="B506" s="69">
        <v>127.15</v>
      </c>
      <c r="C506" s="69" t="s">
        <v>793</v>
      </c>
      <c r="D506" s="31" t="s">
        <v>794</v>
      </c>
      <c r="E506" s="29" t="s">
        <v>34</v>
      </c>
      <c r="F506" s="28">
        <v>1.6</v>
      </c>
      <c r="G506" s="29">
        <v>0.05</v>
      </c>
      <c r="H506" s="29">
        <v>-0.05</v>
      </c>
      <c r="I506" s="30" t="s">
        <v>39</v>
      </c>
      <c r="J506" s="12">
        <f t="shared" si="64"/>
        <v>1.6500000000000001</v>
      </c>
      <c r="K506" s="12">
        <f t="shared" si="65"/>
        <v>1.55</v>
      </c>
      <c r="L506" s="78"/>
      <c r="M506" s="78"/>
      <c r="N506" s="78"/>
      <c r="O506" s="36"/>
      <c r="P506" s="24" t="str">
        <f t="shared" si="63"/>
        <v xml:space="preserve"> </v>
      </c>
      <c r="Q506" s="25" t="str">
        <f t="shared" si="63"/>
        <v xml:space="preserve"> </v>
      </c>
      <c r="R506" s="25" t="str">
        <f t="shared" si="63"/>
        <v xml:space="preserve"> </v>
      </c>
      <c r="S506" s="26" t="str">
        <f t="shared" si="56"/>
        <v xml:space="preserve"> </v>
      </c>
      <c r="T506" s="7" t="str">
        <f t="shared" si="57"/>
        <v xml:space="preserve"> </v>
      </c>
      <c r="U506" s="8" t="str">
        <f t="shared" si="58"/>
        <v xml:space="preserve"> </v>
      </c>
      <c r="V506" s="9" t="str">
        <f t="shared" si="59"/>
        <v xml:space="preserve"> </v>
      </c>
      <c r="W506" s="9" t="str">
        <f t="shared" si="60"/>
        <v/>
      </c>
      <c r="X506" s="32"/>
      <c r="Y506" s="36"/>
    </row>
    <row r="507" spans="1:25" s="4" customFormat="1" ht="18" customHeight="1">
      <c r="A507" s="36"/>
      <c r="B507" s="69">
        <v>128.01</v>
      </c>
      <c r="C507" s="69" t="s">
        <v>795</v>
      </c>
      <c r="D507" s="31" t="s">
        <v>794</v>
      </c>
      <c r="E507" s="29" t="s">
        <v>34</v>
      </c>
      <c r="F507" s="28">
        <v>0.6</v>
      </c>
      <c r="G507" s="29">
        <v>0.05</v>
      </c>
      <c r="H507" s="29">
        <v>-0.05</v>
      </c>
      <c r="I507" s="30" t="s">
        <v>39</v>
      </c>
      <c r="J507" s="12">
        <f t="shared" si="64"/>
        <v>0.65</v>
      </c>
      <c r="K507" s="12">
        <f t="shared" si="65"/>
        <v>0.54999999999999993</v>
      </c>
      <c r="L507" s="78"/>
      <c r="M507" s="78"/>
      <c r="N507" s="78"/>
      <c r="O507" s="36"/>
      <c r="P507" s="24" t="str">
        <f t="shared" si="63"/>
        <v xml:space="preserve"> </v>
      </c>
      <c r="Q507" s="25" t="str">
        <f t="shared" si="63"/>
        <v xml:space="preserve"> </v>
      </c>
      <c r="R507" s="25" t="str">
        <f t="shared" si="63"/>
        <v xml:space="preserve"> </v>
      </c>
      <c r="S507" s="26" t="str">
        <f t="shared" si="56"/>
        <v xml:space="preserve"> </v>
      </c>
      <c r="T507" s="7" t="str">
        <f t="shared" si="57"/>
        <v xml:space="preserve"> </v>
      </c>
      <c r="U507" s="8" t="str">
        <f t="shared" si="58"/>
        <v xml:space="preserve"> </v>
      </c>
      <c r="V507" s="9" t="str">
        <f t="shared" si="59"/>
        <v xml:space="preserve"> </v>
      </c>
      <c r="W507" s="9" t="str">
        <f t="shared" si="60"/>
        <v/>
      </c>
      <c r="X507" s="32"/>
      <c r="Y507" s="36"/>
    </row>
    <row r="508" spans="1:25" s="4" customFormat="1" ht="18" customHeight="1">
      <c r="A508" s="36"/>
      <c r="B508" s="69">
        <v>128.02000000000001</v>
      </c>
      <c r="C508" s="69" t="s">
        <v>796</v>
      </c>
      <c r="D508" s="31" t="s">
        <v>794</v>
      </c>
      <c r="E508" s="29" t="s">
        <v>34</v>
      </c>
      <c r="F508" s="28">
        <v>0.6</v>
      </c>
      <c r="G508" s="29">
        <v>0.05</v>
      </c>
      <c r="H508" s="29">
        <v>-0.05</v>
      </c>
      <c r="I508" s="30" t="s">
        <v>39</v>
      </c>
      <c r="J508" s="12">
        <f t="shared" si="64"/>
        <v>0.65</v>
      </c>
      <c r="K508" s="12">
        <f t="shared" si="65"/>
        <v>0.54999999999999993</v>
      </c>
      <c r="L508" s="78"/>
      <c r="M508" s="78"/>
      <c r="N508" s="78"/>
      <c r="O508" s="36"/>
      <c r="P508" s="24" t="str">
        <f t="shared" si="63"/>
        <v xml:space="preserve"> </v>
      </c>
      <c r="Q508" s="25" t="str">
        <f t="shared" si="63"/>
        <v xml:space="preserve"> </v>
      </c>
      <c r="R508" s="25" t="str">
        <f t="shared" si="63"/>
        <v xml:space="preserve"> </v>
      </c>
      <c r="S508" s="26" t="str">
        <f t="shared" si="56"/>
        <v xml:space="preserve"> </v>
      </c>
      <c r="T508" s="7" t="str">
        <f t="shared" si="57"/>
        <v xml:space="preserve"> </v>
      </c>
      <c r="U508" s="8" t="str">
        <f t="shared" si="58"/>
        <v xml:space="preserve"> </v>
      </c>
      <c r="V508" s="9" t="str">
        <f t="shared" si="59"/>
        <v xml:space="preserve"> </v>
      </c>
      <c r="W508" s="9" t="str">
        <f t="shared" si="60"/>
        <v/>
      </c>
      <c r="X508" s="32"/>
      <c r="Y508" s="36"/>
    </row>
    <row r="509" spans="1:25" s="4" customFormat="1" ht="18" customHeight="1">
      <c r="A509" s="36"/>
      <c r="B509" s="69">
        <v>128.03</v>
      </c>
      <c r="C509" s="69" t="s">
        <v>797</v>
      </c>
      <c r="D509" s="31" t="s">
        <v>794</v>
      </c>
      <c r="E509" s="29" t="s">
        <v>34</v>
      </c>
      <c r="F509" s="28">
        <v>0.6</v>
      </c>
      <c r="G509" s="29">
        <v>0.05</v>
      </c>
      <c r="H509" s="29">
        <v>-0.05</v>
      </c>
      <c r="I509" s="30" t="s">
        <v>39</v>
      </c>
      <c r="J509" s="12">
        <f t="shared" si="64"/>
        <v>0.65</v>
      </c>
      <c r="K509" s="12">
        <f t="shared" si="65"/>
        <v>0.54999999999999993</v>
      </c>
      <c r="L509" s="78"/>
      <c r="M509" s="78"/>
      <c r="N509" s="78"/>
      <c r="O509" s="36"/>
      <c r="P509" s="24" t="str">
        <f t="shared" si="63"/>
        <v xml:space="preserve"> </v>
      </c>
      <c r="Q509" s="25" t="str">
        <f t="shared" si="63"/>
        <v xml:space="preserve"> </v>
      </c>
      <c r="R509" s="25" t="str">
        <f t="shared" si="63"/>
        <v xml:space="preserve"> </v>
      </c>
      <c r="S509" s="26" t="str">
        <f t="shared" si="56"/>
        <v xml:space="preserve"> </v>
      </c>
      <c r="T509" s="7" t="str">
        <f t="shared" si="57"/>
        <v xml:space="preserve"> </v>
      </c>
      <c r="U509" s="8" t="str">
        <f t="shared" si="58"/>
        <v xml:space="preserve"> </v>
      </c>
      <c r="V509" s="9" t="str">
        <f t="shared" si="59"/>
        <v xml:space="preserve"> </v>
      </c>
      <c r="W509" s="9" t="str">
        <f t="shared" si="60"/>
        <v/>
      </c>
      <c r="X509" s="32"/>
      <c r="Y509" s="36"/>
    </row>
    <row r="510" spans="1:25" s="4" customFormat="1" ht="18" customHeight="1">
      <c r="A510" s="36"/>
      <c r="B510" s="69">
        <v>128.04</v>
      </c>
      <c r="C510" s="69" t="s">
        <v>798</v>
      </c>
      <c r="D510" s="31" t="s">
        <v>794</v>
      </c>
      <c r="E510" s="29" t="s">
        <v>34</v>
      </c>
      <c r="F510" s="28">
        <v>0.6</v>
      </c>
      <c r="G510" s="29">
        <v>0.05</v>
      </c>
      <c r="H510" s="29">
        <v>-0.05</v>
      </c>
      <c r="I510" s="30" t="s">
        <v>39</v>
      </c>
      <c r="J510" s="12">
        <f t="shared" si="64"/>
        <v>0.65</v>
      </c>
      <c r="K510" s="12">
        <f t="shared" si="65"/>
        <v>0.54999999999999993</v>
      </c>
      <c r="L510" s="78"/>
      <c r="M510" s="78"/>
      <c r="N510" s="78"/>
      <c r="O510" s="36"/>
      <c r="P510" s="24" t="str">
        <f t="shared" si="63"/>
        <v xml:space="preserve"> </v>
      </c>
      <c r="Q510" s="25" t="str">
        <f t="shared" si="63"/>
        <v xml:space="preserve"> </v>
      </c>
      <c r="R510" s="25" t="str">
        <f t="shared" si="63"/>
        <v xml:space="preserve"> </v>
      </c>
      <c r="S510" s="26" t="str">
        <f t="shared" si="56"/>
        <v xml:space="preserve"> </v>
      </c>
      <c r="T510" s="7" t="str">
        <f t="shared" si="57"/>
        <v xml:space="preserve"> </v>
      </c>
      <c r="U510" s="8" t="str">
        <f t="shared" si="58"/>
        <v xml:space="preserve"> </v>
      </c>
      <c r="V510" s="9" t="str">
        <f t="shared" si="59"/>
        <v xml:space="preserve"> </v>
      </c>
      <c r="W510" s="9" t="str">
        <f t="shared" si="60"/>
        <v/>
      </c>
      <c r="X510" s="32"/>
      <c r="Y510" s="36"/>
    </row>
    <row r="511" spans="1:25" s="4" customFormat="1" ht="18" customHeight="1">
      <c r="A511" s="36"/>
      <c r="B511" s="69">
        <v>128.05000000000001</v>
      </c>
      <c r="C511" s="69" t="s">
        <v>799</v>
      </c>
      <c r="D511" s="31" t="s">
        <v>794</v>
      </c>
      <c r="E511" s="29" t="s">
        <v>34</v>
      </c>
      <c r="F511" s="28">
        <v>0.6</v>
      </c>
      <c r="G511" s="29">
        <v>0.05</v>
      </c>
      <c r="H511" s="29">
        <v>-0.05</v>
      </c>
      <c r="I511" s="30" t="s">
        <v>39</v>
      </c>
      <c r="J511" s="12">
        <f t="shared" si="64"/>
        <v>0.65</v>
      </c>
      <c r="K511" s="12">
        <f t="shared" si="65"/>
        <v>0.54999999999999993</v>
      </c>
      <c r="L511" s="78"/>
      <c r="M511" s="78"/>
      <c r="N511" s="78"/>
      <c r="O511" s="36"/>
      <c r="P511" s="24" t="str">
        <f t="shared" si="63"/>
        <v xml:space="preserve"> </v>
      </c>
      <c r="Q511" s="25" t="str">
        <f t="shared" si="63"/>
        <v xml:space="preserve"> </v>
      </c>
      <c r="R511" s="25" t="str">
        <f t="shared" si="63"/>
        <v xml:space="preserve"> </v>
      </c>
      <c r="S511" s="26" t="str">
        <f t="shared" si="56"/>
        <v xml:space="preserve"> </v>
      </c>
      <c r="T511" s="7" t="str">
        <f t="shared" si="57"/>
        <v xml:space="preserve"> </v>
      </c>
      <c r="U511" s="8" t="str">
        <f t="shared" si="58"/>
        <v xml:space="preserve"> </v>
      </c>
      <c r="V511" s="9" t="str">
        <f t="shared" si="59"/>
        <v xml:space="preserve"> </v>
      </c>
      <c r="W511" s="9" t="str">
        <f t="shared" si="60"/>
        <v/>
      </c>
      <c r="X511" s="32"/>
      <c r="Y511" s="36"/>
    </row>
    <row r="512" spans="1:25" s="4" customFormat="1" ht="18" customHeight="1">
      <c r="A512" s="36"/>
      <c r="B512" s="69">
        <v>128.06</v>
      </c>
      <c r="C512" s="69" t="s">
        <v>800</v>
      </c>
      <c r="D512" s="31" t="s">
        <v>794</v>
      </c>
      <c r="E512" s="29" t="s">
        <v>34</v>
      </c>
      <c r="F512" s="28">
        <v>0.6</v>
      </c>
      <c r="G512" s="29">
        <v>0.05</v>
      </c>
      <c r="H512" s="29">
        <v>-0.05</v>
      </c>
      <c r="I512" s="30" t="s">
        <v>39</v>
      </c>
      <c r="J512" s="12">
        <f t="shared" si="64"/>
        <v>0.65</v>
      </c>
      <c r="K512" s="12">
        <f t="shared" si="65"/>
        <v>0.54999999999999993</v>
      </c>
      <c r="L512" s="78"/>
      <c r="M512" s="78"/>
      <c r="N512" s="78"/>
      <c r="O512" s="36"/>
      <c r="P512" s="24" t="str">
        <f t="shared" si="63"/>
        <v xml:space="preserve"> </v>
      </c>
      <c r="Q512" s="25" t="str">
        <f t="shared" si="63"/>
        <v xml:space="preserve"> </v>
      </c>
      <c r="R512" s="25" t="str">
        <f t="shared" si="63"/>
        <v xml:space="preserve"> </v>
      </c>
      <c r="S512" s="26" t="str">
        <f t="shared" si="56"/>
        <v xml:space="preserve"> </v>
      </c>
      <c r="T512" s="7" t="str">
        <f t="shared" si="57"/>
        <v xml:space="preserve"> </v>
      </c>
      <c r="U512" s="8" t="str">
        <f t="shared" si="58"/>
        <v xml:space="preserve"> </v>
      </c>
      <c r="V512" s="9" t="str">
        <f t="shared" si="59"/>
        <v xml:space="preserve"> </v>
      </c>
      <c r="W512" s="9" t="str">
        <f t="shared" si="60"/>
        <v/>
      </c>
      <c r="X512" s="32"/>
      <c r="Y512" s="36"/>
    </row>
    <row r="513" spans="1:25" s="4" customFormat="1" ht="18" customHeight="1">
      <c r="A513" s="36"/>
      <c r="B513" s="69">
        <v>128.07</v>
      </c>
      <c r="C513" s="69" t="s">
        <v>801</v>
      </c>
      <c r="D513" s="31" t="s">
        <v>794</v>
      </c>
      <c r="E513" s="29" t="s">
        <v>34</v>
      </c>
      <c r="F513" s="28">
        <v>0.6</v>
      </c>
      <c r="G513" s="29">
        <v>0.1</v>
      </c>
      <c r="H513" s="29">
        <v>-0.1</v>
      </c>
      <c r="I513" s="30" t="s">
        <v>39</v>
      </c>
      <c r="J513" s="12">
        <f t="shared" si="64"/>
        <v>0.7</v>
      </c>
      <c r="K513" s="12">
        <f t="shared" si="65"/>
        <v>0.5</v>
      </c>
      <c r="L513" s="78"/>
      <c r="M513" s="78"/>
      <c r="N513" s="78"/>
      <c r="O513" s="36"/>
      <c r="P513" s="24" t="str">
        <f t="shared" si="63"/>
        <v xml:space="preserve"> </v>
      </c>
      <c r="Q513" s="25" t="str">
        <f t="shared" si="63"/>
        <v xml:space="preserve"> </v>
      </c>
      <c r="R513" s="25" t="str">
        <f t="shared" si="63"/>
        <v xml:space="preserve"> </v>
      </c>
      <c r="S513" s="26" t="str">
        <f t="shared" si="56"/>
        <v xml:space="preserve"> </v>
      </c>
      <c r="T513" s="7" t="str">
        <f t="shared" si="57"/>
        <v xml:space="preserve"> </v>
      </c>
      <c r="U513" s="8" t="str">
        <f t="shared" si="58"/>
        <v xml:space="preserve"> </v>
      </c>
      <c r="V513" s="9" t="str">
        <f t="shared" si="59"/>
        <v xml:space="preserve"> </v>
      </c>
      <c r="W513" s="9" t="str">
        <f t="shared" si="60"/>
        <v/>
      </c>
      <c r="X513" s="32"/>
      <c r="Y513" s="36"/>
    </row>
    <row r="514" spans="1:25" s="4" customFormat="1" ht="18" customHeight="1">
      <c r="A514" s="36"/>
      <c r="B514" s="69">
        <v>128.08000000000001</v>
      </c>
      <c r="C514" s="69" t="s">
        <v>802</v>
      </c>
      <c r="D514" s="31" t="s">
        <v>794</v>
      </c>
      <c r="E514" s="29" t="s">
        <v>34</v>
      </c>
      <c r="F514" s="28">
        <v>0.6</v>
      </c>
      <c r="G514" s="29">
        <v>0.1</v>
      </c>
      <c r="H514" s="29">
        <v>-0.1</v>
      </c>
      <c r="I514" s="30" t="s">
        <v>39</v>
      </c>
      <c r="J514" s="12">
        <f t="shared" si="64"/>
        <v>0.7</v>
      </c>
      <c r="K514" s="12">
        <f t="shared" si="65"/>
        <v>0.5</v>
      </c>
      <c r="L514" s="78"/>
      <c r="M514" s="78"/>
      <c r="N514" s="78"/>
      <c r="O514" s="36"/>
      <c r="P514" s="24" t="str">
        <f t="shared" si="63"/>
        <v xml:space="preserve"> </v>
      </c>
      <c r="Q514" s="25" t="str">
        <f t="shared" si="63"/>
        <v xml:space="preserve"> </v>
      </c>
      <c r="R514" s="25" t="str">
        <f t="shared" si="63"/>
        <v xml:space="preserve"> </v>
      </c>
      <c r="S514" s="26" t="str">
        <f t="shared" si="56"/>
        <v xml:space="preserve"> </v>
      </c>
      <c r="T514" s="7" t="str">
        <f t="shared" si="57"/>
        <v xml:space="preserve"> </v>
      </c>
      <c r="U514" s="8" t="str">
        <f t="shared" si="58"/>
        <v xml:space="preserve"> </v>
      </c>
      <c r="V514" s="9" t="str">
        <f t="shared" si="59"/>
        <v xml:space="preserve"> </v>
      </c>
      <c r="W514" s="9" t="str">
        <f t="shared" si="60"/>
        <v/>
      </c>
      <c r="X514" s="32"/>
      <c r="Y514" s="36"/>
    </row>
    <row r="515" spans="1:25" s="4" customFormat="1" ht="18" customHeight="1">
      <c r="A515" s="36"/>
      <c r="B515" s="69">
        <v>128.09</v>
      </c>
      <c r="C515" s="69" t="s">
        <v>803</v>
      </c>
      <c r="D515" s="31" t="s">
        <v>794</v>
      </c>
      <c r="E515" s="29" t="s">
        <v>34</v>
      </c>
      <c r="F515" s="28">
        <v>0.6</v>
      </c>
      <c r="G515" s="29">
        <v>0.1</v>
      </c>
      <c r="H515" s="29">
        <v>-0.1</v>
      </c>
      <c r="I515" s="30" t="s">
        <v>39</v>
      </c>
      <c r="J515" s="12">
        <f t="shared" si="64"/>
        <v>0.7</v>
      </c>
      <c r="K515" s="12">
        <f t="shared" si="65"/>
        <v>0.5</v>
      </c>
      <c r="L515" s="78"/>
      <c r="M515" s="78"/>
      <c r="N515" s="78"/>
      <c r="O515" s="36"/>
      <c r="P515" s="24" t="str">
        <f t="shared" si="63"/>
        <v xml:space="preserve"> </v>
      </c>
      <c r="Q515" s="25" t="str">
        <f t="shared" si="63"/>
        <v xml:space="preserve"> </v>
      </c>
      <c r="R515" s="25" t="str">
        <f t="shared" si="63"/>
        <v xml:space="preserve"> </v>
      </c>
      <c r="S515" s="26" t="str">
        <f t="shared" si="56"/>
        <v xml:space="preserve"> </v>
      </c>
      <c r="T515" s="7" t="str">
        <f t="shared" si="57"/>
        <v xml:space="preserve"> </v>
      </c>
      <c r="U515" s="8" t="str">
        <f t="shared" si="58"/>
        <v xml:space="preserve"> </v>
      </c>
      <c r="V515" s="9" t="str">
        <f t="shared" si="59"/>
        <v xml:space="preserve"> </v>
      </c>
      <c r="W515" s="9" t="str">
        <f t="shared" si="60"/>
        <v/>
      </c>
      <c r="X515" s="32"/>
      <c r="Y515" s="36"/>
    </row>
    <row r="516" spans="1:25" s="4" customFormat="1" ht="18" customHeight="1">
      <c r="A516" s="36"/>
      <c r="B516" s="69" t="s">
        <v>944</v>
      </c>
      <c r="C516" s="69" t="s">
        <v>804</v>
      </c>
      <c r="D516" s="31" t="s">
        <v>794</v>
      </c>
      <c r="E516" s="29" t="s">
        <v>34</v>
      </c>
      <c r="F516" s="28">
        <v>0.6</v>
      </c>
      <c r="G516" s="29">
        <v>0.1</v>
      </c>
      <c r="H516" s="29">
        <v>-0.1</v>
      </c>
      <c r="I516" s="30" t="s">
        <v>39</v>
      </c>
      <c r="J516" s="12">
        <f t="shared" si="64"/>
        <v>0.7</v>
      </c>
      <c r="K516" s="12">
        <f t="shared" si="65"/>
        <v>0.5</v>
      </c>
      <c r="L516" s="78"/>
      <c r="M516" s="78"/>
      <c r="N516" s="78"/>
      <c r="O516" s="36"/>
      <c r="P516" s="24" t="str">
        <f t="shared" ref="P516:R605" si="66">IF(ISERR(L516/L516)=TRUE," ",L516-$F516)</f>
        <v xml:space="preserve"> </v>
      </c>
      <c r="Q516" s="25" t="str">
        <f t="shared" si="66"/>
        <v xml:space="preserve"> </v>
      </c>
      <c r="R516" s="25" t="str">
        <f t="shared" si="66"/>
        <v xml:space="preserve"> </v>
      </c>
      <c r="S516" s="26" t="str">
        <f t="shared" si="56"/>
        <v xml:space="preserve"> </v>
      </c>
      <c r="T516" s="7" t="str">
        <f t="shared" si="57"/>
        <v xml:space="preserve"> </v>
      </c>
      <c r="U516" s="8" t="str">
        <f t="shared" si="58"/>
        <v xml:space="preserve"> </v>
      </c>
      <c r="V516" s="9" t="str">
        <f t="shared" si="59"/>
        <v xml:space="preserve"> </v>
      </c>
      <c r="W516" s="9" t="str">
        <f t="shared" si="60"/>
        <v/>
      </c>
      <c r="X516" s="32"/>
      <c r="Y516" s="36"/>
    </row>
    <row r="517" spans="1:25" s="4" customFormat="1" ht="18" customHeight="1">
      <c r="A517" s="36"/>
      <c r="B517" s="69">
        <v>128.11000000000001</v>
      </c>
      <c r="C517" s="69" t="s">
        <v>805</v>
      </c>
      <c r="D517" s="31" t="s">
        <v>794</v>
      </c>
      <c r="E517" s="29" t="s">
        <v>34</v>
      </c>
      <c r="F517" s="28">
        <v>0.6</v>
      </c>
      <c r="G517" s="29">
        <v>0.1</v>
      </c>
      <c r="H517" s="29">
        <v>-0.1</v>
      </c>
      <c r="I517" s="30" t="s">
        <v>39</v>
      </c>
      <c r="J517" s="12">
        <f t="shared" si="64"/>
        <v>0.7</v>
      </c>
      <c r="K517" s="12">
        <f t="shared" si="65"/>
        <v>0.5</v>
      </c>
      <c r="L517" s="78"/>
      <c r="M517" s="78"/>
      <c r="N517" s="78"/>
      <c r="O517" s="36"/>
      <c r="P517" s="24" t="str">
        <f t="shared" si="66"/>
        <v xml:space="preserve"> </v>
      </c>
      <c r="Q517" s="25" t="str">
        <f t="shared" si="66"/>
        <v xml:space="preserve"> </v>
      </c>
      <c r="R517" s="25" t="str">
        <f t="shared" si="66"/>
        <v xml:space="preserve"> </v>
      </c>
      <c r="S517" s="26" t="str">
        <f t="shared" si="56"/>
        <v xml:space="preserve"> </v>
      </c>
      <c r="T517" s="7" t="str">
        <f t="shared" si="57"/>
        <v xml:space="preserve"> </v>
      </c>
      <c r="U517" s="8" t="str">
        <f t="shared" si="58"/>
        <v xml:space="preserve"> </v>
      </c>
      <c r="V517" s="9" t="str">
        <f t="shared" si="59"/>
        <v xml:space="preserve"> </v>
      </c>
      <c r="W517" s="9" t="str">
        <f t="shared" si="60"/>
        <v/>
      </c>
      <c r="X517" s="32"/>
      <c r="Y517" s="36"/>
    </row>
    <row r="518" spans="1:25" s="4" customFormat="1" ht="18" customHeight="1">
      <c r="A518" s="36"/>
      <c r="B518" s="69">
        <v>128.12</v>
      </c>
      <c r="C518" s="69" t="s">
        <v>806</v>
      </c>
      <c r="D518" s="31" t="s">
        <v>794</v>
      </c>
      <c r="E518" s="29" t="s">
        <v>34</v>
      </c>
      <c r="F518" s="28">
        <v>0.6</v>
      </c>
      <c r="G518" s="29">
        <v>0.1</v>
      </c>
      <c r="H518" s="29">
        <v>-0.1</v>
      </c>
      <c r="I518" s="30" t="s">
        <v>39</v>
      </c>
      <c r="J518" s="12">
        <f t="shared" si="64"/>
        <v>0.7</v>
      </c>
      <c r="K518" s="12">
        <f t="shared" si="65"/>
        <v>0.5</v>
      </c>
      <c r="L518" s="78"/>
      <c r="M518" s="78"/>
      <c r="N518" s="78"/>
      <c r="O518" s="36"/>
      <c r="P518" s="24" t="str">
        <f t="shared" si="66"/>
        <v xml:space="preserve"> </v>
      </c>
      <c r="Q518" s="25" t="str">
        <f t="shared" si="66"/>
        <v xml:space="preserve"> </v>
      </c>
      <c r="R518" s="25" t="str">
        <f t="shared" si="66"/>
        <v xml:space="preserve"> </v>
      </c>
      <c r="S518" s="26" t="str">
        <f t="shared" si="56"/>
        <v xml:space="preserve"> </v>
      </c>
      <c r="T518" s="7" t="str">
        <f t="shared" si="57"/>
        <v xml:space="preserve"> </v>
      </c>
      <c r="U518" s="8" t="str">
        <f t="shared" si="58"/>
        <v xml:space="preserve"> </v>
      </c>
      <c r="V518" s="9" t="str">
        <f t="shared" si="59"/>
        <v xml:space="preserve"> </v>
      </c>
      <c r="W518" s="9" t="str">
        <f t="shared" si="60"/>
        <v/>
      </c>
      <c r="X518" s="32"/>
      <c r="Y518" s="36"/>
    </row>
    <row r="519" spans="1:25" s="4" customFormat="1" ht="18" customHeight="1">
      <c r="A519" s="36"/>
      <c r="B519" s="69">
        <v>128.13</v>
      </c>
      <c r="C519" s="69" t="s">
        <v>807</v>
      </c>
      <c r="D519" s="31" t="s">
        <v>794</v>
      </c>
      <c r="E519" s="29" t="s">
        <v>34</v>
      </c>
      <c r="F519" s="28">
        <v>0.6</v>
      </c>
      <c r="G519" s="29">
        <v>0.1</v>
      </c>
      <c r="H519" s="29">
        <v>-0.1</v>
      </c>
      <c r="I519" s="30" t="s">
        <v>39</v>
      </c>
      <c r="J519" s="12">
        <f t="shared" si="64"/>
        <v>0.7</v>
      </c>
      <c r="K519" s="12">
        <f t="shared" si="65"/>
        <v>0.5</v>
      </c>
      <c r="L519" s="78"/>
      <c r="M519" s="78"/>
      <c r="N519" s="78"/>
      <c r="O519" s="36"/>
      <c r="P519" s="24" t="str">
        <f t="shared" si="66"/>
        <v xml:space="preserve"> </v>
      </c>
      <c r="Q519" s="25" t="str">
        <f t="shared" si="66"/>
        <v xml:space="preserve"> </v>
      </c>
      <c r="R519" s="25" t="str">
        <f t="shared" si="66"/>
        <v xml:space="preserve"> </v>
      </c>
      <c r="S519" s="26" t="str">
        <f t="shared" si="56"/>
        <v xml:space="preserve"> </v>
      </c>
      <c r="T519" s="7" t="str">
        <f t="shared" si="57"/>
        <v xml:space="preserve"> </v>
      </c>
      <c r="U519" s="8" t="str">
        <f t="shared" si="58"/>
        <v xml:space="preserve"> </v>
      </c>
      <c r="V519" s="9" t="str">
        <f t="shared" si="59"/>
        <v xml:space="preserve"> </v>
      </c>
      <c r="W519" s="9" t="str">
        <f t="shared" si="60"/>
        <v/>
      </c>
      <c r="X519" s="32"/>
      <c r="Y519" s="36"/>
    </row>
    <row r="520" spans="1:25" s="4" customFormat="1" ht="18" customHeight="1">
      <c r="A520" s="36"/>
      <c r="B520" s="69">
        <v>128.13999999999999</v>
      </c>
      <c r="C520" s="69" t="s">
        <v>808</v>
      </c>
      <c r="D520" s="31" t="s">
        <v>794</v>
      </c>
      <c r="E520" s="29" t="s">
        <v>34</v>
      </c>
      <c r="F520" s="28">
        <v>0.6</v>
      </c>
      <c r="G520" s="29">
        <v>0.1</v>
      </c>
      <c r="H520" s="29">
        <v>-0.1</v>
      </c>
      <c r="I520" s="30" t="s">
        <v>39</v>
      </c>
      <c r="J520" s="12">
        <f t="shared" si="64"/>
        <v>0.7</v>
      </c>
      <c r="K520" s="12">
        <f t="shared" si="65"/>
        <v>0.5</v>
      </c>
      <c r="L520" s="78"/>
      <c r="M520" s="78"/>
      <c r="N520" s="78"/>
      <c r="O520" s="36"/>
      <c r="P520" s="24" t="str">
        <f t="shared" si="66"/>
        <v xml:space="preserve"> </v>
      </c>
      <c r="Q520" s="25" t="str">
        <f t="shared" si="66"/>
        <v xml:space="preserve"> </v>
      </c>
      <c r="R520" s="25" t="str">
        <f t="shared" si="66"/>
        <v xml:space="preserve"> </v>
      </c>
      <c r="S520" s="26" t="str">
        <f t="shared" si="56"/>
        <v xml:space="preserve"> </v>
      </c>
      <c r="T520" s="7" t="str">
        <f t="shared" si="57"/>
        <v xml:space="preserve"> </v>
      </c>
      <c r="U520" s="8" t="str">
        <f t="shared" si="58"/>
        <v xml:space="preserve"> </v>
      </c>
      <c r="V520" s="9" t="str">
        <f t="shared" si="59"/>
        <v xml:space="preserve"> </v>
      </c>
      <c r="W520" s="9" t="str">
        <f t="shared" si="60"/>
        <v/>
      </c>
      <c r="X520" s="32"/>
      <c r="Y520" s="36"/>
    </row>
    <row r="521" spans="1:25" s="4" customFormat="1" ht="18" customHeight="1">
      <c r="A521" s="36"/>
      <c r="B521" s="69">
        <v>128.15</v>
      </c>
      <c r="C521" s="69" t="s">
        <v>809</v>
      </c>
      <c r="D521" s="31" t="s">
        <v>794</v>
      </c>
      <c r="E521" s="29" t="s">
        <v>34</v>
      </c>
      <c r="F521" s="28">
        <v>0.6</v>
      </c>
      <c r="G521" s="29">
        <v>0.1</v>
      </c>
      <c r="H521" s="29">
        <v>-0.1</v>
      </c>
      <c r="I521" s="30" t="s">
        <v>39</v>
      </c>
      <c r="J521" s="12">
        <f t="shared" si="64"/>
        <v>0.7</v>
      </c>
      <c r="K521" s="12">
        <f t="shared" si="65"/>
        <v>0.5</v>
      </c>
      <c r="L521" s="78"/>
      <c r="M521" s="78"/>
      <c r="N521" s="78"/>
      <c r="O521" s="36"/>
      <c r="P521" s="24" t="str">
        <f t="shared" si="66"/>
        <v xml:space="preserve"> </v>
      </c>
      <c r="Q521" s="25" t="str">
        <f t="shared" si="66"/>
        <v xml:space="preserve"> </v>
      </c>
      <c r="R521" s="25" t="str">
        <f t="shared" si="66"/>
        <v xml:space="preserve"> </v>
      </c>
      <c r="S521" s="26" t="str">
        <f t="shared" si="56"/>
        <v xml:space="preserve"> </v>
      </c>
      <c r="T521" s="7" t="str">
        <f t="shared" si="57"/>
        <v xml:space="preserve"> </v>
      </c>
      <c r="U521" s="8" t="str">
        <f t="shared" si="58"/>
        <v xml:space="preserve"> </v>
      </c>
      <c r="V521" s="9" t="str">
        <f t="shared" si="59"/>
        <v xml:space="preserve"> </v>
      </c>
      <c r="W521" s="9" t="str">
        <f t="shared" si="60"/>
        <v/>
      </c>
      <c r="X521" s="32"/>
      <c r="Y521" s="36"/>
    </row>
    <row r="522" spans="1:25" s="4" customFormat="1" ht="18" customHeight="1">
      <c r="A522" s="36"/>
      <c r="B522" s="69">
        <v>135</v>
      </c>
      <c r="C522" s="69"/>
      <c r="D522" s="31" t="s">
        <v>810</v>
      </c>
      <c r="E522" s="29" t="s">
        <v>36</v>
      </c>
      <c r="F522" s="28"/>
      <c r="G522" s="29">
        <v>0.1</v>
      </c>
      <c r="H522" s="29"/>
      <c r="I522" s="30" t="s">
        <v>39</v>
      </c>
      <c r="J522" s="12">
        <f t="shared" si="64"/>
        <v>0.1</v>
      </c>
      <c r="K522" s="12" t="str">
        <f t="shared" si="65"/>
        <v/>
      </c>
      <c r="L522" s="78"/>
      <c r="M522" s="78"/>
      <c r="N522" s="78"/>
      <c r="O522" s="36"/>
      <c r="P522" s="24" t="str">
        <f t="shared" si="66"/>
        <v xml:space="preserve"> </v>
      </c>
      <c r="Q522" s="25" t="str">
        <f t="shared" si="66"/>
        <v xml:space="preserve"> </v>
      </c>
      <c r="R522" s="25" t="str">
        <f t="shared" si="66"/>
        <v xml:space="preserve"> </v>
      </c>
      <c r="S522" s="26" t="str">
        <f t="shared" si="56"/>
        <v xml:space="preserve"> </v>
      </c>
      <c r="T522" s="7" t="str">
        <f t="shared" si="57"/>
        <v xml:space="preserve"> </v>
      </c>
      <c r="U522" s="8" t="str">
        <f t="shared" si="58"/>
        <v xml:space="preserve"> </v>
      </c>
      <c r="V522" s="9" t="str">
        <f t="shared" si="59"/>
        <v xml:space="preserve"> </v>
      </c>
      <c r="W522" s="9" t="str">
        <f t="shared" si="60"/>
        <v/>
      </c>
      <c r="X522" s="32"/>
      <c r="Y522" s="36"/>
    </row>
    <row r="523" spans="1:25" s="4" customFormat="1" ht="18" customHeight="1">
      <c r="A523" s="36"/>
      <c r="B523" s="69">
        <v>136</v>
      </c>
      <c r="C523" s="69"/>
      <c r="D523" s="31" t="s">
        <v>794</v>
      </c>
      <c r="E523" s="29" t="s">
        <v>36</v>
      </c>
      <c r="F523" s="28"/>
      <c r="G523" s="29">
        <v>0.1</v>
      </c>
      <c r="H523" s="29"/>
      <c r="I523" s="30" t="s">
        <v>39</v>
      </c>
      <c r="J523" s="12">
        <f t="shared" si="64"/>
        <v>0.1</v>
      </c>
      <c r="K523" s="12" t="str">
        <f t="shared" si="65"/>
        <v/>
      </c>
      <c r="L523" s="78"/>
      <c r="M523" s="78"/>
      <c r="N523" s="78"/>
      <c r="O523" s="36"/>
      <c r="P523" s="24" t="str">
        <f t="shared" si="66"/>
        <v xml:space="preserve"> </v>
      </c>
      <c r="Q523" s="25" t="str">
        <f t="shared" si="66"/>
        <v xml:space="preserve"> </v>
      </c>
      <c r="R523" s="25" t="str">
        <f t="shared" si="66"/>
        <v xml:space="preserve"> </v>
      </c>
      <c r="S523" s="26" t="str">
        <f t="shared" si="56"/>
        <v xml:space="preserve"> </v>
      </c>
      <c r="T523" s="7" t="str">
        <f t="shared" si="57"/>
        <v xml:space="preserve"> </v>
      </c>
      <c r="U523" s="8" t="str">
        <f t="shared" si="58"/>
        <v xml:space="preserve"> </v>
      </c>
      <c r="V523" s="9" t="str">
        <f t="shared" si="59"/>
        <v xml:space="preserve"> </v>
      </c>
      <c r="W523" s="9" t="str">
        <f t="shared" si="60"/>
        <v/>
      </c>
      <c r="X523" s="32"/>
      <c r="Y523" s="36"/>
    </row>
    <row r="524" spans="1:25" s="4" customFormat="1" ht="18" customHeight="1">
      <c r="A524" s="36"/>
      <c r="B524" s="69">
        <v>137</v>
      </c>
      <c r="C524" s="69"/>
      <c r="D524" s="31" t="s">
        <v>794</v>
      </c>
      <c r="E524" s="29" t="s">
        <v>36</v>
      </c>
      <c r="F524" s="28"/>
      <c r="G524" s="29">
        <v>0.1</v>
      </c>
      <c r="H524" s="29"/>
      <c r="I524" s="30" t="s">
        <v>39</v>
      </c>
      <c r="J524" s="12">
        <f t="shared" si="64"/>
        <v>0.1</v>
      </c>
      <c r="K524" s="12" t="str">
        <f t="shared" si="65"/>
        <v/>
      </c>
      <c r="L524" s="78"/>
      <c r="M524" s="78"/>
      <c r="N524" s="78"/>
      <c r="O524" s="36"/>
      <c r="P524" s="24" t="str">
        <f t="shared" si="66"/>
        <v xml:space="preserve"> </v>
      </c>
      <c r="Q524" s="25" t="str">
        <f t="shared" si="66"/>
        <v xml:space="preserve"> </v>
      </c>
      <c r="R524" s="25" t="str">
        <f t="shared" si="66"/>
        <v xml:space="preserve"> </v>
      </c>
      <c r="S524" s="26" t="str">
        <f t="shared" si="56"/>
        <v xml:space="preserve"> </v>
      </c>
      <c r="T524" s="7" t="str">
        <f t="shared" si="57"/>
        <v xml:space="preserve"> </v>
      </c>
      <c r="U524" s="8" t="str">
        <f t="shared" si="58"/>
        <v xml:space="preserve"> </v>
      </c>
      <c r="V524" s="9" t="str">
        <f t="shared" si="59"/>
        <v xml:space="preserve"> </v>
      </c>
      <c r="W524" s="9" t="str">
        <f t="shared" si="60"/>
        <v/>
      </c>
      <c r="X524" s="32"/>
      <c r="Y524" s="36"/>
    </row>
    <row r="525" spans="1:25" s="4" customFormat="1" ht="18" customHeight="1">
      <c r="A525" s="36"/>
      <c r="B525" s="69">
        <v>146.01</v>
      </c>
      <c r="C525" s="69" t="s">
        <v>811</v>
      </c>
      <c r="D525" s="31" t="s">
        <v>810</v>
      </c>
      <c r="E525" s="29" t="s">
        <v>34</v>
      </c>
      <c r="F525" s="28">
        <v>0.7</v>
      </c>
      <c r="G525" s="29">
        <v>0.1</v>
      </c>
      <c r="H525" s="29">
        <v>-0.1</v>
      </c>
      <c r="I525" s="30" t="s">
        <v>39</v>
      </c>
      <c r="J525" s="12">
        <f t="shared" si="64"/>
        <v>0.79999999999999993</v>
      </c>
      <c r="K525" s="12">
        <f t="shared" si="65"/>
        <v>0.6</v>
      </c>
      <c r="L525" s="78"/>
      <c r="M525" s="78"/>
      <c r="N525" s="78"/>
      <c r="O525" s="36"/>
      <c r="P525" s="24" t="str">
        <f t="shared" si="66"/>
        <v xml:space="preserve"> </v>
      </c>
      <c r="Q525" s="25" t="str">
        <f t="shared" si="66"/>
        <v xml:space="preserve"> </v>
      </c>
      <c r="R525" s="25" t="str">
        <f t="shared" si="66"/>
        <v xml:space="preserve"> </v>
      </c>
      <c r="S525" s="26" t="str">
        <f t="shared" si="56"/>
        <v xml:space="preserve"> </v>
      </c>
      <c r="T525" s="7" t="str">
        <f t="shared" si="57"/>
        <v xml:space="preserve"> </v>
      </c>
      <c r="U525" s="8" t="str">
        <f t="shared" si="58"/>
        <v xml:space="preserve"> </v>
      </c>
      <c r="V525" s="9" t="str">
        <f t="shared" si="59"/>
        <v xml:space="preserve"> </v>
      </c>
      <c r="W525" s="9" t="str">
        <f t="shared" si="60"/>
        <v/>
      </c>
      <c r="X525" s="32"/>
      <c r="Y525" s="36"/>
    </row>
    <row r="526" spans="1:25" s="4" customFormat="1" ht="18" customHeight="1">
      <c r="A526" s="36"/>
      <c r="B526" s="69">
        <v>146.02000000000001</v>
      </c>
      <c r="C526" s="69" t="s">
        <v>812</v>
      </c>
      <c r="D526" s="31" t="s">
        <v>810</v>
      </c>
      <c r="E526" s="29" t="s">
        <v>34</v>
      </c>
      <c r="F526" s="28">
        <v>0.7</v>
      </c>
      <c r="G526" s="29">
        <v>0.1</v>
      </c>
      <c r="H526" s="29">
        <v>-0.1</v>
      </c>
      <c r="I526" s="30" t="s">
        <v>39</v>
      </c>
      <c r="J526" s="12">
        <f t="shared" si="64"/>
        <v>0.79999999999999993</v>
      </c>
      <c r="K526" s="12">
        <f t="shared" si="65"/>
        <v>0.6</v>
      </c>
      <c r="L526" s="78"/>
      <c r="M526" s="78"/>
      <c r="N526" s="78"/>
      <c r="O526" s="36"/>
      <c r="P526" s="24" t="str">
        <f t="shared" si="66"/>
        <v xml:space="preserve"> </v>
      </c>
      <c r="Q526" s="25" t="str">
        <f t="shared" si="66"/>
        <v xml:space="preserve"> </v>
      </c>
      <c r="R526" s="25" t="str">
        <f t="shared" si="66"/>
        <v xml:space="preserve"> </v>
      </c>
      <c r="S526" s="26" t="str">
        <f t="shared" si="56"/>
        <v xml:space="preserve"> </v>
      </c>
      <c r="T526" s="7" t="str">
        <f t="shared" si="57"/>
        <v xml:space="preserve"> </v>
      </c>
      <c r="U526" s="8" t="str">
        <f t="shared" si="58"/>
        <v xml:space="preserve"> </v>
      </c>
      <c r="V526" s="9" t="str">
        <f t="shared" si="59"/>
        <v xml:space="preserve"> </v>
      </c>
      <c r="W526" s="9" t="str">
        <f t="shared" si="60"/>
        <v/>
      </c>
      <c r="X526" s="32"/>
      <c r="Y526" s="36"/>
    </row>
    <row r="527" spans="1:25" s="4" customFormat="1" ht="18" customHeight="1">
      <c r="A527" s="36"/>
      <c r="B527" s="69">
        <v>146.03</v>
      </c>
      <c r="C527" s="69" t="s">
        <v>813</v>
      </c>
      <c r="D527" s="31" t="s">
        <v>810</v>
      </c>
      <c r="E527" s="29" t="s">
        <v>34</v>
      </c>
      <c r="F527" s="28">
        <v>0.7</v>
      </c>
      <c r="G527" s="29">
        <v>0.1</v>
      </c>
      <c r="H527" s="29">
        <v>-0.1</v>
      </c>
      <c r="I527" s="30" t="s">
        <v>39</v>
      </c>
      <c r="J527" s="12">
        <f t="shared" si="64"/>
        <v>0.79999999999999993</v>
      </c>
      <c r="K527" s="12">
        <f t="shared" si="65"/>
        <v>0.6</v>
      </c>
      <c r="L527" s="78"/>
      <c r="M527" s="78"/>
      <c r="N527" s="78"/>
      <c r="O527" s="36"/>
      <c r="P527" s="24" t="str">
        <f t="shared" si="66"/>
        <v xml:space="preserve"> </v>
      </c>
      <c r="Q527" s="25" t="str">
        <f t="shared" si="66"/>
        <v xml:space="preserve"> </v>
      </c>
      <c r="R527" s="25" t="str">
        <f t="shared" si="66"/>
        <v xml:space="preserve"> </v>
      </c>
      <c r="S527" s="26" t="str">
        <f t="shared" si="56"/>
        <v xml:space="preserve"> </v>
      </c>
      <c r="T527" s="7" t="str">
        <f t="shared" si="57"/>
        <v xml:space="preserve"> </v>
      </c>
      <c r="U527" s="8" t="str">
        <f t="shared" si="58"/>
        <v xml:space="preserve"> </v>
      </c>
      <c r="V527" s="9" t="str">
        <f t="shared" si="59"/>
        <v xml:space="preserve"> </v>
      </c>
      <c r="W527" s="9" t="str">
        <f t="shared" si="60"/>
        <v/>
      </c>
      <c r="X527" s="32"/>
      <c r="Y527" s="36"/>
    </row>
    <row r="528" spans="1:25" s="4" customFormat="1" ht="18" customHeight="1">
      <c r="A528" s="36"/>
      <c r="B528" s="69">
        <v>146.04</v>
      </c>
      <c r="C528" s="69" t="s">
        <v>814</v>
      </c>
      <c r="D528" s="31" t="s">
        <v>810</v>
      </c>
      <c r="E528" s="29" t="s">
        <v>34</v>
      </c>
      <c r="F528" s="28">
        <v>0.7</v>
      </c>
      <c r="G528" s="29">
        <v>0.1</v>
      </c>
      <c r="H528" s="29"/>
      <c r="I528" s="30" t="s">
        <v>39</v>
      </c>
      <c r="J528" s="12">
        <f t="shared" si="64"/>
        <v>0.79999999999999993</v>
      </c>
      <c r="K528" s="12">
        <f t="shared" si="65"/>
        <v>0.7</v>
      </c>
      <c r="L528" s="78"/>
      <c r="M528" s="78"/>
      <c r="N528" s="78"/>
      <c r="O528" s="36"/>
      <c r="P528" s="24" t="str">
        <f t="shared" si="66"/>
        <v xml:space="preserve"> </v>
      </c>
      <c r="Q528" s="25" t="str">
        <f t="shared" si="66"/>
        <v xml:space="preserve"> </v>
      </c>
      <c r="R528" s="25" t="str">
        <f t="shared" si="66"/>
        <v xml:space="preserve"> </v>
      </c>
      <c r="S528" s="26" t="str">
        <f t="shared" si="56"/>
        <v xml:space="preserve"> </v>
      </c>
      <c r="T528" s="7" t="str">
        <f t="shared" si="57"/>
        <v xml:space="preserve"> </v>
      </c>
      <c r="U528" s="8" t="str">
        <f t="shared" si="58"/>
        <v xml:space="preserve"> </v>
      </c>
      <c r="V528" s="9" t="str">
        <f t="shared" si="59"/>
        <v xml:space="preserve"> </v>
      </c>
      <c r="W528" s="9" t="str">
        <f t="shared" si="60"/>
        <v/>
      </c>
      <c r="X528" s="32"/>
      <c r="Y528" s="36"/>
    </row>
    <row r="529" spans="1:25" s="4" customFormat="1" ht="18" customHeight="1">
      <c r="A529" s="36"/>
      <c r="B529" s="69">
        <v>146.05000000000001</v>
      </c>
      <c r="C529" s="69" t="s">
        <v>815</v>
      </c>
      <c r="D529" s="31" t="s">
        <v>810</v>
      </c>
      <c r="E529" s="29" t="s">
        <v>34</v>
      </c>
      <c r="F529" s="28">
        <v>0.7</v>
      </c>
      <c r="G529" s="29">
        <v>0.1</v>
      </c>
      <c r="H529" s="29"/>
      <c r="I529" s="30" t="s">
        <v>39</v>
      </c>
      <c r="J529" s="12">
        <f t="shared" si="64"/>
        <v>0.79999999999999993</v>
      </c>
      <c r="K529" s="12">
        <f t="shared" si="65"/>
        <v>0.7</v>
      </c>
      <c r="L529" s="78"/>
      <c r="M529" s="78"/>
      <c r="N529" s="78"/>
      <c r="O529" s="36"/>
      <c r="P529" s="24" t="str">
        <f t="shared" si="66"/>
        <v xml:space="preserve"> </v>
      </c>
      <c r="Q529" s="25" t="str">
        <f t="shared" si="66"/>
        <v xml:space="preserve"> </v>
      </c>
      <c r="R529" s="25" t="str">
        <f t="shared" si="66"/>
        <v xml:space="preserve"> </v>
      </c>
      <c r="S529" s="26" t="str">
        <f t="shared" si="56"/>
        <v xml:space="preserve"> </v>
      </c>
      <c r="T529" s="7" t="str">
        <f t="shared" si="57"/>
        <v xml:space="preserve"> </v>
      </c>
      <c r="U529" s="8" t="str">
        <f t="shared" si="58"/>
        <v xml:space="preserve"> </v>
      </c>
      <c r="V529" s="9" t="str">
        <f t="shared" si="59"/>
        <v xml:space="preserve"> </v>
      </c>
      <c r="W529" s="9" t="str">
        <f t="shared" si="60"/>
        <v/>
      </c>
      <c r="X529" s="32"/>
      <c r="Y529" s="36"/>
    </row>
    <row r="530" spans="1:25" s="4" customFormat="1" ht="18" customHeight="1">
      <c r="A530" s="36"/>
      <c r="B530" s="69">
        <v>146.06</v>
      </c>
      <c r="C530" s="69" t="s">
        <v>816</v>
      </c>
      <c r="D530" s="31" t="s">
        <v>810</v>
      </c>
      <c r="E530" s="29" t="s">
        <v>34</v>
      </c>
      <c r="F530" s="28">
        <v>0.7</v>
      </c>
      <c r="G530" s="29">
        <v>0.1</v>
      </c>
      <c r="H530" s="29"/>
      <c r="I530" s="30" t="s">
        <v>39</v>
      </c>
      <c r="J530" s="12">
        <f t="shared" si="64"/>
        <v>0.79999999999999993</v>
      </c>
      <c r="K530" s="12">
        <f t="shared" si="65"/>
        <v>0.7</v>
      </c>
      <c r="L530" s="78"/>
      <c r="M530" s="78"/>
      <c r="N530" s="78"/>
      <c r="O530" s="36"/>
      <c r="P530" s="24" t="str">
        <f t="shared" si="66"/>
        <v xml:space="preserve"> </v>
      </c>
      <c r="Q530" s="25" t="str">
        <f t="shared" si="66"/>
        <v xml:space="preserve"> </v>
      </c>
      <c r="R530" s="25" t="str">
        <f t="shared" si="66"/>
        <v xml:space="preserve"> </v>
      </c>
      <c r="S530" s="26" t="str">
        <f t="shared" si="56"/>
        <v xml:space="preserve"> </v>
      </c>
      <c r="T530" s="7" t="str">
        <f t="shared" si="57"/>
        <v xml:space="preserve"> </v>
      </c>
      <c r="U530" s="8" t="str">
        <f t="shared" si="58"/>
        <v xml:space="preserve"> </v>
      </c>
      <c r="V530" s="9" t="str">
        <f t="shared" si="59"/>
        <v xml:space="preserve"> </v>
      </c>
      <c r="W530" s="9" t="str">
        <f t="shared" si="60"/>
        <v/>
      </c>
      <c r="X530" s="32"/>
      <c r="Y530" s="36"/>
    </row>
    <row r="531" spans="1:25" s="4" customFormat="1" ht="18" customHeight="1">
      <c r="A531" s="36"/>
      <c r="B531" s="69">
        <v>146.07</v>
      </c>
      <c r="C531" s="69" t="s">
        <v>817</v>
      </c>
      <c r="D531" s="31" t="s">
        <v>810</v>
      </c>
      <c r="E531" s="29" t="s">
        <v>34</v>
      </c>
      <c r="F531" s="28">
        <v>0.7</v>
      </c>
      <c r="G531" s="29">
        <v>0.1</v>
      </c>
      <c r="H531" s="29">
        <v>-0.1</v>
      </c>
      <c r="I531" s="30" t="s">
        <v>39</v>
      </c>
      <c r="J531" s="12">
        <f t="shared" ref="J531:J565" si="67">IF(AND(F531="",G531=""),"",IF(F531="",G531,F531+G531))</f>
        <v>0.79999999999999993</v>
      </c>
      <c r="K531" s="12">
        <f t="shared" ref="K531:K565" si="68">IF(AND(F531="",H531=""),"",IF(F531="",H531,F531+H531))</f>
        <v>0.6</v>
      </c>
      <c r="L531" s="78"/>
      <c r="M531" s="78"/>
      <c r="N531" s="78"/>
      <c r="O531" s="36"/>
      <c r="P531" s="24" t="str">
        <f t="shared" si="66"/>
        <v xml:space="preserve"> </v>
      </c>
      <c r="Q531" s="25" t="str">
        <f t="shared" si="66"/>
        <v xml:space="preserve"> </v>
      </c>
      <c r="R531" s="25" t="str">
        <f t="shared" si="66"/>
        <v xml:space="preserve"> </v>
      </c>
      <c r="S531" s="26" t="str">
        <f t="shared" si="56"/>
        <v xml:space="preserve"> </v>
      </c>
      <c r="T531" s="7" t="str">
        <f t="shared" si="57"/>
        <v xml:space="preserve"> </v>
      </c>
      <c r="U531" s="8" t="str">
        <f t="shared" si="58"/>
        <v xml:space="preserve"> </v>
      </c>
      <c r="V531" s="9" t="str">
        <f t="shared" si="59"/>
        <v xml:space="preserve"> </v>
      </c>
      <c r="W531" s="9" t="str">
        <f t="shared" si="60"/>
        <v/>
      </c>
      <c r="X531" s="32"/>
      <c r="Y531" s="36"/>
    </row>
    <row r="532" spans="1:25" s="4" customFormat="1" ht="18" customHeight="1">
      <c r="A532" s="36"/>
      <c r="B532" s="69">
        <v>146.09</v>
      </c>
      <c r="C532" s="69" t="s">
        <v>818</v>
      </c>
      <c r="D532" s="31" t="s">
        <v>810</v>
      </c>
      <c r="E532" s="29" t="s">
        <v>34</v>
      </c>
      <c r="F532" s="28">
        <v>0.7</v>
      </c>
      <c r="G532" s="29">
        <v>0.1</v>
      </c>
      <c r="H532" s="29">
        <v>-0.1</v>
      </c>
      <c r="I532" s="30" t="s">
        <v>39</v>
      </c>
      <c r="J532" s="12">
        <f t="shared" si="67"/>
        <v>0.79999999999999993</v>
      </c>
      <c r="K532" s="12">
        <f t="shared" si="68"/>
        <v>0.6</v>
      </c>
      <c r="L532" s="78"/>
      <c r="M532" s="78"/>
      <c r="N532" s="78"/>
      <c r="O532" s="36"/>
      <c r="P532" s="24" t="str">
        <f t="shared" si="66"/>
        <v xml:space="preserve"> </v>
      </c>
      <c r="Q532" s="25" t="str">
        <f t="shared" si="66"/>
        <v xml:space="preserve"> </v>
      </c>
      <c r="R532" s="25" t="str">
        <f t="shared" si="66"/>
        <v xml:space="preserve"> </v>
      </c>
      <c r="S532" s="26" t="str">
        <f t="shared" si="56"/>
        <v xml:space="preserve"> </v>
      </c>
      <c r="T532" s="7" t="str">
        <f t="shared" si="57"/>
        <v xml:space="preserve"> </v>
      </c>
      <c r="U532" s="8" t="str">
        <f t="shared" si="58"/>
        <v xml:space="preserve"> </v>
      </c>
      <c r="V532" s="9" t="str">
        <f t="shared" si="59"/>
        <v xml:space="preserve"> </v>
      </c>
      <c r="W532" s="9" t="str">
        <f t="shared" si="60"/>
        <v/>
      </c>
      <c r="X532" s="32"/>
      <c r="Y532" s="36"/>
    </row>
    <row r="533" spans="1:25" s="4" customFormat="1" ht="18" customHeight="1">
      <c r="A533" s="36"/>
      <c r="B533" s="69" t="s">
        <v>946</v>
      </c>
      <c r="C533" s="69" t="s">
        <v>819</v>
      </c>
      <c r="D533" s="31" t="s">
        <v>810</v>
      </c>
      <c r="E533" s="29" t="s">
        <v>34</v>
      </c>
      <c r="F533" s="28">
        <v>0.7</v>
      </c>
      <c r="G533" s="29">
        <v>0.1</v>
      </c>
      <c r="H533" s="29">
        <v>-0.1</v>
      </c>
      <c r="I533" s="30" t="s">
        <v>39</v>
      </c>
      <c r="J533" s="12">
        <f t="shared" si="67"/>
        <v>0.79999999999999993</v>
      </c>
      <c r="K533" s="12">
        <f t="shared" si="68"/>
        <v>0.6</v>
      </c>
      <c r="L533" s="78"/>
      <c r="M533" s="78"/>
      <c r="N533" s="78"/>
      <c r="O533" s="36"/>
      <c r="P533" s="24" t="str">
        <f t="shared" si="66"/>
        <v xml:space="preserve"> </v>
      </c>
      <c r="Q533" s="25" t="str">
        <f t="shared" si="66"/>
        <v xml:space="preserve"> </v>
      </c>
      <c r="R533" s="25" t="str">
        <f t="shared" si="66"/>
        <v xml:space="preserve"> </v>
      </c>
      <c r="S533" s="26" t="str">
        <f t="shared" si="56"/>
        <v xml:space="preserve"> </v>
      </c>
      <c r="T533" s="7" t="str">
        <f t="shared" si="57"/>
        <v xml:space="preserve"> </v>
      </c>
      <c r="U533" s="8" t="str">
        <f t="shared" si="58"/>
        <v xml:space="preserve"> </v>
      </c>
      <c r="V533" s="9" t="str">
        <f t="shared" si="59"/>
        <v xml:space="preserve"> </v>
      </c>
      <c r="W533" s="9" t="str">
        <f t="shared" si="60"/>
        <v/>
      </c>
      <c r="X533" s="32"/>
      <c r="Y533" s="36"/>
    </row>
    <row r="534" spans="1:25" s="4" customFormat="1" ht="18" customHeight="1">
      <c r="A534" s="36"/>
      <c r="B534" s="69">
        <v>146.11000000000001</v>
      </c>
      <c r="C534" s="69" t="s">
        <v>820</v>
      </c>
      <c r="D534" s="31" t="s">
        <v>810</v>
      </c>
      <c r="E534" s="29" t="s">
        <v>34</v>
      </c>
      <c r="F534" s="28">
        <v>0.7</v>
      </c>
      <c r="G534" s="29">
        <v>0.1</v>
      </c>
      <c r="H534" s="29">
        <v>-0.1</v>
      </c>
      <c r="I534" s="30" t="s">
        <v>39</v>
      </c>
      <c r="J534" s="12">
        <f t="shared" si="67"/>
        <v>0.79999999999999993</v>
      </c>
      <c r="K534" s="12">
        <f t="shared" si="68"/>
        <v>0.6</v>
      </c>
      <c r="L534" s="78"/>
      <c r="M534" s="78"/>
      <c r="N534" s="78"/>
      <c r="O534" s="36"/>
      <c r="P534" s="24" t="str">
        <f t="shared" si="66"/>
        <v xml:space="preserve"> </v>
      </c>
      <c r="Q534" s="25" t="str">
        <f t="shared" si="66"/>
        <v xml:space="preserve"> </v>
      </c>
      <c r="R534" s="25" t="str">
        <f t="shared" si="66"/>
        <v xml:space="preserve"> </v>
      </c>
      <c r="S534" s="26" t="str">
        <f t="shared" si="56"/>
        <v xml:space="preserve"> </v>
      </c>
      <c r="T534" s="7" t="str">
        <f t="shared" si="57"/>
        <v xml:space="preserve"> </v>
      </c>
      <c r="U534" s="8" t="str">
        <f t="shared" si="58"/>
        <v xml:space="preserve"> </v>
      </c>
      <c r="V534" s="9" t="str">
        <f t="shared" si="59"/>
        <v xml:space="preserve"> </v>
      </c>
      <c r="W534" s="9" t="str">
        <f t="shared" si="60"/>
        <v/>
      </c>
      <c r="X534" s="32"/>
      <c r="Y534" s="36"/>
    </row>
    <row r="535" spans="1:25" s="4" customFormat="1" ht="18" customHeight="1">
      <c r="A535" s="36"/>
      <c r="B535" s="69">
        <v>146.12</v>
      </c>
      <c r="C535" s="69" t="s">
        <v>821</v>
      </c>
      <c r="D535" s="31" t="s">
        <v>810</v>
      </c>
      <c r="E535" s="29" t="s">
        <v>34</v>
      </c>
      <c r="F535" s="28">
        <v>0.7</v>
      </c>
      <c r="G535" s="29">
        <v>0.1</v>
      </c>
      <c r="H535" s="29">
        <v>-0.1</v>
      </c>
      <c r="I535" s="30" t="s">
        <v>39</v>
      </c>
      <c r="J535" s="12">
        <f t="shared" si="67"/>
        <v>0.79999999999999993</v>
      </c>
      <c r="K535" s="12">
        <f t="shared" si="68"/>
        <v>0.6</v>
      </c>
      <c r="L535" s="78"/>
      <c r="M535" s="78"/>
      <c r="N535" s="78"/>
      <c r="O535" s="36"/>
      <c r="P535" s="24" t="str">
        <f t="shared" si="66"/>
        <v xml:space="preserve"> </v>
      </c>
      <c r="Q535" s="25" t="str">
        <f t="shared" si="66"/>
        <v xml:space="preserve"> </v>
      </c>
      <c r="R535" s="25" t="str">
        <f t="shared" si="66"/>
        <v xml:space="preserve"> </v>
      </c>
      <c r="S535" s="26" t="str">
        <f t="shared" si="56"/>
        <v xml:space="preserve"> </v>
      </c>
      <c r="T535" s="7" t="str">
        <f t="shared" si="57"/>
        <v xml:space="preserve"> </v>
      </c>
      <c r="U535" s="8" t="str">
        <f t="shared" si="58"/>
        <v xml:space="preserve"> </v>
      </c>
      <c r="V535" s="9" t="str">
        <f t="shared" si="59"/>
        <v xml:space="preserve"> </v>
      </c>
      <c r="W535" s="9" t="str">
        <f t="shared" si="60"/>
        <v/>
      </c>
      <c r="X535" s="32"/>
      <c r="Y535" s="36"/>
    </row>
    <row r="536" spans="1:25" s="4" customFormat="1" ht="18" customHeight="1">
      <c r="A536" s="36"/>
      <c r="B536" s="69">
        <v>146.13</v>
      </c>
      <c r="C536" s="69" t="s">
        <v>822</v>
      </c>
      <c r="D536" s="31" t="s">
        <v>810</v>
      </c>
      <c r="E536" s="29" t="s">
        <v>34</v>
      </c>
      <c r="F536" s="28">
        <v>0.7</v>
      </c>
      <c r="G536" s="29">
        <v>0.1</v>
      </c>
      <c r="H536" s="29">
        <v>-0.1</v>
      </c>
      <c r="I536" s="30" t="s">
        <v>39</v>
      </c>
      <c r="J536" s="12">
        <f t="shared" si="67"/>
        <v>0.79999999999999993</v>
      </c>
      <c r="K536" s="12">
        <f t="shared" si="68"/>
        <v>0.6</v>
      </c>
      <c r="L536" s="78"/>
      <c r="M536" s="78"/>
      <c r="N536" s="78"/>
      <c r="O536" s="36"/>
      <c r="P536" s="24" t="str">
        <f t="shared" si="66"/>
        <v xml:space="preserve"> </v>
      </c>
      <c r="Q536" s="25" t="str">
        <f t="shared" si="66"/>
        <v xml:space="preserve"> </v>
      </c>
      <c r="R536" s="25" t="str">
        <f t="shared" si="66"/>
        <v xml:space="preserve"> </v>
      </c>
      <c r="S536" s="26" t="str">
        <f t="shared" si="56"/>
        <v xml:space="preserve"> </v>
      </c>
      <c r="T536" s="7" t="str">
        <f t="shared" si="57"/>
        <v xml:space="preserve"> </v>
      </c>
      <c r="U536" s="8" t="str">
        <f t="shared" si="58"/>
        <v xml:space="preserve"> </v>
      </c>
      <c r="V536" s="9" t="str">
        <f t="shared" si="59"/>
        <v xml:space="preserve"> </v>
      </c>
      <c r="W536" s="9" t="str">
        <f t="shared" si="60"/>
        <v/>
      </c>
      <c r="X536" s="32"/>
      <c r="Y536" s="36"/>
    </row>
    <row r="537" spans="1:25" s="4" customFormat="1" ht="18" customHeight="1">
      <c r="A537" s="36"/>
      <c r="B537" s="69">
        <v>146.13999999999999</v>
      </c>
      <c r="C537" s="69" t="s">
        <v>823</v>
      </c>
      <c r="D537" s="31" t="s">
        <v>810</v>
      </c>
      <c r="E537" s="29" t="s">
        <v>34</v>
      </c>
      <c r="F537" s="28">
        <v>0.7</v>
      </c>
      <c r="G537" s="29">
        <v>0.1</v>
      </c>
      <c r="H537" s="29">
        <v>-0.1</v>
      </c>
      <c r="I537" s="30" t="s">
        <v>39</v>
      </c>
      <c r="J537" s="12">
        <f t="shared" si="67"/>
        <v>0.79999999999999993</v>
      </c>
      <c r="K537" s="12">
        <f t="shared" si="68"/>
        <v>0.6</v>
      </c>
      <c r="L537" s="78"/>
      <c r="M537" s="78"/>
      <c r="N537" s="78"/>
      <c r="O537" s="36"/>
      <c r="P537" s="24" t="str">
        <f t="shared" si="66"/>
        <v xml:space="preserve"> </v>
      </c>
      <c r="Q537" s="25" t="str">
        <f t="shared" si="66"/>
        <v xml:space="preserve"> </v>
      </c>
      <c r="R537" s="25" t="str">
        <f t="shared" si="66"/>
        <v xml:space="preserve"> </v>
      </c>
      <c r="S537" s="26" t="str">
        <f t="shared" si="56"/>
        <v xml:space="preserve"> </v>
      </c>
      <c r="T537" s="7" t="str">
        <f t="shared" si="57"/>
        <v xml:space="preserve"> </v>
      </c>
      <c r="U537" s="8" t="str">
        <f t="shared" si="58"/>
        <v xml:space="preserve"> </v>
      </c>
      <c r="V537" s="9" t="str">
        <f t="shared" si="59"/>
        <v xml:space="preserve"> </v>
      </c>
      <c r="W537" s="9" t="str">
        <f t="shared" si="60"/>
        <v/>
      </c>
      <c r="X537" s="32"/>
      <c r="Y537" s="36"/>
    </row>
    <row r="538" spans="1:25" s="4" customFormat="1" ht="18" customHeight="1">
      <c r="A538" s="36"/>
      <c r="B538" s="69">
        <v>146.15</v>
      </c>
      <c r="C538" s="69" t="s">
        <v>824</v>
      </c>
      <c r="D538" s="31" t="s">
        <v>810</v>
      </c>
      <c r="E538" s="29" t="s">
        <v>34</v>
      </c>
      <c r="F538" s="28">
        <v>0.7</v>
      </c>
      <c r="G538" s="29">
        <v>0.1</v>
      </c>
      <c r="H538" s="29">
        <v>-0.1</v>
      </c>
      <c r="I538" s="30" t="s">
        <v>39</v>
      </c>
      <c r="J538" s="12">
        <f t="shared" si="67"/>
        <v>0.79999999999999993</v>
      </c>
      <c r="K538" s="12">
        <f t="shared" si="68"/>
        <v>0.6</v>
      </c>
      <c r="L538" s="78"/>
      <c r="M538" s="78"/>
      <c r="N538" s="78"/>
      <c r="O538" s="36"/>
      <c r="P538" s="24" t="str">
        <f t="shared" si="66"/>
        <v xml:space="preserve"> </v>
      </c>
      <c r="Q538" s="25" t="str">
        <f t="shared" si="66"/>
        <v xml:space="preserve"> </v>
      </c>
      <c r="R538" s="25" t="str">
        <f t="shared" si="66"/>
        <v xml:space="preserve"> </v>
      </c>
      <c r="S538" s="26" t="str">
        <f t="shared" si="56"/>
        <v xml:space="preserve"> </v>
      </c>
      <c r="T538" s="7" t="str">
        <f t="shared" si="57"/>
        <v xml:space="preserve"> </v>
      </c>
      <c r="U538" s="8" t="str">
        <f t="shared" si="58"/>
        <v xml:space="preserve"> </v>
      </c>
      <c r="V538" s="9" t="str">
        <f t="shared" si="59"/>
        <v xml:space="preserve"> </v>
      </c>
      <c r="W538" s="9" t="str">
        <f t="shared" si="60"/>
        <v/>
      </c>
      <c r="X538" s="32"/>
      <c r="Y538" s="36"/>
    </row>
    <row r="539" spans="1:25" s="4" customFormat="1" ht="18" customHeight="1">
      <c r="A539" s="36"/>
      <c r="B539" s="69">
        <v>147.01</v>
      </c>
      <c r="C539" s="69" t="s">
        <v>825</v>
      </c>
      <c r="D539" s="31" t="s">
        <v>827</v>
      </c>
      <c r="E539" s="29" t="s">
        <v>34</v>
      </c>
      <c r="F539" s="28">
        <v>0.6</v>
      </c>
      <c r="G539" s="29">
        <v>0.1</v>
      </c>
      <c r="H539" s="29">
        <v>-0.1</v>
      </c>
      <c r="I539" s="30" t="s">
        <v>39</v>
      </c>
      <c r="J539" s="12">
        <f t="shared" si="67"/>
        <v>0.7</v>
      </c>
      <c r="K539" s="12">
        <f t="shared" si="68"/>
        <v>0.5</v>
      </c>
      <c r="L539" s="78"/>
      <c r="M539" s="78"/>
      <c r="N539" s="78"/>
      <c r="O539" s="36"/>
      <c r="P539" s="24" t="str">
        <f t="shared" si="66"/>
        <v xml:space="preserve"> </v>
      </c>
      <c r="Q539" s="25" t="str">
        <f t="shared" si="66"/>
        <v xml:space="preserve"> </v>
      </c>
      <c r="R539" s="25" t="str">
        <f t="shared" si="66"/>
        <v xml:space="preserve"> </v>
      </c>
      <c r="S539" s="26" t="str">
        <f t="shared" si="56"/>
        <v xml:space="preserve"> </v>
      </c>
      <c r="T539" s="7" t="str">
        <f t="shared" si="57"/>
        <v xml:space="preserve"> </v>
      </c>
      <c r="U539" s="8" t="str">
        <f t="shared" si="58"/>
        <v xml:space="preserve"> </v>
      </c>
      <c r="V539" s="9" t="str">
        <f t="shared" si="59"/>
        <v xml:space="preserve"> </v>
      </c>
      <c r="W539" s="9" t="str">
        <f t="shared" si="60"/>
        <v/>
      </c>
      <c r="X539" s="32"/>
      <c r="Y539" s="36"/>
    </row>
    <row r="540" spans="1:25" s="4" customFormat="1" ht="18" customHeight="1">
      <c r="A540" s="36"/>
      <c r="B540" s="69">
        <v>147.02000000000001</v>
      </c>
      <c r="C540" s="69" t="s">
        <v>826</v>
      </c>
      <c r="D540" s="31" t="s">
        <v>827</v>
      </c>
      <c r="E540" s="29" t="s">
        <v>34</v>
      </c>
      <c r="F540" s="28">
        <v>0.6</v>
      </c>
      <c r="G540" s="29">
        <v>0.1</v>
      </c>
      <c r="H540" s="29">
        <v>-0.1</v>
      </c>
      <c r="I540" s="30" t="s">
        <v>39</v>
      </c>
      <c r="J540" s="12">
        <f t="shared" si="67"/>
        <v>0.7</v>
      </c>
      <c r="K540" s="12">
        <f t="shared" si="68"/>
        <v>0.5</v>
      </c>
      <c r="L540" s="78"/>
      <c r="M540" s="78"/>
      <c r="N540" s="78"/>
      <c r="O540" s="36"/>
      <c r="P540" s="24" t="str">
        <f t="shared" si="66"/>
        <v xml:space="preserve"> </v>
      </c>
      <c r="Q540" s="25" t="str">
        <f t="shared" si="66"/>
        <v xml:space="preserve"> </v>
      </c>
      <c r="R540" s="25" t="str">
        <f t="shared" si="66"/>
        <v xml:space="preserve"> </v>
      </c>
      <c r="S540" s="26" t="str">
        <f t="shared" si="56"/>
        <v xml:space="preserve"> </v>
      </c>
      <c r="T540" s="7" t="str">
        <f t="shared" si="57"/>
        <v xml:space="preserve"> </v>
      </c>
      <c r="U540" s="8" t="str">
        <f t="shared" si="58"/>
        <v xml:space="preserve"> </v>
      </c>
      <c r="V540" s="9" t="str">
        <f t="shared" si="59"/>
        <v xml:space="preserve"> </v>
      </c>
      <c r="W540" s="9" t="str">
        <f t="shared" si="60"/>
        <v/>
      </c>
      <c r="X540" s="32"/>
      <c r="Y540" s="36"/>
    </row>
    <row r="541" spans="1:25" s="4" customFormat="1" ht="18" customHeight="1">
      <c r="A541" s="36"/>
      <c r="B541" s="69">
        <v>148.01</v>
      </c>
      <c r="C541" s="69" t="s">
        <v>829</v>
      </c>
      <c r="D541" s="31" t="s">
        <v>828</v>
      </c>
      <c r="E541" s="29" t="s">
        <v>34</v>
      </c>
      <c r="F541" s="28">
        <v>45.14</v>
      </c>
      <c r="G541" s="29">
        <v>0.1</v>
      </c>
      <c r="H541" s="29">
        <v>-0.1</v>
      </c>
      <c r="I541" s="30" t="s">
        <v>39</v>
      </c>
      <c r="J541" s="12">
        <f t="shared" si="67"/>
        <v>45.24</v>
      </c>
      <c r="K541" s="12">
        <f t="shared" si="68"/>
        <v>45.04</v>
      </c>
      <c r="L541" s="78"/>
      <c r="M541" s="78"/>
      <c r="N541" s="78"/>
      <c r="O541" s="36"/>
      <c r="P541" s="24" t="str">
        <f t="shared" si="66"/>
        <v xml:space="preserve"> </v>
      </c>
      <c r="Q541" s="25" t="str">
        <f t="shared" si="66"/>
        <v xml:space="preserve"> </v>
      </c>
      <c r="R541" s="25" t="str">
        <f t="shared" si="66"/>
        <v xml:space="preserve"> </v>
      </c>
      <c r="S541" s="26" t="str">
        <f t="shared" si="56"/>
        <v xml:space="preserve"> </v>
      </c>
      <c r="T541" s="7" t="str">
        <f t="shared" si="57"/>
        <v xml:space="preserve"> </v>
      </c>
      <c r="U541" s="8" t="str">
        <f t="shared" si="58"/>
        <v xml:space="preserve"> </v>
      </c>
      <c r="V541" s="9" t="str">
        <f t="shared" si="59"/>
        <v xml:space="preserve"> </v>
      </c>
      <c r="W541" s="9" t="str">
        <f t="shared" si="60"/>
        <v/>
      </c>
      <c r="X541" s="32"/>
      <c r="Y541" s="36"/>
    </row>
    <row r="542" spans="1:25" s="4" customFormat="1" ht="18" customHeight="1">
      <c r="A542" s="36"/>
      <c r="B542" s="69">
        <v>148.02000000000001</v>
      </c>
      <c r="C542" s="69" t="s">
        <v>830</v>
      </c>
      <c r="D542" s="31" t="s">
        <v>828</v>
      </c>
      <c r="E542" s="29" t="s">
        <v>34</v>
      </c>
      <c r="F542" s="28">
        <v>45.14</v>
      </c>
      <c r="G542" s="29">
        <v>0.1</v>
      </c>
      <c r="H542" s="29">
        <v>-0.1</v>
      </c>
      <c r="I542" s="30" t="s">
        <v>39</v>
      </c>
      <c r="J542" s="12">
        <f t="shared" si="67"/>
        <v>45.24</v>
      </c>
      <c r="K542" s="12">
        <f t="shared" si="68"/>
        <v>45.04</v>
      </c>
      <c r="L542" s="78"/>
      <c r="M542" s="78"/>
      <c r="N542" s="78"/>
      <c r="O542" s="36"/>
      <c r="P542" s="24" t="str">
        <f t="shared" si="66"/>
        <v xml:space="preserve"> </v>
      </c>
      <c r="Q542" s="25" t="str">
        <f t="shared" si="66"/>
        <v xml:space="preserve"> </v>
      </c>
      <c r="R542" s="25" t="str">
        <f t="shared" si="66"/>
        <v xml:space="preserve"> </v>
      </c>
      <c r="S542" s="26" t="str">
        <f t="shared" si="56"/>
        <v xml:space="preserve"> </v>
      </c>
      <c r="T542" s="7" t="str">
        <f t="shared" si="57"/>
        <v xml:space="preserve"> </v>
      </c>
      <c r="U542" s="8" t="str">
        <f t="shared" si="58"/>
        <v xml:space="preserve"> </v>
      </c>
      <c r="V542" s="9" t="str">
        <f t="shared" si="59"/>
        <v xml:space="preserve"> </v>
      </c>
      <c r="W542" s="9" t="str">
        <f t="shared" si="60"/>
        <v/>
      </c>
      <c r="X542" s="32"/>
      <c r="Y542" s="36"/>
    </row>
    <row r="543" spans="1:25" s="4" customFormat="1" ht="18" customHeight="1">
      <c r="A543" s="36"/>
      <c r="B543" s="69">
        <v>148.03</v>
      </c>
      <c r="C543" s="69" t="s">
        <v>831</v>
      </c>
      <c r="D543" s="31" t="s">
        <v>828</v>
      </c>
      <c r="E543" s="29" t="s">
        <v>34</v>
      </c>
      <c r="F543" s="28">
        <v>45.14</v>
      </c>
      <c r="G543" s="29">
        <v>0.1</v>
      </c>
      <c r="H543" s="29">
        <v>-0.1</v>
      </c>
      <c r="I543" s="30" t="s">
        <v>39</v>
      </c>
      <c r="J543" s="12">
        <f t="shared" si="67"/>
        <v>45.24</v>
      </c>
      <c r="K543" s="12">
        <f t="shared" si="68"/>
        <v>45.04</v>
      </c>
      <c r="L543" s="78"/>
      <c r="M543" s="78"/>
      <c r="N543" s="78"/>
      <c r="O543" s="36"/>
      <c r="P543" s="24" t="str">
        <f t="shared" si="66"/>
        <v xml:space="preserve"> </v>
      </c>
      <c r="Q543" s="25" t="str">
        <f t="shared" si="66"/>
        <v xml:space="preserve"> </v>
      </c>
      <c r="R543" s="25" t="str">
        <f t="shared" si="66"/>
        <v xml:space="preserve"> </v>
      </c>
      <c r="S543" s="26" t="str">
        <f t="shared" si="56"/>
        <v xml:space="preserve"> </v>
      </c>
      <c r="T543" s="7" t="str">
        <f t="shared" si="57"/>
        <v xml:space="preserve"> </v>
      </c>
      <c r="U543" s="8" t="str">
        <f t="shared" si="58"/>
        <v xml:space="preserve"> </v>
      </c>
      <c r="V543" s="9" t="str">
        <f t="shared" si="59"/>
        <v xml:space="preserve"> </v>
      </c>
      <c r="W543" s="9" t="str">
        <f t="shared" si="60"/>
        <v/>
      </c>
      <c r="X543" s="32"/>
      <c r="Y543" s="36"/>
    </row>
    <row r="544" spans="1:25" s="4" customFormat="1" ht="18" customHeight="1">
      <c r="A544" s="36"/>
      <c r="B544" s="69">
        <v>149.01</v>
      </c>
      <c r="C544" s="69" t="s">
        <v>832</v>
      </c>
      <c r="D544" s="31" t="s">
        <v>828</v>
      </c>
      <c r="E544" s="29" t="s">
        <v>36</v>
      </c>
      <c r="F544" s="28"/>
      <c r="G544" s="29">
        <v>0.1</v>
      </c>
      <c r="H544" s="29"/>
      <c r="I544" s="30" t="s">
        <v>39</v>
      </c>
      <c r="J544" s="12">
        <f t="shared" si="67"/>
        <v>0.1</v>
      </c>
      <c r="K544" s="12" t="str">
        <f t="shared" si="68"/>
        <v/>
      </c>
      <c r="L544" s="78"/>
      <c r="M544" s="78"/>
      <c r="N544" s="78"/>
      <c r="O544" s="36"/>
      <c r="P544" s="24" t="str">
        <f t="shared" si="66"/>
        <v xml:space="preserve"> </v>
      </c>
      <c r="Q544" s="25" t="str">
        <f t="shared" si="66"/>
        <v xml:space="preserve"> </v>
      </c>
      <c r="R544" s="25" t="str">
        <f t="shared" si="66"/>
        <v xml:space="preserve"> </v>
      </c>
      <c r="S544" s="26" t="str">
        <f t="shared" si="56"/>
        <v xml:space="preserve"> </v>
      </c>
      <c r="T544" s="7" t="str">
        <f t="shared" si="57"/>
        <v xml:space="preserve"> </v>
      </c>
      <c r="U544" s="8" t="str">
        <f t="shared" si="58"/>
        <v xml:space="preserve"> </v>
      </c>
      <c r="V544" s="9" t="str">
        <f t="shared" si="59"/>
        <v xml:space="preserve"> </v>
      </c>
      <c r="W544" s="9" t="str">
        <f t="shared" si="60"/>
        <v/>
      </c>
      <c r="X544" s="32"/>
      <c r="Y544" s="36"/>
    </row>
    <row r="545" spans="1:25" s="4" customFormat="1" ht="18" customHeight="1">
      <c r="A545" s="36"/>
      <c r="B545" s="69">
        <v>149.02000000000001</v>
      </c>
      <c r="C545" s="69" t="s">
        <v>833</v>
      </c>
      <c r="D545" s="31" t="s">
        <v>828</v>
      </c>
      <c r="E545" s="29" t="s">
        <v>36</v>
      </c>
      <c r="F545" s="28"/>
      <c r="G545" s="29">
        <v>0.04</v>
      </c>
      <c r="H545" s="29"/>
      <c r="I545" s="30" t="s">
        <v>39</v>
      </c>
      <c r="J545" s="12">
        <f t="shared" si="67"/>
        <v>0.04</v>
      </c>
      <c r="K545" s="12" t="str">
        <f t="shared" si="68"/>
        <v/>
      </c>
      <c r="L545" s="78"/>
      <c r="M545" s="78"/>
      <c r="N545" s="78"/>
      <c r="O545" s="36"/>
      <c r="P545" s="24" t="str">
        <f t="shared" si="66"/>
        <v xml:space="preserve"> </v>
      </c>
      <c r="Q545" s="25" t="str">
        <f t="shared" si="66"/>
        <v xml:space="preserve"> </v>
      </c>
      <c r="R545" s="25" t="str">
        <f t="shared" si="66"/>
        <v xml:space="preserve"> </v>
      </c>
      <c r="S545" s="26" t="str">
        <f t="shared" si="56"/>
        <v xml:space="preserve"> </v>
      </c>
      <c r="T545" s="7" t="str">
        <f t="shared" si="57"/>
        <v xml:space="preserve"> </v>
      </c>
      <c r="U545" s="8" t="str">
        <f t="shared" si="58"/>
        <v xml:space="preserve"> </v>
      </c>
      <c r="V545" s="9" t="str">
        <f t="shared" si="59"/>
        <v xml:space="preserve"> </v>
      </c>
      <c r="W545" s="9" t="str">
        <f t="shared" si="60"/>
        <v/>
      </c>
      <c r="X545" s="32"/>
      <c r="Y545" s="36"/>
    </row>
    <row r="546" spans="1:25" s="4" customFormat="1" ht="18" customHeight="1">
      <c r="A546" s="36"/>
      <c r="B546" s="69">
        <v>149.03</v>
      </c>
      <c r="C546" s="69" t="s">
        <v>834</v>
      </c>
      <c r="D546" s="31" t="s">
        <v>828</v>
      </c>
      <c r="E546" s="29" t="s">
        <v>36</v>
      </c>
      <c r="F546" s="28"/>
      <c r="G546" s="29">
        <v>0.04</v>
      </c>
      <c r="H546" s="29"/>
      <c r="I546" s="30" t="s">
        <v>39</v>
      </c>
      <c r="J546" s="12">
        <f t="shared" si="67"/>
        <v>0.04</v>
      </c>
      <c r="K546" s="12" t="str">
        <f t="shared" si="68"/>
        <v/>
      </c>
      <c r="L546" s="78"/>
      <c r="M546" s="78"/>
      <c r="N546" s="78"/>
      <c r="O546" s="36"/>
      <c r="P546" s="24" t="str">
        <f t="shared" si="66"/>
        <v xml:space="preserve"> </v>
      </c>
      <c r="Q546" s="25" t="str">
        <f t="shared" si="66"/>
        <v xml:space="preserve"> </v>
      </c>
      <c r="R546" s="25" t="str">
        <f t="shared" si="66"/>
        <v xml:space="preserve"> </v>
      </c>
      <c r="S546" s="26" t="str">
        <f t="shared" si="56"/>
        <v xml:space="preserve"> </v>
      </c>
      <c r="T546" s="7" t="str">
        <f t="shared" si="57"/>
        <v xml:space="preserve"> </v>
      </c>
      <c r="U546" s="8" t="str">
        <f t="shared" si="58"/>
        <v xml:space="preserve"> </v>
      </c>
      <c r="V546" s="9" t="str">
        <f t="shared" si="59"/>
        <v xml:space="preserve"> </v>
      </c>
      <c r="W546" s="9" t="str">
        <f t="shared" si="60"/>
        <v/>
      </c>
      <c r="X546" s="32"/>
      <c r="Y546" s="36"/>
    </row>
    <row r="547" spans="1:25" s="4" customFormat="1" ht="18" customHeight="1">
      <c r="A547" s="36"/>
      <c r="B547" s="69">
        <v>150.01</v>
      </c>
      <c r="C547" s="69" t="s">
        <v>835</v>
      </c>
      <c r="D547" s="31" t="s">
        <v>850</v>
      </c>
      <c r="E547" s="29" t="s">
        <v>34</v>
      </c>
      <c r="F547" s="28">
        <v>1.1100000000000001</v>
      </c>
      <c r="G547" s="29">
        <v>0.05</v>
      </c>
      <c r="H547" s="29">
        <v>-0.05</v>
      </c>
      <c r="I547" s="30" t="s">
        <v>39</v>
      </c>
      <c r="J547" s="12">
        <f t="shared" si="67"/>
        <v>1.1600000000000001</v>
      </c>
      <c r="K547" s="12">
        <f t="shared" si="68"/>
        <v>1.06</v>
      </c>
      <c r="L547" s="78"/>
      <c r="M547" s="78"/>
      <c r="N547" s="78"/>
      <c r="O547" s="36"/>
      <c r="P547" s="24" t="str">
        <f t="shared" si="66"/>
        <v xml:space="preserve"> </v>
      </c>
      <c r="Q547" s="25" t="str">
        <f t="shared" si="66"/>
        <v xml:space="preserve"> </v>
      </c>
      <c r="R547" s="25" t="str">
        <f t="shared" si="66"/>
        <v xml:space="preserve"> </v>
      </c>
      <c r="S547" s="26" t="str">
        <f t="shared" si="56"/>
        <v xml:space="preserve"> </v>
      </c>
      <c r="T547" s="7" t="str">
        <f t="shared" si="57"/>
        <v xml:space="preserve"> </v>
      </c>
      <c r="U547" s="8" t="str">
        <f t="shared" si="58"/>
        <v xml:space="preserve"> </v>
      </c>
      <c r="V547" s="9" t="str">
        <f t="shared" si="59"/>
        <v xml:space="preserve"> </v>
      </c>
      <c r="W547" s="9" t="str">
        <f t="shared" si="60"/>
        <v/>
      </c>
      <c r="X547" s="32"/>
      <c r="Y547" s="36"/>
    </row>
    <row r="548" spans="1:25" s="4" customFormat="1" ht="18" customHeight="1">
      <c r="A548" s="36"/>
      <c r="B548" s="69">
        <v>150.02000000000001</v>
      </c>
      <c r="C548" s="69" t="s">
        <v>836</v>
      </c>
      <c r="D548" s="31" t="s">
        <v>850</v>
      </c>
      <c r="E548" s="29" t="s">
        <v>34</v>
      </c>
      <c r="F548" s="28">
        <v>1.1100000000000001</v>
      </c>
      <c r="G548" s="29">
        <v>0.05</v>
      </c>
      <c r="H548" s="29">
        <v>-0.05</v>
      </c>
      <c r="I548" s="30" t="s">
        <v>39</v>
      </c>
      <c r="J548" s="12">
        <f t="shared" si="67"/>
        <v>1.1600000000000001</v>
      </c>
      <c r="K548" s="12">
        <f t="shared" si="68"/>
        <v>1.06</v>
      </c>
      <c r="L548" s="78"/>
      <c r="M548" s="78"/>
      <c r="N548" s="78"/>
      <c r="O548" s="36"/>
      <c r="P548" s="24" t="str">
        <f t="shared" si="66"/>
        <v xml:space="preserve"> </v>
      </c>
      <c r="Q548" s="25" t="str">
        <f t="shared" si="66"/>
        <v xml:space="preserve"> </v>
      </c>
      <c r="R548" s="25" t="str">
        <f t="shared" si="66"/>
        <v xml:space="preserve"> </v>
      </c>
      <c r="S548" s="26" t="str">
        <f t="shared" si="56"/>
        <v xml:space="preserve"> </v>
      </c>
      <c r="T548" s="7" t="str">
        <f t="shared" si="57"/>
        <v xml:space="preserve"> </v>
      </c>
      <c r="U548" s="8" t="str">
        <f t="shared" si="58"/>
        <v xml:space="preserve"> </v>
      </c>
      <c r="V548" s="9" t="str">
        <f t="shared" si="59"/>
        <v xml:space="preserve"> </v>
      </c>
      <c r="W548" s="9" t="str">
        <f t="shared" si="60"/>
        <v/>
      </c>
      <c r="X548" s="32"/>
      <c r="Y548" s="36"/>
    </row>
    <row r="549" spans="1:25" s="4" customFormat="1" ht="18" customHeight="1">
      <c r="A549" s="36"/>
      <c r="B549" s="69">
        <v>150.03</v>
      </c>
      <c r="C549" s="69" t="s">
        <v>837</v>
      </c>
      <c r="D549" s="31" t="s">
        <v>850</v>
      </c>
      <c r="E549" s="29" t="s">
        <v>34</v>
      </c>
      <c r="F549" s="28">
        <v>1.1100000000000001</v>
      </c>
      <c r="G549" s="29">
        <v>0.05</v>
      </c>
      <c r="H549" s="29">
        <v>-0.05</v>
      </c>
      <c r="I549" s="30" t="s">
        <v>39</v>
      </c>
      <c r="J549" s="12">
        <f t="shared" si="67"/>
        <v>1.1600000000000001</v>
      </c>
      <c r="K549" s="12">
        <f t="shared" si="68"/>
        <v>1.06</v>
      </c>
      <c r="L549" s="78"/>
      <c r="M549" s="78"/>
      <c r="N549" s="78"/>
      <c r="O549" s="36"/>
      <c r="P549" s="24" t="str">
        <f t="shared" si="66"/>
        <v xml:space="preserve"> </v>
      </c>
      <c r="Q549" s="25" t="str">
        <f t="shared" si="66"/>
        <v xml:space="preserve"> </v>
      </c>
      <c r="R549" s="25" t="str">
        <f t="shared" si="66"/>
        <v xml:space="preserve"> </v>
      </c>
      <c r="S549" s="26" t="str">
        <f t="shared" si="56"/>
        <v xml:space="preserve"> </v>
      </c>
      <c r="T549" s="7" t="str">
        <f t="shared" si="57"/>
        <v xml:space="preserve"> </v>
      </c>
      <c r="U549" s="8" t="str">
        <f t="shared" si="58"/>
        <v xml:space="preserve"> </v>
      </c>
      <c r="V549" s="9" t="str">
        <f t="shared" si="59"/>
        <v xml:space="preserve"> </v>
      </c>
      <c r="W549" s="9" t="str">
        <f t="shared" si="60"/>
        <v/>
      </c>
      <c r="X549" s="32"/>
      <c r="Y549" s="36"/>
    </row>
    <row r="550" spans="1:25" s="4" customFormat="1" ht="18" customHeight="1">
      <c r="A550" s="36"/>
      <c r="B550" s="69">
        <v>150.04</v>
      </c>
      <c r="C550" s="69" t="s">
        <v>838</v>
      </c>
      <c r="D550" s="31" t="s">
        <v>850</v>
      </c>
      <c r="E550" s="29" t="s">
        <v>34</v>
      </c>
      <c r="F550" s="28">
        <v>1.1100000000000001</v>
      </c>
      <c r="G550" s="29">
        <v>0.1</v>
      </c>
      <c r="H550" s="29">
        <v>0.1</v>
      </c>
      <c r="I550" s="30" t="s">
        <v>39</v>
      </c>
      <c r="J550" s="12">
        <f t="shared" si="67"/>
        <v>1.2100000000000002</v>
      </c>
      <c r="K550" s="12">
        <f t="shared" si="68"/>
        <v>1.2100000000000002</v>
      </c>
      <c r="L550" s="78"/>
      <c r="M550" s="78"/>
      <c r="N550" s="78"/>
      <c r="O550" s="36"/>
      <c r="P550" s="24" t="str">
        <f t="shared" si="66"/>
        <v xml:space="preserve"> </v>
      </c>
      <c r="Q550" s="25" t="str">
        <f t="shared" si="66"/>
        <v xml:space="preserve"> </v>
      </c>
      <c r="R550" s="25" t="str">
        <f t="shared" si="66"/>
        <v xml:space="preserve"> </v>
      </c>
      <c r="S550" s="26" t="str">
        <f t="shared" si="56"/>
        <v xml:space="preserve"> </v>
      </c>
      <c r="T550" s="7" t="str">
        <f t="shared" si="57"/>
        <v xml:space="preserve"> </v>
      </c>
      <c r="U550" s="8" t="str">
        <f t="shared" si="58"/>
        <v xml:space="preserve"> </v>
      </c>
      <c r="V550" s="9" t="str">
        <f t="shared" si="59"/>
        <v xml:space="preserve"> </v>
      </c>
      <c r="W550" s="9" t="str">
        <f t="shared" si="60"/>
        <v/>
      </c>
      <c r="X550" s="32"/>
      <c r="Y550" s="36"/>
    </row>
    <row r="551" spans="1:25" s="4" customFormat="1" ht="18" customHeight="1">
      <c r="A551" s="36"/>
      <c r="B551" s="69">
        <v>150.05000000000001</v>
      </c>
      <c r="C551" s="69" t="s">
        <v>839</v>
      </c>
      <c r="D551" s="31" t="s">
        <v>850</v>
      </c>
      <c r="E551" s="29" t="s">
        <v>34</v>
      </c>
      <c r="F551" s="28">
        <v>1.1100000000000001</v>
      </c>
      <c r="G551" s="29">
        <v>0.1</v>
      </c>
      <c r="H551" s="29">
        <v>0.1</v>
      </c>
      <c r="I551" s="30" t="s">
        <v>39</v>
      </c>
      <c r="J551" s="12">
        <f t="shared" si="67"/>
        <v>1.2100000000000002</v>
      </c>
      <c r="K551" s="12">
        <f t="shared" si="68"/>
        <v>1.2100000000000002</v>
      </c>
      <c r="L551" s="78"/>
      <c r="M551" s="78"/>
      <c r="N551" s="78"/>
      <c r="O551" s="36"/>
      <c r="P551" s="24" t="str">
        <f t="shared" si="66"/>
        <v xml:space="preserve"> </v>
      </c>
      <c r="Q551" s="25" t="str">
        <f t="shared" si="66"/>
        <v xml:space="preserve"> </v>
      </c>
      <c r="R551" s="25" t="str">
        <f t="shared" si="66"/>
        <v xml:space="preserve"> </v>
      </c>
      <c r="S551" s="26" t="str">
        <f t="shared" si="56"/>
        <v xml:space="preserve"> </v>
      </c>
      <c r="T551" s="7" t="str">
        <f t="shared" si="57"/>
        <v xml:space="preserve"> </v>
      </c>
      <c r="U551" s="8" t="str">
        <f t="shared" si="58"/>
        <v xml:space="preserve"> </v>
      </c>
      <c r="V551" s="9" t="str">
        <f t="shared" si="59"/>
        <v xml:space="preserve"> </v>
      </c>
      <c r="W551" s="9" t="str">
        <f t="shared" si="60"/>
        <v/>
      </c>
      <c r="X551" s="32"/>
      <c r="Y551" s="36"/>
    </row>
    <row r="552" spans="1:25" s="4" customFormat="1" ht="18" customHeight="1">
      <c r="A552" s="36"/>
      <c r="B552" s="69">
        <v>150.06</v>
      </c>
      <c r="C552" s="69" t="s">
        <v>840</v>
      </c>
      <c r="D552" s="31" t="s">
        <v>850</v>
      </c>
      <c r="E552" s="29" t="s">
        <v>34</v>
      </c>
      <c r="F552" s="28">
        <v>1.1000000000000001</v>
      </c>
      <c r="G552" s="29">
        <v>0.1</v>
      </c>
      <c r="H552" s="29">
        <v>0.1</v>
      </c>
      <c r="I552" s="30" t="s">
        <v>39</v>
      </c>
      <c r="J552" s="12">
        <f t="shared" si="67"/>
        <v>1.2000000000000002</v>
      </c>
      <c r="K552" s="12">
        <f t="shared" si="68"/>
        <v>1.2000000000000002</v>
      </c>
      <c r="L552" s="78"/>
      <c r="M552" s="78"/>
      <c r="N552" s="78"/>
      <c r="O552" s="36"/>
      <c r="P552" s="24" t="str">
        <f t="shared" si="66"/>
        <v xml:space="preserve"> </v>
      </c>
      <c r="Q552" s="25" t="str">
        <f t="shared" si="66"/>
        <v xml:space="preserve"> </v>
      </c>
      <c r="R552" s="25" t="str">
        <f t="shared" si="66"/>
        <v xml:space="preserve"> </v>
      </c>
      <c r="S552" s="26" t="str">
        <f t="shared" si="56"/>
        <v xml:space="preserve"> </v>
      </c>
      <c r="T552" s="7" t="str">
        <f t="shared" si="57"/>
        <v xml:space="preserve"> </v>
      </c>
      <c r="U552" s="8" t="str">
        <f t="shared" si="58"/>
        <v xml:space="preserve"> </v>
      </c>
      <c r="V552" s="9" t="str">
        <f t="shared" si="59"/>
        <v xml:space="preserve"> </v>
      </c>
      <c r="W552" s="9" t="str">
        <f t="shared" si="60"/>
        <v/>
      </c>
      <c r="X552" s="32"/>
      <c r="Y552" s="36"/>
    </row>
    <row r="553" spans="1:25" s="4" customFormat="1" ht="18" customHeight="1">
      <c r="A553" s="36"/>
      <c r="B553" s="69">
        <v>150.07</v>
      </c>
      <c r="C553" s="69" t="s">
        <v>841</v>
      </c>
      <c r="D553" s="31" t="s">
        <v>850</v>
      </c>
      <c r="E553" s="29" t="s">
        <v>34</v>
      </c>
      <c r="F553" s="28">
        <v>1.1000000000000001</v>
      </c>
      <c r="G553" s="29">
        <v>0.05</v>
      </c>
      <c r="H553" s="29">
        <v>-0.05</v>
      </c>
      <c r="I553" s="30" t="s">
        <v>39</v>
      </c>
      <c r="J553" s="12">
        <f t="shared" si="67"/>
        <v>1.1500000000000001</v>
      </c>
      <c r="K553" s="12">
        <f t="shared" si="68"/>
        <v>1.05</v>
      </c>
      <c r="L553" s="78"/>
      <c r="M553" s="78"/>
      <c r="N553" s="78"/>
      <c r="O553" s="36"/>
      <c r="P553" s="24" t="str">
        <f t="shared" si="66"/>
        <v xml:space="preserve"> </v>
      </c>
      <c r="Q553" s="25" t="str">
        <f t="shared" si="66"/>
        <v xml:space="preserve"> </v>
      </c>
      <c r="R553" s="25" t="str">
        <f t="shared" si="66"/>
        <v xml:space="preserve"> </v>
      </c>
      <c r="S553" s="26" t="str">
        <f t="shared" si="56"/>
        <v xml:space="preserve"> </v>
      </c>
      <c r="T553" s="7" t="str">
        <f t="shared" si="57"/>
        <v xml:space="preserve"> </v>
      </c>
      <c r="U553" s="8" t="str">
        <f t="shared" si="58"/>
        <v xml:space="preserve"> </v>
      </c>
      <c r="V553" s="9" t="str">
        <f t="shared" si="59"/>
        <v xml:space="preserve"> </v>
      </c>
      <c r="W553" s="9" t="str">
        <f t="shared" si="60"/>
        <v/>
      </c>
      <c r="X553" s="32"/>
      <c r="Y553" s="36"/>
    </row>
    <row r="554" spans="1:25" s="4" customFormat="1" ht="18" customHeight="1">
      <c r="A554" s="36"/>
      <c r="B554" s="69">
        <v>150.08000000000001</v>
      </c>
      <c r="C554" s="69" t="s">
        <v>842</v>
      </c>
      <c r="D554" s="31" t="s">
        <v>850</v>
      </c>
      <c r="E554" s="29" t="s">
        <v>34</v>
      </c>
      <c r="F554" s="28">
        <v>1.1000000000000001</v>
      </c>
      <c r="G554" s="29">
        <v>0.05</v>
      </c>
      <c r="H554" s="29">
        <v>-0.05</v>
      </c>
      <c r="I554" s="30" t="s">
        <v>39</v>
      </c>
      <c r="J554" s="12">
        <f t="shared" si="67"/>
        <v>1.1500000000000001</v>
      </c>
      <c r="K554" s="12">
        <f t="shared" si="68"/>
        <v>1.05</v>
      </c>
      <c r="L554" s="78"/>
      <c r="M554" s="78"/>
      <c r="N554" s="78"/>
      <c r="O554" s="36"/>
      <c r="P554" s="24" t="str">
        <f t="shared" si="66"/>
        <v xml:space="preserve"> </v>
      </c>
      <c r="Q554" s="25" t="str">
        <f t="shared" si="66"/>
        <v xml:space="preserve"> </v>
      </c>
      <c r="R554" s="25" t="str">
        <f t="shared" si="66"/>
        <v xml:space="preserve"> </v>
      </c>
      <c r="S554" s="26" t="str">
        <f t="shared" si="56"/>
        <v xml:space="preserve"> </v>
      </c>
      <c r="T554" s="7" t="str">
        <f t="shared" si="57"/>
        <v xml:space="preserve"> </v>
      </c>
      <c r="U554" s="8" t="str">
        <f t="shared" si="58"/>
        <v xml:space="preserve"> </v>
      </c>
      <c r="V554" s="9" t="str">
        <f t="shared" si="59"/>
        <v xml:space="preserve"> </v>
      </c>
      <c r="W554" s="9" t="str">
        <f t="shared" si="60"/>
        <v/>
      </c>
      <c r="X554" s="32"/>
      <c r="Y554" s="36"/>
    </row>
    <row r="555" spans="1:25" s="4" customFormat="1" ht="18" customHeight="1">
      <c r="A555" s="36"/>
      <c r="B555" s="69">
        <v>150.09</v>
      </c>
      <c r="C555" s="69" t="s">
        <v>843</v>
      </c>
      <c r="D555" s="31" t="s">
        <v>850</v>
      </c>
      <c r="E555" s="29" t="s">
        <v>34</v>
      </c>
      <c r="F555" s="28">
        <v>1.1000000000000001</v>
      </c>
      <c r="G555" s="29">
        <v>0.05</v>
      </c>
      <c r="H555" s="29">
        <v>-0.05</v>
      </c>
      <c r="I555" s="30" t="s">
        <v>39</v>
      </c>
      <c r="J555" s="12">
        <f t="shared" si="67"/>
        <v>1.1500000000000001</v>
      </c>
      <c r="K555" s="12">
        <f t="shared" si="68"/>
        <v>1.05</v>
      </c>
      <c r="L555" s="78"/>
      <c r="M555" s="78"/>
      <c r="N555" s="78"/>
      <c r="O555" s="36"/>
      <c r="P555" s="24" t="str">
        <f t="shared" si="66"/>
        <v xml:space="preserve"> </v>
      </c>
      <c r="Q555" s="25" t="str">
        <f t="shared" si="66"/>
        <v xml:space="preserve"> </v>
      </c>
      <c r="R555" s="25" t="str">
        <f t="shared" si="66"/>
        <v xml:space="preserve"> </v>
      </c>
      <c r="S555" s="26" t="str">
        <f t="shared" si="56"/>
        <v xml:space="preserve"> </v>
      </c>
      <c r="T555" s="7" t="str">
        <f t="shared" si="57"/>
        <v xml:space="preserve"> </v>
      </c>
      <c r="U555" s="8" t="str">
        <f t="shared" si="58"/>
        <v xml:space="preserve"> </v>
      </c>
      <c r="V555" s="9" t="str">
        <f t="shared" si="59"/>
        <v xml:space="preserve"> </v>
      </c>
      <c r="W555" s="9" t="str">
        <f t="shared" si="60"/>
        <v/>
      </c>
      <c r="X555" s="32"/>
      <c r="Y555" s="36"/>
    </row>
    <row r="556" spans="1:25" s="4" customFormat="1" ht="18" customHeight="1">
      <c r="A556" s="36"/>
      <c r="B556" s="69" t="s">
        <v>947</v>
      </c>
      <c r="C556" s="69" t="s">
        <v>844</v>
      </c>
      <c r="D556" s="31" t="s">
        <v>850</v>
      </c>
      <c r="E556" s="29" t="s">
        <v>34</v>
      </c>
      <c r="F556" s="28">
        <v>1.1000000000000001</v>
      </c>
      <c r="G556" s="29">
        <v>0.05</v>
      </c>
      <c r="H556" s="29">
        <v>-0.05</v>
      </c>
      <c r="I556" s="30" t="s">
        <v>39</v>
      </c>
      <c r="J556" s="12">
        <f t="shared" si="67"/>
        <v>1.1500000000000001</v>
      </c>
      <c r="K556" s="12">
        <f t="shared" si="68"/>
        <v>1.05</v>
      </c>
      <c r="L556" s="78"/>
      <c r="M556" s="78"/>
      <c r="N556" s="78"/>
      <c r="O556" s="36"/>
      <c r="P556" s="24" t="str">
        <f t="shared" si="66"/>
        <v xml:space="preserve"> </v>
      </c>
      <c r="Q556" s="25" t="str">
        <f t="shared" si="66"/>
        <v xml:space="preserve"> </v>
      </c>
      <c r="R556" s="25" t="str">
        <f t="shared" si="66"/>
        <v xml:space="preserve"> </v>
      </c>
      <c r="S556" s="26" t="str">
        <f t="shared" si="56"/>
        <v xml:space="preserve"> </v>
      </c>
      <c r="T556" s="7" t="str">
        <f t="shared" si="57"/>
        <v xml:space="preserve"> </v>
      </c>
      <c r="U556" s="8" t="str">
        <f t="shared" si="58"/>
        <v xml:space="preserve"> </v>
      </c>
      <c r="V556" s="9" t="str">
        <f t="shared" si="59"/>
        <v xml:space="preserve"> </v>
      </c>
      <c r="W556" s="9" t="str">
        <f t="shared" si="60"/>
        <v/>
      </c>
      <c r="X556" s="32"/>
      <c r="Y556" s="36"/>
    </row>
    <row r="557" spans="1:25" s="4" customFormat="1" ht="18" customHeight="1">
      <c r="A557" s="36"/>
      <c r="B557" s="69">
        <v>150.11000000000001</v>
      </c>
      <c r="C557" s="69" t="s">
        <v>845</v>
      </c>
      <c r="D557" s="31" t="s">
        <v>850</v>
      </c>
      <c r="E557" s="29" t="s">
        <v>34</v>
      </c>
      <c r="F557" s="28">
        <v>1.1000000000000001</v>
      </c>
      <c r="G557" s="29">
        <v>0.05</v>
      </c>
      <c r="H557" s="29">
        <v>-0.05</v>
      </c>
      <c r="I557" s="30" t="s">
        <v>39</v>
      </c>
      <c r="J557" s="12">
        <f t="shared" si="67"/>
        <v>1.1500000000000001</v>
      </c>
      <c r="K557" s="12">
        <f t="shared" si="68"/>
        <v>1.05</v>
      </c>
      <c r="L557" s="78"/>
      <c r="M557" s="78"/>
      <c r="N557" s="78"/>
      <c r="O557" s="36"/>
      <c r="P557" s="24" t="str">
        <f t="shared" si="66"/>
        <v xml:space="preserve"> </v>
      </c>
      <c r="Q557" s="25" t="str">
        <f t="shared" si="66"/>
        <v xml:space="preserve"> </v>
      </c>
      <c r="R557" s="25" t="str">
        <f t="shared" si="66"/>
        <v xml:space="preserve"> </v>
      </c>
      <c r="S557" s="26" t="str">
        <f t="shared" si="56"/>
        <v xml:space="preserve"> </v>
      </c>
      <c r="T557" s="7" t="str">
        <f t="shared" si="57"/>
        <v xml:space="preserve"> </v>
      </c>
      <c r="U557" s="8" t="str">
        <f t="shared" si="58"/>
        <v xml:space="preserve"> </v>
      </c>
      <c r="V557" s="9" t="str">
        <f t="shared" si="59"/>
        <v xml:space="preserve"> </v>
      </c>
      <c r="W557" s="9" t="str">
        <f t="shared" si="60"/>
        <v/>
      </c>
      <c r="X557" s="32"/>
      <c r="Y557" s="36"/>
    </row>
    <row r="558" spans="1:25" s="4" customFormat="1" ht="18" customHeight="1">
      <c r="A558" s="36"/>
      <c r="B558" s="69">
        <v>150.12</v>
      </c>
      <c r="C558" s="69" t="s">
        <v>846</v>
      </c>
      <c r="D558" s="31" t="s">
        <v>850</v>
      </c>
      <c r="E558" s="29" t="s">
        <v>34</v>
      </c>
      <c r="F558" s="28">
        <v>1.1000000000000001</v>
      </c>
      <c r="G558" s="29">
        <v>0.05</v>
      </c>
      <c r="H558" s="29">
        <v>-0.05</v>
      </c>
      <c r="I558" s="30" t="s">
        <v>39</v>
      </c>
      <c r="J558" s="12">
        <f t="shared" si="67"/>
        <v>1.1500000000000001</v>
      </c>
      <c r="K558" s="12">
        <f t="shared" si="68"/>
        <v>1.05</v>
      </c>
      <c r="L558" s="78"/>
      <c r="M558" s="78"/>
      <c r="N558" s="78"/>
      <c r="O558" s="36"/>
      <c r="P558" s="24" t="str">
        <f t="shared" si="66"/>
        <v xml:space="preserve"> </v>
      </c>
      <c r="Q558" s="25" t="str">
        <f t="shared" si="66"/>
        <v xml:space="preserve"> </v>
      </c>
      <c r="R558" s="25" t="str">
        <f t="shared" si="66"/>
        <v xml:space="preserve"> </v>
      </c>
      <c r="S558" s="26" t="str">
        <f t="shared" si="56"/>
        <v xml:space="preserve"> </v>
      </c>
      <c r="T558" s="7" t="str">
        <f t="shared" si="57"/>
        <v xml:space="preserve"> </v>
      </c>
      <c r="U558" s="8" t="str">
        <f t="shared" si="58"/>
        <v xml:space="preserve"> </v>
      </c>
      <c r="V558" s="9" t="str">
        <f t="shared" si="59"/>
        <v xml:space="preserve"> </v>
      </c>
      <c r="W558" s="9" t="str">
        <f t="shared" si="60"/>
        <v/>
      </c>
      <c r="X558" s="32"/>
      <c r="Y558" s="36"/>
    </row>
    <row r="559" spans="1:25" s="4" customFormat="1" ht="18" customHeight="1">
      <c r="A559" s="36"/>
      <c r="B559" s="69">
        <v>150.13</v>
      </c>
      <c r="C559" s="69" t="s">
        <v>847</v>
      </c>
      <c r="D559" s="31" t="s">
        <v>850</v>
      </c>
      <c r="E559" s="29" t="s">
        <v>34</v>
      </c>
      <c r="F559" s="28">
        <v>1.1000000000000001</v>
      </c>
      <c r="G559" s="29">
        <v>0.05</v>
      </c>
      <c r="H559" s="29">
        <v>-0.05</v>
      </c>
      <c r="I559" s="30" t="s">
        <v>39</v>
      </c>
      <c r="J559" s="12">
        <f t="shared" si="67"/>
        <v>1.1500000000000001</v>
      </c>
      <c r="K559" s="12">
        <f t="shared" si="68"/>
        <v>1.05</v>
      </c>
      <c r="L559" s="78"/>
      <c r="M559" s="78"/>
      <c r="N559" s="78"/>
      <c r="O559" s="36"/>
      <c r="P559" s="24" t="str">
        <f t="shared" si="66"/>
        <v xml:space="preserve"> </v>
      </c>
      <c r="Q559" s="25" t="str">
        <f t="shared" si="66"/>
        <v xml:space="preserve"> </v>
      </c>
      <c r="R559" s="25" t="str">
        <f t="shared" si="66"/>
        <v xml:space="preserve"> </v>
      </c>
      <c r="S559" s="26" t="str">
        <f t="shared" si="56"/>
        <v xml:space="preserve"> </v>
      </c>
      <c r="T559" s="7" t="str">
        <f t="shared" si="57"/>
        <v xml:space="preserve"> </v>
      </c>
      <c r="U559" s="8" t="str">
        <f t="shared" si="58"/>
        <v xml:space="preserve"> </v>
      </c>
      <c r="V559" s="9" t="str">
        <f t="shared" si="59"/>
        <v xml:space="preserve"> </v>
      </c>
      <c r="W559" s="9" t="str">
        <f t="shared" si="60"/>
        <v/>
      </c>
      <c r="X559" s="32"/>
      <c r="Y559" s="36"/>
    </row>
    <row r="560" spans="1:25" s="4" customFormat="1" ht="18" customHeight="1">
      <c r="A560" s="36"/>
      <c r="B560" s="69">
        <v>150.13999999999999</v>
      </c>
      <c r="C560" s="69" t="s">
        <v>848</v>
      </c>
      <c r="D560" s="31" t="s">
        <v>850</v>
      </c>
      <c r="E560" s="29" t="s">
        <v>34</v>
      </c>
      <c r="F560" s="28">
        <v>1.1000000000000001</v>
      </c>
      <c r="G560" s="29">
        <v>0.05</v>
      </c>
      <c r="H560" s="29">
        <v>-0.05</v>
      </c>
      <c r="I560" s="30" t="s">
        <v>39</v>
      </c>
      <c r="J560" s="12">
        <f t="shared" si="67"/>
        <v>1.1500000000000001</v>
      </c>
      <c r="K560" s="12">
        <f t="shared" si="68"/>
        <v>1.05</v>
      </c>
      <c r="L560" s="78"/>
      <c r="M560" s="78"/>
      <c r="N560" s="78"/>
      <c r="O560" s="36"/>
      <c r="P560" s="24" t="str">
        <f t="shared" si="66"/>
        <v xml:space="preserve"> </v>
      </c>
      <c r="Q560" s="25" t="str">
        <f t="shared" si="66"/>
        <v xml:space="preserve"> </v>
      </c>
      <c r="R560" s="25" t="str">
        <f t="shared" si="66"/>
        <v xml:space="preserve"> </v>
      </c>
      <c r="S560" s="26" t="str">
        <f t="shared" si="56"/>
        <v xml:space="preserve"> </v>
      </c>
      <c r="T560" s="7" t="str">
        <f t="shared" si="57"/>
        <v xml:space="preserve"> </v>
      </c>
      <c r="U560" s="8" t="str">
        <f t="shared" si="58"/>
        <v xml:space="preserve"> </v>
      </c>
      <c r="V560" s="9" t="str">
        <f t="shared" si="59"/>
        <v xml:space="preserve"> </v>
      </c>
      <c r="W560" s="9" t="str">
        <f t="shared" si="60"/>
        <v/>
      </c>
      <c r="X560" s="32"/>
      <c r="Y560" s="36"/>
    </row>
    <row r="561" spans="1:25" s="4" customFormat="1" ht="18" customHeight="1">
      <c r="A561" s="36"/>
      <c r="B561" s="69">
        <v>150.15</v>
      </c>
      <c r="C561" s="69" t="s">
        <v>849</v>
      </c>
      <c r="D561" s="31" t="s">
        <v>850</v>
      </c>
      <c r="E561" s="29" t="s">
        <v>34</v>
      </c>
      <c r="F561" s="28">
        <v>1.1000000000000001</v>
      </c>
      <c r="G561" s="29">
        <v>0.05</v>
      </c>
      <c r="H561" s="29">
        <v>-0.05</v>
      </c>
      <c r="I561" s="30" t="s">
        <v>39</v>
      </c>
      <c r="J561" s="12">
        <f t="shared" si="67"/>
        <v>1.1500000000000001</v>
      </c>
      <c r="K561" s="12">
        <f t="shared" si="68"/>
        <v>1.05</v>
      </c>
      <c r="L561" s="78"/>
      <c r="M561" s="78"/>
      <c r="N561" s="78"/>
      <c r="O561" s="36"/>
      <c r="P561" s="24" t="str">
        <f t="shared" si="66"/>
        <v xml:space="preserve"> </v>
      </c>
      <c r="Q561" s="25" t="str">
        <f t="shared" si="66"/>
        <v xml:space="preserve"> </v>
      </c>
      <c r="R561" s="25" t="str">
        <f t="shared" si="66"/>
        <v xml:space="preserve"> </v>
      </c>
      <c r="S561" s="26" t="str">
        <f t="shared" si="56"/>
        <v xml:space="preserve"> </v>
      </c>
      <c r="T561" s="7" t="str">
        <f t="shared" si="57"/>
        <v xml:space="preserve"> </v>
      </c>
      <c r="U561" s="8" t="str">
        <f t="shared" si="58"/>
        <v xml:space="preserve"> </v>
      </c>
      <c r="V561" s="9" t="str">
        <f t="shared" si="59"/>
        <v xml:space="preserve"> </v>
      </c>
      <c r="W561" s="9" t="str">
        <f t="shared" si="60"/>
        <v/>
      </c>
      <c r="X561" s="32"/>
      <c r="Y561" s="36"/>
    </row>
    <row r="562" spans="1:25" s="4" customFormat="1" ht="18" customHeight="1">
      <c r="A562" s="36"/>
      <c r="B562" s="69">
        <v>151.01</v>
      </c>
      <c r="C562" s="69" t="s">
        <v>852</v>
      </c>
      <c r="D562" s="31" t="s">
        <v>775</v>
      </c>
      <c r="E562" s="29" t="s">
        <v>34</v>
      </c>
      <c r="F562" s="28">
        <v>42.51</v>
      </c>
      <c r="G562" s="29">
        <v>0.05</v>
      </c>
      <c r="H562" s="29">
        <v>-0.05</v>
      </c>
      <c r="I562" s="30" t="s">
        <v>39</v>
      </c>
      <c r="J562" s="12">
        <f t="shared" si="67"/>
        <v>42.559999999999995</v>
      </c>
      <c r="K562" s="12">
        <f t="shared" si="68"/>
        <v>42.46</v>
      </c>
      <c r="L562" s="78"/>
      <c r="M562" s="78"/>
      <c r="N562" s="78"/>
      <c r="O562" s="36"/>
      <c r="P562" s="24" t="str">
        <f t="shared" si="66"/>
        <v xml:space="preserve"> </v>
      </c>
      <c r="Q562" s="25" t="str">
        <f t="shared" si="66"/>
        <v xml:space="preserve"> </v>
      </c>
      <c r="R562" s="25" t="str">
        <f t="shared" si="66"/>
        <v xml:space="preserve"> </v>
      </c>
      <c r="S562" s="26" t="str">
        <f t="shared" si="56"/>
        <v xml:space="preserve"> </v>
      </c>
      <c r="T562" s="7" t="str">
        <f t="shared" si="57"/>
        <v xml:space="preserve"> </v>
      </c>
      <c r="U562" s="8" t="str">
        <f t="shared" si="58"/>
        <v xml:space="preserve"> </v>
      </c>
      <c r="V562" s="9" t="str">
        <f t="shared" si="59"/>
        <v xml:space="preserve"> </v>
      </c>
      <c r="W562" s="9" t="str">
        <f t="shared" si="60"/>
        <v/>
      </c>
      <c r="X562" s="32"/>
      <c r="Y562" s="36"/>
    </row>
    <row r="563" spans="1:25" s="4" customFormat="1" ht="18" customHeight="1">
      <c r="A563" s="36"/>
      <c r="B563" s="69">
        <v>151.02000000000001</v>
      </c>
      <c r="C563" s="69" t="s">
        <v>853</v>
      </c>
      <c r="D563" s="31" t="s">
        <v>775</v>
      </c>
      <c r="E563" s="29" t="s">
        <v>34</v>
      </c>
      <c r="F563" s="28">
        <v>42.51</v>
      </c>
      <c r="G563" s="29">
        <v>0.05</v>
      </c>
      <c r="H563" s="29">
        <v>-0.05</v>
      </c>
      <c r="I563" s="30" t="s">
        <v>39</v>
      </c>
      <c r="J563" s="12">
        <f t="shared" si="67"/>
        <v>42.559999999999995</v>
      </c>
      <c r="K563" s="12">
        <f t="shared" si="68"/>
        <v>42.46</v>
      </c>
      <c r="L563" s="78"/>
      <c r="M563" s="78"/>
      <c r="N563" s="78"/>
      <c r="O563" s="36"/>
      <c r="P563" s="24" t="str">
        <f t="shared" si="66"/>
        <v xml:space="preserve"> </v>
      </c>
      <c r="Q563" s="25" t="str">
        <f t="shared" si="66"/>
        <v xml:space="preserve"> </v>
      </c>
      <c r="R563" s="25" t="str">
        <f t="shared" si="66"/>
        <v xml:space="preserve"> </v>
      </c>
      <c r="S563" s="26" t="str">
        <f t="shared" si="56"/>
        <v xml:space="preserve"> </v>
      </c>
      <c r="T563" s="7" t="str">
        <f t="shared" si="57"/>
        <v xml:space="preserve"> </v>
      </c>
      <c r="U563" s="8" t="str">
        <f t="shared" si="58"/>
        <v xml:space="preserve"> </v>
      </c>
      <c r="V563" s="9" t="str">
        <f t="shared" si="59"/>
        <v xml:space="preserve"> </v>
      </c>
      <c r="W563" s="9" t="str">
        <f t="shared" si="60"/>
        <v/>
      </c>
      <c r="X563" s="32"/>
      <c r="Y563" s="36"/>
    </row>
    <row r="564" spans="1:25" s="4" customFormat="1" ht="18" customHeight="1">
      <c r="A564" s="36"/>
      <c r="B564" s="69">
        <v>152.01</v>
      </c>
      <c r="C564" s="69" t="s">
        <v>854</v>
      </c>
      <c r="D564" s="31" t="s">
        <v>775</v>
      </c>
      <c r="E564" s="29" t="s">
        <v>36</v>
      </c>
      <c r="F564" s="28"/>
      <c r="G564" s="29">
        <v>0.05</v>
      </c>
      <c r="H564" s="29"/>
      <c r="I564" s="30" t="s">
        <v>39</v>
      </c>
      <c r="J564" s="12">
        <f t="shared" si="67"/>
        <v>0.05</v>
      </c>
      <c r="K564" s="12" t="str">
        <f t="shared" si="68"/>
        <v/>
      </c>
      <c r="L564" s="78"/>
      <c r="M564" s="78"/>
      <c r="N564" s="78"/>
      <c r="O564" s="36"/>
      <c r="P564" s="24" t="str">
        <f t="shared" si="66"/>
        <v xml:space="preserve"> </v>
      </c>
      <c r="Q564" s="25" t="str">
        <f t="shared" si="66"/>
        <v xml:space="preserve"> </v>
      </c>
      <c r="R564" s="25" t="str">
        <f t="shared" si="66"/>
        <v xml:space="preserve"> </v>
      </c>
      <c r="S564" s="26" t="str">
        <f t="shared" si="56"/>
        <v xml:space="preserve"> </v>
      </c>
      <c r="T564" s="7" t="str">
        <f t="shared" si="57"/>
        <v xml:space="preserve"> </v>
      </c>
      <c r="U564" s="8" t="str">
        <f t="shared" si="58"/>
        <v xml:space="preserve"> </v>
      </c>
      <c r="V564" s="9" t="str">
        <f t="shared" si="59"/>
        <v xml:space="preserve"> </v>
      </c>
      <c r="W564" s="9" t="str">
        <f t="shared" si="60"/>
        <v/>
      </c>
      <c r="X564" s="32"/>
      <c r="Y564" s="36"/>
    </row>
    <row r="565" spans="1:25" s="4" customFormat="1" ht="18" customHeight="1">
      <c r="A565" s="36"/>
      <c r="B565" s="69">
        <v>152.02000000000001</v>
      </c>
      <c r="C565" s="69" t="s">
        <v>855</v>
      </c>
      <c r="D565" s="31" t="s">
        <v>775</v>
      </c>
      <c r="E565" s="29" t="s">
        <v>36</v>
      </c>
      <c r="F565" s="28"/>
      <c r="G565" s="29">
        <v>0.05</v>
      </c>
      <c r="H565" s="29"/>
      <c r="I565" s="30" t="s">
        <v>39</v>
      </c>
      <c r="J565" s="12">
        <f t="shared" si="67"/>
        <v>0.05</v>
      </c>
      <c r="K565" s="12" t="str">
        <f t="shared" si="68"/>
        <v/>
      </c>
      <c r="L565" s="78"/>
      <c r="M565" s="78"/>
      <c r="N565" s="78"/>
      <c r="O565" s="36"/>
      <c r="P565" s="24" t="str">
        <f t="shared" si="66"/>
        <v xml:space="preserve"> </v>
      </c>
      <c r="Q565" s="25" t="str">
        <f t="shared" si="66"/>
        <v xml:space="preserve"> </v>
      </c>
      <c r="R565" s="25" t="str">
        <f t="shared" si="66"/>
        <v xml:space="preserve"> </v>
      </c>
      <c r="S565" s="26" t="str">
        <f t="shared" si="56"/>
        <v xml:space="preserve"> </v>
      </c>
      <c r="T565" s="7" t="str">
        <f t="shared" si="57"/>
        <v xml:space="preserve"> </v>
      </c>
      <c r="U565" s="8" t="str">
        <f t="shared" si="58"/>
        <v xml:space="preserve"> </v>
      </c>
      <c r="V565" s="9" t="str">
        <f t="shared" si="59"/>
        <v xml:space="preserve"> </v>
      </c>
      <c r="W565" s="9" t="str">
        <f t="shared" si="60"/>
        <v/>
      </c>
      <c r="X565" s="32"/>
      <c r="Y565" s="36"/>
    </row>
    <row r="566" spans="1:25" s="4" customFormat="1" ht="18" customHeight="1">
      <c r="A566" s="36"/>
      <c r="B566" s="69" t="s">
        <v>867</v>
      </c>
      <c r="C566" s="69"/>
      <c r="D566" s="31"/>
      <c r="E566" s="29"/>
      <c r="F566" s="28"/>
      <c r="G566" s="29"/>
      <c r="H566" s="29"/>
      <c r="I566" s="30"/>
      <c r="J566" s="12"/>
      <c r="K566" s="12"/>
      <c r="L566" s="6"/>
      <c r="M566" s="6"/>
      <c r="N566" s="6"/>
      <c r="O566" s="36"/>
      <c r="P566" s="24"/>
      <c r="Q566" s="25"/>
      <c r="R566" s="25"/>
      <c r="S566" s="26"/>
      <c r="T566" s="7"/>
      <c r="U566" s="8"/>
      <c r="V566" s="9"/>
      <c r="W566" s="9"/>
      <c r="X566" s="32"/>
      <c r="Y566" s="36"/>
    </row>
    <row r="567" spans="1:25" s="4" customFormat="1" ht="18" customHeight="1">
      <c r="A567" s="36"/>
      <c r="B567" s="69" t="s">
        <v>868</v>
      </c>
      <c r="C567" s="69"/>
      <c r="D567" s="31"/>
      <c r="E567" s="29"/>
      <c r="F567" s="28"/>
      <c r="G567" s="29"/>
      <c r="H567" s="29"/>
      <c r="I567" s="30"/>
      <c r="J567" s="12"/>
      <c r="K567" s="12"/>
      <c r="L567" s="6"/>
      <c r="M567" s="6"/>
      <c r="N567" s="6"/>
      <c r="O567" s="36"/>
      <c r="P567" s="24"/>
      <c r="Q567" s="25"/>
      <c r="R567" s="25"/>
      <c r="S567" s="26"/>
      <c r="T567" s="7"/>
      <c r="U567" s="8"/>
      <c r="V567" s="9"/>
      <c r="W567" s="9"/>
      <c r="X567" s="32"/>
      <c r="Y567" s="36"/>
    </row>
    <row r="568" spans="1:25" s="4" customFormat="1" ht="18" customHeight="1">
      <c r="A568" s="36"/>
      <c r="B568" s="69" t="s">
        <v>870</v>
      </c>
      <c r="C568" s="69"/>
      <c r="D568" s="31"/>
      <c r="E568" s="29"/>
      <c r="F568" s="28"/>
      <c r="G568" s="29"/>
      <c r="H568" s="29"/>
      <c r="I568" s="30"/>
      <c r="J568" s="12"/>
      <c r="K568" s="12"/>
      <c r="L568" s="6"/>
      <c r="M568" s="6"/>
      <c r="N568" s="6"/>
      <c r="O568" s="36"/>
      <c r="P568" s="24"/>
      <c r="Q568" s="25"/>
      <c r="R568" s="25"/>
      <c r="S568" s="26"/>
      <c r="T568" s="7"/>
      <c r="U568" s="8"/>
      <c r="V568" s="9"/>
      <c r="W568" s="9"/>
      <c r="X568" s="32"/>
      <c r="Y568" s="36"/>
    </row>
    <row r="569" spans="1:25" s="4" customFormat="1" ht="18" customHeight="1">
      <c r="A569" s="36"/>
      <c r="B569" s="76"/>
      <c r="C569" s="69"/>
      <c r="D569" s="31"/>
      <c r="E569" s="29"/>
      <c r="F569" s="28"/>
      <c r="G569" s="29"/>
      <c r="H569" s="29"/>
      <c r="I569" s="30"/>
      <c r="J569" s="12"/>
      <c r="K569" s="12"/>
      <c r="L569" s="6"/>
      <c r="M569" s="6"/>
      <c r="N569" s="6"/>
      <c r="O569" s="36"/>
      <c r="P569" s="24"/>
      <c r="Q569" s="25"/>
      <c r="R569" s="25"/>
      <c r="S569" s="26"/>
      <c r="T569" s="7"/>
      <c r="U569" s="8"/>
      <c r="V569" s="9"/>
      <c r="W569" s="9"/>
      <c r="X569" s="32"/>
      <c r="Y569" s="36"/>
    </row>
    <row r="570" spans="1:25" s="4" customFormat="1" ht="40.200000000000003" customHeight="1">
      <c r="A570" s="36"/>
      <c r="J570" s="12"/>
      <c r="K570" s="12"/>
      <c r="L570" s="6"/>
      <c r="M570" s="6"/>
      <c r="N570" s="6"/>
      <c r="O570" s="36"/>
      <c r="P570" s="24"/>
      <c r="Q570" s="25"/>
      <c r="R570" s="25"/>
      <c r="S570" s="26"/>
      <c r="T570" s="7"/>
      <c r="U570" s="8"/>
      <c r="V570" s="9"/>
      <c r="W570" s="9"/>
      <c r="X570" s="32"/>
      <c r="Y570" s="36"/>
    </row>
    <row r="571" spans="1:25" s="4" customFormat="1" ht="27" customHeight="1">
      <c r="A571" s="36"/>
      <c r="J571" s="12">
        <f>IF(AND(F12="",G12=""),"",IF(F12="",G12,F12+G12))</f>
        <v>7.8019999999999996</v>
      </c>
      <c r="K571" s="12">
        <f>IF(AND(F12="",H12=""),"",IF(F12="",H12,F12+H12))</f>
        <v>8.8010000000000002</v>
      </c>
      <c r="L571" s="6"/>
      <c r="M571" s="6"/>
      <c r="N571" s="6"/>
      <c r="O571" s="36"/>
      <c r="P571" s="24" t="str">
        <f>IF(ISERR(L571/L571)=TRUE," ",L571-$F12)</f>
        <v xml:space="preserve"> </v>
      </c>
      <c r="Q571" s="25" t="str">
        <f>IF(ISERR(M571/M571)=TRUE," ",M571-$F12)</f>
        <v xml:space="preserve"> </v>
      </c>
      <c r="R571" s="25" t="str">
        <f>IF(ISERR(N571/N571)=TRUE," ",N571-$F12)</f>
        <v xml:space="preserve"> </v>
      </c>
      <c r="S571" s="26" t="str">
        <f t="shared" si="56"/>
        <v xml:space="preserve"> </v>
      </c>
      <c r="T571" s="7" t="str">
        <f>IF(ISERR(G12/G12)=TRUE," ",IF(ISERR(L571/L571)=TRUE," ",IF(ISNUMBER($L571)=FALSE," ",IF(MAX($L571:$N571)&lt;$F12,0,(MAX($L571:$N571)-$F12)/$G12))))</f>
        <v xml:space="preserve"> </v>
      </c>
      <c r="U571" s="8" t="str">
        <f>IF(ISERR(H12/F12)=TRUE," ",IF(ISERR(H12/H12)=TRUE," ",IF(ISERR(L571/L571)=TRUE," ",IF(ISNUMBER(L571)=FALSE," ",IF(MIN(L571:N571)&gt;$F12,0,($F12-MIN(L571:N571))/-H12)))))</f>
        <v xml:space="preserve"> </v>
      </c>
      <c r="V571" s="9" t="str">
        <f t="shared" si="59"/>
        <v xml:space="preserve"> </v>
      </c>
      <c r="W571" s="9" t="str">
        <f>IF(L571="","",IF(ISERR(H12/H12)=TRUE," ",IF(ISERR(H12/F12)=TRUE,IF((H12-MIN(L571:N571))&gt;0.001,"Reject",""),IF(ISNUMBER($U571)=TRUE,IF($U571&gt;0.651,IF($U571&gt;1.001,"Reject","Alert")," ")," "))))</f>
        <v/>
      </c>
      <c r="X571" s="32"/>
      <c r="Y571" s="36"/>
    </row>
    <row r="572" spans="1:25" s="4" customFormat="1" ht="33.6" customHeight="1">
      <c r="A572" s="36"/>
      <c r="J572" s="12">
        <f>IF(AND(F13="",G13=""),"",IF(F13="",G13,F13+G13))</f>
        <v>8.8050000000000015</v>
      </c>
      <c r="K572" s="12">
        <f>IF(AND(F13="",H13=""),"",IF(F13="",H13,F13+H13))</f>
        <v>8.8050000000000015</v>
      </c>
      <c r="L572" s="6"/>
      <c r="M572" s="6"/>
      <c r="N572" s="6"/>
      <c r="O572" s="36"/>
      <c r="P572" s="24" t="str">
        <f>IF(ISERR(L572/L572)=TRUE," ",L572-$F13)</f>
        <v xml:space="preserve"> </v>
      </c>
      <c r="Q572" s="25" t="str">
        <f>IF(ISERR(M572/M572)=TRUE," ",M572-$F13)</f>
        <v xml:space="preserve"> </v>
      </c>
      <c r="R572" s="25" t="str">
        <f>IF(ISERR(N572/N572)=TRUE," ",N572-$F13)</f>
        <v xml:space="preserve"> </v>
      </c>
      <c r="S572" s="26" t="str">
        <f t="shared" si="56"/>
        <v xml:space="preserve"> </v>
      </c>
      <c r="T572" s="7" t="str">
        <f>IF(ISERR(G13/G13)=TRUE," ",IF(ISERR(L572/L572)=TRUE," ",IF(ISNUMBER($L572)=FALSE," ",IF(MAX($L572:$N572)&lt;$F13,0,(MAX($L572:$N572)-$F13)/$G13))))</f>
        <v xml:space="preserve"> </v>
      </c>
      <c r="U572" s="8" t="str">
        <f>IF(ISERR(H13/F13)=TRUE," ",IF(ISERR(H13/H13)=TRUE," ",IF(ISERR(L572/L572)=TRUE," ",IF(ISNUMBER(L572)=FALSE," ",IF(MIN(L572:N572)&gt;$F13,0,($F13-MIN(L572:N572))/-H13)))))</f>
        <v xml:space="preserve"> </v>
      </c>
      <c r="V572" s="9" t="str">
        <f t="shared" si="59"/>
        <v xml:space="preserve"> </v>
      </c>
      <c r="W572" s="9" t="str">
        <f>IF(L572="","",IF(ISERR(H13/H13)=TRUE," ",IF(ISERR(H13/F13)=TRUE,IF((H13-MIN(L572:N572))&gt;0.001,"Reject",""),IF(ISNUMBER($U572)=TRUE,IF($U572&gt;0.651,IF($U572&gt;1.001,"Reject","Alert")," ")," "))))</f>
        <v/>
      </c>
      <c r="X572" s="32"/>
      <c r="Y572" s="36"/>
    </row>
    <row r="573" spans="1:25" s="4" customFormat="1" ht="18" customHeight="1">
      <c r="A573" s="36"/>
      <c r="B573" s="76"/>
      <c r="C573" s="69"/>
      <c r="D573" s="31"/>
      <c r="E573" s="29"/>
      <c r="F573" s="28"/>
      <c r="G573" s="29"/>
      <c r="H573" s="29"/>
      <c r="I573" s="30"/>
      <c r="J573" s="12" t="str">
        <f t="shared" ref="J573:J692" si="69">IF(AND(F573="",G573=""),"",IF(F573="",G573,F573+G573))</f>
        <v/>
      </c>
      <c r="K573" s="12" t="str">
        <f t="shared" ref="K573:K692" si="70">IF(AND(F573="",H573=""),"",IF(F573="",H573,F573+H573))</f>
        <v/>
      </c>
      <c r="L573" s="6"/>
      <c r="M573" s="6"/>
      <c r="N573" s="6"/>
      <c r="O573" s="36"/>
      <c r="P573" s="24" t="str">
        <f t="shared" si="66"/>
        <v xml:space="preserve"> </v>
      </c>
      <c r="Q573" s="25" t="str">
        <f t="shared" si="66"/>
        <v xml:space="preserve"> </v>
      </c>
      <c r="R573" s="25" t="str">
        <f t="shared" si="66"/>
        <v xml:space="preserve"> </v>
      </c>
      <c r="S573" s="26" t="str">
        <f t="shared" si="56"/>
        <v xml:space="preserve"> </v>
      </c>
      <c r="T573" s="7" t="str">
        <f t="shared" si="57"/>
        <v xml:space="preserve"> </v>
      </c>
      <c r="U573" s="8" t="str">
        <f t="shared" si="58"/>
        <v xml:space="preserve"> </v>
      </c>
      <c r="V573" s="9" t="str">
        <f t="shared" si="59"/>
        <v xml:space="preserve"> </v>
      </c>
      <c r="W573" s="9" t="str">
        <f t="shared" si="60"/>
        <v/>
      </c>
      <c r="X573" s="32"/>
      <c r="Y573" s="36"/>
    </row>
    <row r="574" spans="1:25" s="4" customFormat="1" ht="18" customHeight="1">
      <c r="A574" s="36"/>
      <c r="B574" s="76"/>
      <c r="C574" s="69"/>
      <c r="D574" s="31"/>
      <c r="E574" s="29"/>
      <c r="F574" s="28"/>
      <c r="G574" s="29"/>
      <c r="H574" s="29"/>
      <c r="I574" s="30"/>
      <c r="J574" s="12" t="str">
        <f t="shared" si="69"/>
        <v/>
      </c>
      <c r="K574" s="12" t="str">
        <f t="shared" si="70"/>
        <v/>
      </c>
      <c r="L574" s="6"/>
      <c r="M574" s="6"/>
      <c r="N574" s="6"/>
      <c r="O574" s="36"/>
      <c r="P574" s="24" t="str">
        <f t="shared" si="66"/>
        <v xml:space="preserve"> </v>
      </c>
      <c r="Q574" s="25" t="str">
        <f t="shared" si="66"/>
        <v xml:space="preserve"> </v>
      </c>
      <c r="R574" s="25" t="str">
        <f t="shared" si="66"/>
        <v xml:space="preserve"> </v>
      </c>
      <c r="S574" s="26" t="str">
        <f t="shared" si="56"/>
        <v xml:space="preserve"> </v>
      </c>
      <c r="T574" s="7" t="str">
        <f t="shared" si="57"/>
        <v xml:space="preserve"> </v>
      </c>
      <c r="U574" s="8" t="str">
        <f t="shared" si="58"/>
        <v xml:space="preserve"> </v>
      </c>
      <c r="V574" s="9" t="str">
        <f t="shared" si="59"/>
        <v xml:space="preserve"> </v>
      </c>
      <c r="W574" s="9" t="str">
        <f t="shared" si="60"/>
        <v/>
      </c>
      <c r="X574" s="32"/>
      <c r="Y574" s="36"/>
    </row>
    <row r="575" spans="1:25" s="4" customFormat="1" ht="18" customHeight="1">
      <c r="A575" s="36"/>
      <c r="B575" s="76"/>
      <c r="C575" s="69"/>
      <c r="D575" s="31"/>
      <c r="E575" s="29"/>
      <c r="F575" s="28"/>
      <c r="G575" s="29"/>
      <c r="H575" s="29"/>
      <c r="I575" s="30"/>
      <c r="J575" s="12" t="str">
        <f t="shared" si="69"/>
        <v/>
      </c>
      <c r="K575" s="12" t="str">
        <f t="shared" si="70"/>
        <v/>
      </c>
      <c r="L575" s="6"/>
      <c r="M575" s="6"/>
      <c r="N575" s="6"/>
      <c r="O575" s="36"/>
      <c r="P575" s="24" t="str">
        <f t="shared" si="66"/>
        <v xml:space="preserve"> </v>
      </c>
      <c r="Q575" s="25" t="str">
        <f t="shared" si="66"/>
        <v xml:space="preserve"> </v>
      </c>
      <c r="R575" s="25" t="str">
        <f t="shared" si="66"/>
        <v xml:space="preserve"> </v>
      </c>
      <c r="S575" s="26" t="str">
        <f t="shared" si="56"/>
        <v xml:space="preserve"> </v>
      </c>
      <c r="T575" s="7" t="str">
        <f t="shared" si="57"/>
        <v xml:space="preserve"> </v>
      </c>
      <c r="U575" s="8" t="str">
        <f t="shared" si="58"/>
        <v xml:space="preserve"> </v>
      </c>
      <c r="V575" s="9" t="str">
        <f t="shared" si="59"/>
        <v xml:space="preserve"> </v>
      </c>
      <c r="W575" s="9" t="str">
        <f t="shared" si="60"/>
        <v/>
      </c>
      <c r="X575" s="32"/>
      <c r="Y575" s="36"/>
    </row>
    <row r="576" spans="1:25" s="4" customFormat="1" ht="18" customHeight="1">
      <c r="A576" s="36"/>
      <c r="B576" s="76"/>
      <c r="C576" s="69"/>
      <c r="D576" s="31"/>
      <c r="E576" s="29"/>
      <c r="F576" s="28"/>
      <c r="G576" s="29"/>
      <c r="H576" s="29"/>
      <c r="I576" s="30"/>
      <c r="J576" s="12" t="str">
        <f t="shared" si="69"/>
        <v/>
      </c>
      <c r="K576" s="12" t="str">
        <f t="shared" si="70"/>
        <v/>
      </c>
      <c r="L576" s="6"/>
      <c r="M576" s="6"/>
      <c r="N576" s="6"/>
      <c r="O576" s="36"/>
      <c r="P576" s="24" t="str">
        <f t="shared" si="66"/>
        <v xml:space="preserve"> </v>
      </c>
      <c r="Q576" s="25" t="str">
        <f t="shared" si="66"/>
        <v xml:space="preserve"> </v>
      </c>
      <c r="R576" s="25" t="str">
        <f t="shared" si="66"/>
        <v xml:space="preserve"> </v>
      </c>
      <c r="S576" s="26" t="str">
        <f t="shared" si="56"/>
        <v xml:space="preserve"> </v>
      </c>
      <c r="T576" s="7" t="str">
        <f t="shared" si="57"/>
        <v xml:space="preserve"> </v>
      </c>
      <c r="U576" s="8" t="str">
        <f t="shared" si="58"/>
        <v xml:space="preserve"> </v>
      </c>
      <c r="V576" s="9" t="str">
        <f t="shared" si="59"/>
        <v xml:space="preserve"> </v>
      </c>
      <c r="W576" s="9" t="str">
        <f t="shared" si="60"/>
        <v/>
      </c>
      <c r="X576" s="32"/>
      <c r="Y576" s="36"/>
    </row>
    <row r="577" spans="1:25" s="4" customFormat="1" ht="18" customHeight="1">
      <c r="A577" s="36"/>
      <c r="B577" s="76"/>
      <c r="C577" s="69"/>
      <c r="D577" s="31"/>
      <c r="E577" s="29"/>
      <c r="F577" s="28"/>
      <c r="G577" s="29"/>
      <c r="H577" s="29"/>
      <c r="I577" s="30"/>
      <c r="J577" s="12" t="str">
        <f t="shared" si="69"/>
        <v/>
      </c>
      <c r="K577" s="12" t="str">
        <f t="shared" si="70"/>
        <v/>
      </c>
      <c r="L577" s="6"/>
      <c r="M577" s="6"/>
      <c r="N577" s="6"/>
      <c r="O577" s="36"/>
      <c r="P577" s="24" t="str">
        <f t="shared" si="66"/>
        <v xml:space="preserve"> </v>
      </c>
      <c r="Q577" s="25" t="str">
        <f t="shared" si="66"/>
        <v xml:space="preserve"> </v>
      </c>
      <c r="R577" s="25" t="str">
        <f t="shared" si="66"/>
        <v xml:space="preserve"> </v>
      </c>
      <c r="S577" s="26" t="str">
        <f t="shared" si="56"/>
        <v xml:space="preserve"> </v>
      </c>
      <c r="T577" s="7" t="str">
        <f t="shared" si="57"/>
        <v xml:space="preserve"> </v>
      </c>
      <c r="U577" s="8" t="str">
        <f t="shared" si="58"/>
        <v xml:space="preserve"> </v>
      </c>
      <c r="V577" s="9" t="str">
        <f t="shared" si="59"/>
        <v xml:space="preserve"> </v>
      </c>
      <c r="W577" s="9" t="str">
        <f t="shared" si="60"/>
        <v/>
      </c>
      <c r="X577" s="32"/>
      <c r="Y577" s="36"/>
    </row>
    <row r="578" spans="1:25" s="4" customFormat="1" ht="18" customHeight="1">
      <c r="A578" s="36"/>
      <c r="B578" s="76"/>
      <c r="C578" s="69"/>
      <c r="D578" s="31"/>
      <c r="E578" s="29"/>
      <c r="F578" s="28"/>
      <c r="G578" s="29"/>
      <c r="H578" s="29"/>
      <c r="I578" s="30"/>
      <c r="J578" s="12" t="str">
        <f t="shared" si="69"/>
        <v/>
      </c>
      <c r="K578" s="12" t="str">
        <f t="shared" si="70"/>
        <v/>
      </c>
      <c r="L578" s="6"/>
      <c r="M578" s="6"/>
      <c r="N578" s="6"/>
      <c r="O578" s="36"/>
      <c r="P578" s="24" t="str">
        <f t="shared" si="66"/>
        <v xml:space="preserve"> </v>
      </c>
      <c r="Q578" s="25" t="str">
        <f t="shared" si="66"/>
        <v xml:space="preserve"> </v>
      </c>
      <c r="R578" s="25" t="str">
        <f t="shared" si="66"/>
        <v xml:space="preserve"> </v>
      </c>
      <c r="S578" s="26" t="str">
        <f t="shared" si="56"/>
        <v xml:space="preserve"> </v>
      </c>
      <c r="T578" s="7" t="str">
        <f t="shared" si="57"/>
        <v xml:space="preserve"> </v>
      </c>
      <c r="U578" s="8" t="str">
        <f t="shared" si="58"/>
        <v xml:space="preserve"> </v>
      </c>
      <c r="V578" s="9" t="str">
        <f t="shared" si="59"/>
        <v xml:space="preserve"> </v>
      </c>
      <c r="W578" s="9" t="str">
        <f t="shared" si="60"/>
        <v/>
      </c>
      <c r="X578" s="32"/>
      <c r="Y578" s="36"/>
    </row>
    <row r="579" spans="1:25" s="4" customFormat="1" ht="18" customHeight="1">
      <c r="A579" s="36"/>
      <c r="B579" s="76"/>
      <c r="C579" s="69"/>
      <c r="D579" s="31"/>
      <c r="E579" s="29"/>
      <c r="F579" s="28"/>
      <c r="G579" s="29"/>
      <c r="H579" s="29"/>
      <c r="I579" s="30"/>
      <c r="J579" s="12" t="str">
        <f t="shared" si="69"/>
        <v/>
      </c>
      <c r="K579" s="12" t="str">
        <f t="shared" si="70"/>
        <v/>
      </c>
      <c r="L579" s="6"/>
      <c r="M579" s="6"/>
      <c r="N579" s="6"/>
      <c r="O579" s="36"/>
      <c r="P579" s="24" t="str">
        <f t="shared" si="66"/>
        <v xml:space="preserve"> </v>
      </c>
      <c r="Q579" s="25" t="str">
        <f t="shared" si="66"/>
        <v xml:space="preserve"> </v>
      </c>
      <c r="R579" s="25" t="str">
        <f t="shared" si="66"/>
        <v xml:space="preserve"> </v>
      </c>
      <c r="S579" s="26" t="str">
        <f t="shared" si="56"/>
        <v xml:space="preserve"> </v>
      </c>
      <c r="T579" s="7" t="str">
        <f t="shared" si="57"/>
        <v xml:space="preserve"> </v>
      </c>
      <c r="U579" s="8" t="str">
        <f t="shared" si="58"/>
        <v xml:space="preserve"> </v>
      </c>
      <c r="V579" s="9" t="str">
        <f t="shared" si="59"/>
        <v xml:space="preserve"> </v>
      </c>
      <c r="W579" s="9" t="str">
        <f t="shared" si="60"/>
        <v/>
      </c>
      <c r="X579" s="32"/>
      <c r="Y579" s="36"/>
    </row>
    <row r="580" spans="1:25" s="4" customFormat="1" ht="18" customHeight="1">
      <c r="A580" s="36"/>
      <c r="B580" s="76"/>
      <c r="C580" s="69"/>
      <c r="D580" s="31"/>
      <c r="E580" s="29"/>
      <c r="F580" s="28"/>
      <c r="G580" s="29"/>
      <c r="H580" s="29"/>
      <c r="I580" s="30"/>
      <c r="J580" s="12" t="str">
        <f t="shared" si="69"/>
        <v/>
      </c>
      <c r="K580" s="12" t="str">
        <f t="shared" si="70"/>
        <v/>
      </c>
      <c r="L580" s="6"/>
      <c r="M580" s="6"/>
      <c r="N580" s="6"/>
      <c r="O580" s="36"/>
      <c r="P580" s="24" t="str">
        <f t="shared" si="66"/>
        <v xml:space="preserve"> </v>
      </c>
      <c r="Q580" s="25" t="str">
        <f t="shared" si="66"/>
        <v xml:space="preserve"> </v>
      </c>
      <c r="R580" s="25" t="str">
        <f t="shared" si="66"/>
        <v xml:space="preserve"> </v>
      </c>
      <c r="S580" s="26" t="str">
        <f t="shared" si="56"/>
        <v xml:space="preserve"> </v>
      </c>
      <c r="T580" s="7" t="str">
        <f t="shared" si="57"/>
        <v xml:space="preserve"> </v>
      </c>
      <c r="U580" s="8" t="str">
        <f t="shared" si="58"/>
        <v xml:space="preserve"> </v>
      </c>
      <c r="V580" s="9" t="str">
        <f t="shared" si="59"/>
        <v xml:space="preserve"> </v>
      </c>
      <c r="W580" s="9" t="str">
        <f t="shared" si="60"/>
        <v/>
      </c>
      <c r="X580" s="32"/>
      <c r="Y580" s="36"/>
    </row>
    <row r="581" spans="1:25" s="4" customFormat="1" ht="18" customHeight="1">
      <c r="A581" s="36"/>
      <c r="B581" s="76"/>
      <c r="C581" s="69"/>
      <c r="D581" s="31"/>
      <c r="E581" s="29"/>
      <c r="F581" s="28"/>
      <c r="G581" s="29"/>
      <c r="H581" s="29"/>
      <c r="I581" s="30"/>
      <c r="J581" s="12" t="str">
        <f t="shared" si="69"/>
        <v/>
      </c>
      <c r="K581" s="12" t="str">
        <f t="shared" si="70"/>
        <v/>
      </c>
      <c r="L581" s="6"/>
      <c r="M581" s="6"/>
      <c r="N581" s="6"/>
      <c r="O581" s="36"/>
      <c r="P581" s="24" t="str">
        <f t="shared" si="66"/>
        <v xml:space="preserve"> </v>
      </c>
      <c r="Q581" s="25" t="str">
        <f t="shared" si="66"/>
        <v xml:space="preserve"> </v>
      </c>
      <c r="R581" s="25" t="str">
        <f t="shared" si="66"/>
        <v xml:space="preserve"> </v>
      </c>
      <c r="S581" s="26" t="str">
        <f t="shared" si="56"/>
        <v xml:space="preserve"> </v>
      </c>
      <c r="T581" s="7" t="str">
        <f t="shared" si="57"/>
        <v xml:space="preserve"> </v>
      </c>
      <c r="U581" s="8" t="str">
        <f t="shared" si="58"/>
        <v xml:space="preserve"> </v>
      </c>
      <c r="V581" s="9" t="str">
        <f t="shared" si="59"/>
        <v xml:space="preserve"> </v>
      </c>
      <c r="W581" s="9" t="str">
        <f t="shared" si="60"/>
        <v/>
      </c>
      <c r="X581" s="32"/>
      <c r="Y581" s="36"/>
    </row>
    <row r="582" spans="1:25" s="4" customFormat="1" ht="18" customHeight="1">
      <c r="A582" s="36"/>
      <c r="B582" s="76"/>
      <c r="C582" s="69"/>
      <c r="D582" s="31"/>
      <c r="E582" s="29"/>
      <c r="F582" s="28"/>
      <c r="G582" s="29"/>
      <c r="H582" s="29"/>
      <c r="I582" s="30"/>
      <c r="J582" s="12" t="str">
        <f t="shared" si="69"/>
        <v/>
      </c>
      <c r="K582" s="12" t="str">
        <f t="shared" si="70"/>
        <v/>
      </c>
      <c r="L582" s="6"/>
      <c r="M582" s="6"/>
      <c r="N582" s="6"/>
      <c r="O582" s="36"/>
      <c r="P582" s="24" t="str">
        <f t="shared" si="66"/>
        <v xml:space="preserve"> </v>
      </c>
      <c r="Q582" s="25" t="str">
        <f t="shared" si="66"/>
        <v xml:space="preserve"> </v>
      </c>
      <c r="R582" s="25" t="str">
        <f t="shared" si="66"/>
        <v xml:space="preserve"> </v>
      </c>
      <c r="S582" s="26" t="str">
        <f t="shared" si="56"/>
        <v xml:space="preserve"> </v>
      </c>
      <c r="T582" s="7" t="str">
        <f t="shared" si="57"/>
        <v xml:space="preserve"> </v>
      </c>
      <c r="U582" s="8" t="str">
        <f t="shared" si="58"/>
        <v xml:space="preserve"> </v>
      </c>
      <c r="V582" s="9" t="str">
        <f t="shared" si="59"/>
        <v xml:space="preserve"> </v>
      </c>
      <c r="W582" s="9" t="str">
        <f t="shared" si="60"/>
        <v/>
      </c>
      <c r="X582" s="32"/>
      <c r="Y582" s="36"/>
    </row>
    <row r="583" spans="1:25" s="4" customFormat="1" ht="18" customHeight="1">
      <c r="A583" s="36"/>
      <c r="B583" s="76"/>
      <c r="C583" s="69"/>
      <c r="D583" s="31"/>
      <c r="E583" s="29"/>
      <c r="F583" s="28"/>
      <c r="G583" s="29"/>
      <c r="H583" s="29"/>
      <c r="I583" s="30"/>
      <c r="J583" s="12" t="str">
        <f t="shared" si="69"/>
        <v/>
      </c>
      <c r="K583" s="12" t="str">
        <f t="shared" si="70"/>
        <v/>
      </c>
      <c r="L583" s="6"/>
      <c r="M583" s="6"/>
      <c r="N583" s="6"/>
      <c r="O583" s="36"/>
      <c r="P583" s="24" t="str">
        <f t="shared" si="66"/>
        <v xml:space="preserve"> </v>
      </c>
      <c r="Q583" s="25" t="str">
        <f t="shared" si="66"/>
        <v xml:space="preserve"> </v>
      </c>
      <c r="R583" s="25" t="str">
        <f t="shared" si="66"/>
        <v xml:space="preserve"> </v>
      </c>
      <c r="S583" s="26" t="str">
        <f t="shared" si="56"/>
        <v xml:space="preserve"> </v>
      </c>
      <c r="T583" s="7" t="str">
        <f t="shared" si="57"/>
        <v xml:space="preserve"> </v>
      </c>
      <c r="U583" s="8" t="str">
        <f t="shared" si="58"/>
        <v xml:space="preserve"> </v>
      </c>
      <c r="V583" s="9" t="str">
        <f t="shared" si="59"/>
        <v xml:space="preserve"> </v>
      </c>
      <c r="W583" s="9" t="str">
        <f t="shared" si="60"/>
        <v/>
      </c>
      <c r="X583" s="32"/>
      <c r="Y583" s="36"/>
    </row>
    <row r="584" spans="1:25" s="4" customFormat="1" ht="18" customHeight="1">
      <c r="A584" s="36"/>
      <c r="B584" s="76"/>
      <c r="C584" s="69"/>
      <c r="D584" s="31"/>
      <c r="E584" s="29"/>
      <c r="F584" s="28"/>
      <c r="G584" s="29"/>
      <c r="H584" s="29"/>
      <c r="I584" s="30"/>
      <c r="J584" s="12" t="str">
        <f t="shared" si="69"/>
        <v/>
      </c>
      <c r="K584" s="12" t="str">
        <f t="shared" si="70"/>
        <v/>
      </c>
      <c r="L584" s="6"/>
      <c r="M584" s="6"/>
      <c r="N584" s="6"/>
      <c r="O584" s="36"/>
      <c r="P584" s="24" t="str">
        <f t="shared" si="66"/>
        <v xml:space="preserve"> </v>
      </c>
      <c r="Q584" s="25" t="str">
        <f t="shared" si="66"/>
        <v xml:space="preserve"> </v>
      </c>
      <c r="R584" s="25" t="str">
        <f t="shared" si="66"/>
        <v xml:space="preserve"> </v>
      </c>
      <c r="S584" s="26" t="str">
        <f t="shared" si="56"/>
        <v xml:space="preserve"> </v>
      </c>
      <c r="T584" s="7" t="str">
        <f t="shared" si="57"/>
        <v xml:space="preserve"> </v>
      </c>
      <c r="U584" s="8" t="str">
        <f t="shared" si="58"/>
        <v xml:space="preserve"> </v>
      </c>
      <c r="V584" s="9" t="str">
        <f t="shared" si="59"/>
        <v xml:space="preserve"> </v>
      </c>
      <c r="W584" s="9" t="str">
        <f t="shared" si="60"/>
        <v/>
      </c>
      <c r="X584" s="32"/>
      <c r="Y584" s="36"/>
    </row>
    <row r="585" spans="1:25" s="4" customFormat="1" ht="18" customHeight="1">
      <c r="A585" s="36"/>
      <c r="B585" s="76"/>
      <c r="C585" s="69"/>
      <c r="D585" s="31"/>
      <c r="E585" s="29"/>
      <c r="F585" s="28"/>
      <c r="G585" s="29"/>
      <c r="H585" s="29"/>
      <c r="I585" s="30"/>
      <c r="J585" s="12" t="str">
        <f t="shared" si="69"/>
        <v/>
      </c>
      <c r="K585" s="12" t="str">
        <f t="shared" si="70"/>
        <v/>
      </c>
      <c r="L585" s="6"/>
      <c r="M585" s="6"/>
      <c r="N585" s="6"/>
      <c r="O585" s="36"/>
      <c r="P585" s="24" t="str">
        <f t="shared" si="66"/>
        <v xml:space="preserve"> </v>
      </c>
      <c r="Q585" s="25" t="str">
        <f t="shared" si="66"/>
        <v xml:space="preserve"> </v>
      </c>
      <c r="R585" s="25" t="str">
        <f t="shared" si="66"/>
        <v xml:space="preserve"> </v>
      </c>
      <c r="S585" s="26" t="str">
        <f t="shared" si="56"/>
        <v xml:space="preserve"> </v>
      </c>
      <c r="T585" s="7" t="str">
        <f t="shared" si="57"/>
        <v xml:space="preserve"> </v>
      </c>
      <c r="U585" s="8" t="str">
        <f t="shared" si="58"/>
        <v xml:space="preserve"> </v>
      </c>
      <c r="V585" s="9" t="str">
        <f t="shared" si="59"/>
        <v xml:space="preserve"> </v>
      </c>
      <c r="W585" s="9" t="str">
        <f t="shared" si="60"/>
        <v/>
      </c>
      <c r="X585" s="32"/>
      <c r="Y585" s="36"/>
    </row>
    <row r="586" spans="1:25" s="4" customFormat="1" ht="18" customHeight="1">
      <c r="A586" s="36"/>
      <c r="B586" s="76"/>
      <c r="C586" s="69"/>
      <c r="D586" s="31"/>
      <c r="E586" s="29"/>
      <c r="F586" s="28"/>
      <c r="G586" s="29"/>
      <c r="H586" s="29"/>
      <c r="I586" s="30"/>
      <c r="J586" s="12" t="str">
        <f t="shared" si="69"/>
        <v/>
      </c>
      <c r="K586" s="12" t="str">
        <f t="shared" si="70"/>
        <v/>
      </c>
      <c r="L586" s="6"/>
      <c r="M586" s="6"/>
      <c r="N586" s="6"/>
      <c r="O586" s="36"/>
      <c r="P586" s="24" t="str">
        <f t="shared" si="66"/>
        <v xml:space="preserve"> </v>
      </c>
      <c r="Q586" s="25" t="str">
        <f t="shared" si="66"/>
        <v xml:space="preserve"> </v>
      </c>
      <c r="R586" s="25" t="str">
        <f t="shared" si="66"/>
        <v xml:space="preserve"> </v>
      </c>
      <c r="S586" s="26" t="str">
        <f t="shared" si="56"/>
        <v xml:space="preserve"> </v>
      </c>
      <c r="T586" s="7" t="str">
        <f t="shared" si="57"/>
        <v xml:space="preserve"> </v>
      </c>
      <c r="U586" s="8" t="str">
        <f t="shared" si="58"/>
        <v xml:space="preserve"> </v>
      </c>
      <c r="V586" s="9" t="str">
        <f t="shared" si="59"/>
        <v xml:space="preserve"> </v>
      </c>
      <c r="W586" s="9" t="str">
        <f t="shared" si="60"/>
        <v/>
      </c>
      <c r="X586" s="32"/>
      <c r="Y586" s="36"/>
    </row>
    <row r="587" spans="1:25" s="4" customFormat="1" ht="18" customHeight="1">
      <c r="A587" s="36"/>
      <c r="B587" s="76"/>
      <c r="C587" s="69"/>
      <c r="D587" s="31"/>
      <c r="E587" s="29"/>
      <c r="F587" s="28"/>
      <c r="G587" s="29"/>
      <c r="H587" s="29"/>
      <c r="I587" s="30"/>
      <c r="J587" s="12" t="str">
        <f t="shared" si="69"/>
        <v/>
      </c>
      <c r="K587" s="12" t="str">
        <f t="shared" si="70"/>
        <v/>
      </c>
      <c r="L587" s="6"/>
      <c r="M587" s="6"/>
      <c r="N587" s="6"/>
      <c r="O587" s="36"/>
      <c r="P587" s="24" t="str">
        <f t="shared" si="66"/>
        <v xml:space="preserve"> </v>
      </c>
      <c r="Q587" s="25" t="str">
        <f t="shared" si="66"/>
        <v xml:space="preserve"> </v>
      </c>
      <c r="R587" s="25" t="str">
        <f t="shared" si="66"/>
        <v xml:space="preserve"> </v>
      </c>
      <c r="S587" s="26" t="str">
        <f t="shared" si="56"/>
        <v xml:space="preserve"> </v>
      </c>
      <c r="T587" s="7" t="str">
        <f t="shared" si="57"/>
        <v xml:space="preserve"> </v>
      </c>
      <c r="U587" s="8" t="str">
        <f t="shared" si="58"/>
        <v xml:space="preserve"> </v>
      </c>
      <c r="V587" s="9" t="str">
        <f t="shared" si="59"/>
        <v xml:space="preserve"> </v>
      </c>
      <c r="W587" s="9" t="str">
        <f t="shared" si="60"/>
        <v/>
      </c>
      <c r="X587" s="32"/>
      <c r="Y587" s="36"/>
    </row>
    <row r="588" spans="1:25" s="4" customFormat="1" ht="18" customHeight="1">
      <c r="A588" s="36"/>
      <c r="B588" s="76"/>
      <c r="C588" s="69"/>
      <c r="D588" s="31"/>
      <c r="E588" s="29"/>
      <c r="F588" s="28"/>
      <c r="G588" s="29"/>
      <c r="H588" s="29"/>
      <c r="I588" s="30"/>
      <c r="J588" s="12" t="str">
        <f t="shared" si="69"/>
        <v/>
      </c>
      <c r="K588" s="12" t="str">
        <f t="shared" si="70"/>
        <v/>
      </c>
      <c r="L588" s="6"/>
      <c r="M588" s="6"/>
      <c r="N588" s="6"/>
      <c r="O588" s="36"/>
      <c r="P588" s="24" t="str">
        <f t="shared" si="66"/>
        <v xml:space="preserve"> </v>
      </c>
      <c r="Q588" s="25" t="str">
        <f t="shared" si="66"/>
        <v xml:space="preserve"> </v>
      </c>
      <c r="R588" s="25" t="str">
        <f t="shared" si="66"/>
        <v xml:space="preserve"> </v>
      </c>
      <c r="S588" s="26" t="str">
        <f t="shared" si="56"/>
        <v xml:space="preserve"> </v>
      </c>
      <c r="T588" s="7" t="str">
        <f t="shared" si="57"/>
        <v xml:space="preserve"> </v>
      </c>
      <c r="U588" s="8" t="str">
        <f t="shared" si="58"/>
        <v xml:space="preserve"> </v>
      </c>
      <c r="V588" s="9" t="str">
        <f t="shared" si="59"/>
        <v xml:space="preserve"> </v>
      </c>
      <c r="W588" s="9" t="str">
        <f t="shared" si="60"/>
        <v/>
      </c>
      <c r="X588" s="32"/>
      <c r="Y588" s="36"/>
    </row>
    <row r="589" spans="1:25" s="4" customFormat="1" ht="18" customHeight="1">
      <c r="A589" s="36"/>
      <c r="B589" s="76"/>
      <c r="C589" s="69"/>
      <c r="D589" s="31"/>
      <c r="E589" s="29"/>
      <c r="F589" s="28"/>
      <c r="G589" s="29"/>
      <c r="H589" s="29"/>
      <c r="I589" s="30"/>
      <c r="J589" s="12" t="str">
        <f t="shared" si="69"/>
        <v/>
      </c>
      <c r="K589" s="12" t="str">
        <f t="shared" si="70"/>
        <v/>
      </c>
      <c r="L589" s="6"/>
      <c r="M589" s="6"/>
      <c r="N589" s="6"/>
      <c r="O589" s="36"/>
      <c r="P589" s="24" t="str">
        <f t="shared" si="66"/>
        <v xml:space="preserve"> </v>
      </c>
      <c r="Q589" s="25" t="str">
        <f t="shared" si="66"/>
        <v xml:space="preserve"> </v>
      </c>
      <c r="R589" s="25" t="str">
        <f t="shared" si="66"/>
        <v xml:space="preserve"> </v>
      </c>
      <c r="S589" s="26" t="str">
        <f t="shared" si="56"/>
        <v xml:space="preserve"> </v>
      </c>
      <c r="T589" s="7" t="str">
        <f t="shared" si="57"/>
        <v xml:space="preserve"> </v>
      </c>
      <c r="U589" s="8" t="str">
        <f t="shared" si="58"/>
        <v xml:space="preserve"> </v>
      </c>
      <c r="V589" s="9" t="str">
        <f t="shared" si="59"/>
        <v xml:space="preserve"> </v>
      </c>
      <c r="W589" s="9" t="str">
        <f t="shared" si="60"/>
        <v/>
      </c>
      <c r="X589" s="32"/>
      <c r="Y589" s="36"/>
    </row>
    <row r="590" spans="1:25" s="4" customFormat="1" ht="18" customHeight="1">
      <c r="A590" s="36"/>
      <c r="B590" s="76"/>
      <c r="C590" s="69"/>
      <c r="D590" s="31"/>
      <c r="E590" s="29"/>
      <c r="F590" s="28"/>
      <c r="G590" s="29"/>
      <c r="H590" s="29"/>
      <c r="I590" s="30"/>
      <c r="J590" s="12" t="str">
        <f t="shared" si="69"/>
        <v/>
      </c>
      <c r="K590" s="12" t="str">
        <f t="shared" si="70"/>
        <v/>
      </c>
      <c r="L590" s="6"/>
      <c r="M590" s="6"/>
      <c r="N590" s="6"/>
      <c r="O590" s="36"/>
      <c r="P590" s="24" t="str">
        <f t="shared" si="66"/>
        <v xml:space="preserve"> </v>
      </c>
      <c r="Q590" s="25" t="str">
        <f t="shared" si="66"/>
        <v xml:space="preserve"> </v>
      </c>
      <c r="R590" s="25" t="str">
        <f t="shared" si="66"/>
        <v xml:space="preserve"> </v>
      </c>
      <c r="S590" s="26" t="str">
        <f t="shared" si="56"/>
        <v xml:space="preserve"> </v>
      </c>
      <c r="T590" s="7" t="str">
        <f t="shared" si="57"/>
        <v xml:space="preserve"> </v>
      </c>
      <c r="U590" s="8" t="str">
        <f t="shared" si="58"/>
        <v xml:space="preserve"> </v>
      </c>
      <c r="V590" s="9" t="str">
        <f t="shared" si="59"/>
        <v xml:space="preserve"> </v>
      </c>
      <c r="W590" s="9" t="str">
        <f t="shared" si="60"/>
        <v/>
      </c>
      <c r="X590" s="32"/>
      <c r="Y590" s="36"/>
    </row>
    <row r="591" spans="1:25" s="4" customFormat="1" ht="18" customHeight="1">
      <c r="A591" s="36"/>
      <c r="B591" s="76"/>
      <c r="C591" s="69"/>
      <c r="D591" s="31"/>
      <c r="E591" s="29"/>
      <c r="F591" s="28"/>
      <c r="G591" s="29"/>
      <c r="H591" s="29"/>
      <c r="I591" s="30"/>
      <c r="J591" s="12" t="str">
        <f t="shared" si="69"/>
        <v/>
      </c>
      <c r="K591" s="12" t="str">
        <f t="shared" si="70"/>
        <v/>
      </c>
      <c r="L591" s="6"/>
      <c r="M591" s="6"/>
      <c r="N591" s="6"/>
      <c r="O591" s="36"/>
      <c r="P591" s="24" t="str">
        <f t="shared" si="66"/>
        <v xml:space="preserve"> </v>
      </c>
      <c r="Q591" s="25" t="str">
        <f t="shared" si="66"/>
        <v xml:space="preserve"> </v>
      </c>
      <c r="R591" s="25" t="str">
        <f t="shared" si="66"/>
        <v xml:space="preserve"> </v>
      </c>
      <c r="S591" s="26" t="str">
        <f t="shared" si="56"/>
        <v xml:space="preserve"> </v>
      </c>
      <c r="T591" s="7" t="str">
        <f t="shared" si="57"/>
        <v xml:space="preserve"> </v>
      </c>
      <c r="U591" s="8" t="str">
        <f t="shared" si="58"/>
        <v xml:space="preserve"> </v>
      </c>
      <c r="V591" s="9" t="str">
        <f t="shared" si="59"/>
        <v xml:space="preserve"> </v>
      </c>
      <c r="W591" s="9" t="str">
        <f t="shared" si="60"/>
        <v/>
      </c>
      <c r="X591" s="32"/>
      <c r="Y591" s="36"/>
    </row>
    <row r="592" spans="1:25" s="4" customFormat="1" ht="18" customHeight="1">
      <c r="A592" s="36"/>
      <c r="B592" s="76"/>
      <c r="C592" s="69"/>
      <c r="D592" s="31"/>
      <c r="E592" s="29"/>
      <c r="F592" s="28"/>
      <c r="G592" s="29"/>
      <c r="H592" s="29"/>
      <c r="I592" s="30"/>
      <c r="J592" s="12" t="str">
        <f t="shared" si="69"/>
        <v/>
      </c>
      <c r="K592" s="12" t="str">
        <f t="shared" si="70"/>
        <v/>
      </c>
      <c r="L592" s="6"/>
      <c r="M592" s="6"/>
      <c r="N592" s="6"/>
      <c r="O592" s="36"/>
      <c r="P592" s="24" t="str">
        <f t="shared" si="66"/>
        <v xml:space="preserve"> </v>
      </c>
      <c r="Q592" s="25" t="str">
        <f t="shared" si="66"/>
        <v xml:space="preserve"> </v>
      </c>
      <c r="R592" s="25" t="str">
        <f t="shared" si="66"/>
        <v xml:space="preserve"> </v>
      </c>
      <c r="S592" s="26" t="str">
        <f t="shared" si="56"/>
        <v xml:space="preserve"> </v>
      </c>
      <c r="T592" s="7" t="str">
        <f t="shared" si="57"/>
        <v xml:space="preserve"> </v>
      </c>
      <c r="U592" s="8" t="str">
        <f t="shared" si="58"/>
        <v xml:space="preserve"> </v>
      </c>
      <c r="V592" s="9" t="str">
        <f t="shared" si="59"/>
        <v xml:space="preserve"> </v>
      </c>
      <c r="W592" s="9" t="str">
        <f t="shared" si="60"/>
        <v/>
      </c>
      <c r="X592" s="32"/>
      <c r="Y592" s="36"/>
    </row>
    <row r="593" spans="1:25" s="4" customFormat="1" ht="18" customHeight="1">
      <c r="A593" s="36"/>
      <c r="B593" s="76"/>
      <c r="C593" s="69"/>
      <c r="D593" s="31"/>
      <c r="E593" s="29"/>
      <c r="F593" s="28"/>
      <c r="G593" s="29"/>
      <c r="H593" s="29"/>
      <c r="I593" s="30"/>
      <c r="J593" s="12" t="str">
        <f t="shared" si="69"/>
        <v/>
      </c>
      <c r="K593" s="12" t="str">
        <f t="shared" si="70"/>
        <v/>
      </c>
      <c r="L593" s="6"/>
      <c r="M593" s="6"/>
      <c r="N593" s="6"/>
      <c r="O593" s="36"/>
      <c r="P593" s="24" t="str">
        <f t="shared" si="66"/>
        <v xml:space="preserve"> </v>
      </c>
      <c r="Q593" s="25" t="str">
        <f t="shared" si="66"/>
        <v xml:space="preserve"> </v>
      </c>
      <c r="R593" s="25" t="str">
        <f t="shared" si="66"/>
        <v xml:space="preserve"> </v>
      </c>
      <c r="S593" s="26" t="str">
        <f t="shared" si="56"/>
        <v xml:space="preserve"> </v>
      </c>
      <c r="T593" s="7" t="str">
        <f t="shared" si="57"/>
        <v xml:space="preserve"> </v>
      </c>
      <c r="U593" s="8" t="str">
        <f t="shared" si="58"/>
        <v xml:space="preserve"> </v>
      </c>
      <c r="V593" s="9" t="str">
        <f t="shared" si="59"/>
        <v xml:space="preserve"> </v>
      </c>
      <c r="W593" s="9" t="str">
        <f t="shared" si="60"/>
        <v/>
      </c>
      <c r="X593" s="32"/>
      <c r="Y593" s="36"/>
    </row>
    <row r="594" spans="1:25" s="4" customFormat="1" ht="18" customHeight="1">
      <c r="A594" s="36"/>
      <c r="B594" s="76"/>
      <c r="C594" s="69"/>
      <c r="D594" s="31"/>
      <c r="E594" s="29"/>
      <c r="F594" s="28"/>
      <c r="G594" s="29"/>
      <c r="H594" s="29"/>
      <c r="I594" s="30"/>
      <c r="J594" s="12" t="str">
        <f t="shared" si="69"/>
        <v/>
      </c>
      <c r="K594" s="12" t="str">
        <f t="shared" si="70"/>
        <v/>
      </c>
      <c r="L594" s="6"/>
      <c r="M594" s="6"/>
      <c r="N594" s="6"/>
      <c r="O594" s="36"/>
      <c r="P594" s="24" t="str">
        <f t="shared" si="66"/>
        <v xml:space="preserve"> </v>
      </c>
      <c r="Q594" s="25" t="str">
        <f t="shared" si="66"/>
        <v xml:space="preserve"> </v>
      </c>
      <c r="R594" s="25" t="str">
        <f t="shared" si="66"/>
        <v xml:space="preserve"> </v>
      </c>
      <c r="S594" s="26" t="str">
        <f t="shared" si="56"/>
        <v xml:space="preserve"> </v>
      </c>
      <c r="T594" s="7" t="str">
        <f t="shared" si="57"/>
        <v xml:space="preserve"> </v>
      </c>
      <c r="U594" s="8" t="str">
        <f t="shared" si="58"/>
        <v xml:space="preserve"> </v>
      </c>
      <c r="V594" s="9" t="str">
        <f t="shared" si="59"/>
        <v xml:space="preserve"> </v>
      </c>
      <c r="W594" s="9" t="str">
        <f t="shared" si="60"/>
        <v/>
      </c>
      <c r="X594" s="32"/>
      <c r="Y594" s="36"/>
    </row>
    <row r="595" spans="1:25" s="4" customFormat="1" ht="18" customHeight="1">
      <c r="A595" s="36"/>
      <c r="B595" s="76"/>
      <c r="C595" s="69"/>
      <c r="D595" s="31"/>
      <c r="E595" s="29"/>
      <c r="F595" s="28"/>
      <c r="G595" s="29"/>
      <c r="H595" s="29"/>
      <c r="I595" s="30"/>
      <c r="J595" s="12" t="str">
        <f t="shared" si="69"/>
        <v/>
      </c>
      <c r="K595" s="12" t="str">
        <f t="shared" si="70"/>
        <v/>
      </c>
      <c r="L595" s="6"/>
      <c r="M595" s="6"/>
      <c r="N595" s="6"/>
      <c r="O595" s="36"/>
      <c r="P595" s="24" t="str">
        <f t="shared" si="66"/>
        <v xml:space="preserve"> </v>
      </c>
      <c r="Q595" s="25" t="str">
        <f t="shared" si="66"/>
        <v xml:space="preserve"> </v>
      </c>
      <c r="R595" s="25" t="str">
        <f t="shared" si="66"/>
        <v xml:space="preserve"> </v>
      </c>
      <c r="S595" s="26" t="str">
        <f t="shared" si="56"/>
        <v xml:space="preserve"> </v>
      </c>
      <c r="T595" s="7" t="str">
        <f t="shared" si="57"/>
        <v xml:space="preserve"> </v>
      </c>
      <c r="U595" s="8" t="str">
        <f t="shared" si="58"/>
        <v xml:space="preserve"> </v>
      </c>
      <c r="V595" s="9" t="str">
        <f t="shared" si="59"/>
        <v xml:space="preserve"> </v>
      </c>
      <c r="W595" s="9" t="str">
        <f t="shared" si="60"/>
        <v/>
      </c>
      <c r="X595" s="32"/>
      <c r="Y595" s="36"/>
    </row>
    <row r="596" spans="1:25" s="4" customFormat="1" ht="18" customHeight="1">
      <c r="A596" s="36"/>
      <c r="B596" s="76"/>
      <c r="C596" s="69"/>
      <c r="D596" s="31"/>
      <c r="E596" s="29"/>
      <c r="F596" s="28"/>
      <c r="G596" s="29"/>
      <c r="H596" s="29"/>
      <c r="I596" s="30"/>
      <c r="J596" s="12" t="str">
        <f t="shared" si="69"/>
        <v/>
      </c>
      <c r="K596" s="12" t="str">
        <f t="shared" si="70"/>
        <v/>
      </c>
      <c r="L596" s="6"/>
      <c r="M596" s="6"/>
      <c r="N596" s="6"/>
      <c r="O596" s="36"/>
      <c r="P596" s="24" t="str">
        <f t="shared" si="66"/>
        <v xml:space="preserve"> </v>
      </c>
      <c r="Q596" s="25" t="str">
        <f t="shared" si="66"/>
        <v xml:space="preserve"> </v>
      </c>
      <c r="R596" s="25" t="str">
        <f t="shared" si="66"/>
        <v xml:space="preserve"> </v>
      </c>
      <c r="S596" s="26" t="str">
        <f t="shared" si="56"/>
        <v xml:space="preserve"> </v>
      </c>
      <c r="T596" s="7" t="str">
        <f t="shared" si="57"/>
        <v xml:space="preserve"> </v>
      </c>
      <c r="U596" s="8" t="str">
        <f t="shared" si="58"/>
        <v xml:space="preserve"> </v>
      </c>
      <c r="V596" s="9" t="str">
        <f t="shared" si="59"/>
        <v xml:space="preserve"> </v>
      </c>
      <c r="W596" s="9" t="str">
        <f t="shared" si="60"/>
        <v/>
      </c>
      <c r="X596" s="32"/>
      <c r="Y596" s="36"/>
    </row>
    <row r="597" spans="1:25" s="4" customFormat="1" ht="18" customHeight="1">
      <c r="A597" s="36"/>
      <c r="B597" s="76"/>
      <c r="C597" s="69"/>
      <c r="D597" s="31"/>
      <c r="E597" s="29"/>
      <c r="F597" s="28"/>
      <c r="G597" s="29"/>
      <c r="H597" s="29"/>
      <c r="I597" s="30"/>
      <c r="J597" s="12" t="str">
        <f t="shared" si="69"/>
        <v/>
      </c>
      <c r="K597" s="12" t="str">
        <f t="shared" si="70"/>
        <v/>
      </c>
      <c r="L597" s="6"/>
      <c r="M597" s="6"/>
      <c r="N597" s="6"/>
      <c r="O597" s="36"/>
      <c r="P597" s="24" t="str">
        <f t="shared" si="66"/>
        <v xml:space="preserve"> </v>
      </c>
      <c r="Q597" s="25" t="str">
        <f t="shared" si="66"/>
        <v xml:space="preserve"> </v>
      </c>
      <c r="R597" s="25" t="str">
        <f t="shared" si="66"/>
        <v xml:space="preserve"> </v>
      </c>
      <c r="S597" s="26" t="str">
        <f t="shared" si="56"/>
        <v xml:space="preserve"> </v>
      </c>
      <c r="T597" s="7" t="str">
        <f t="shared" si="57"/>
        <v xml:space="preserve"> </v>
      </c>
      <c r="U597" s="8" t="str">
        <f t="shared" si="58"/>
        <v xml:space="preserve"> </v>
      </c>
      <c r="V597" s="9" t="str">
        <f t="shared" si="59"/>
        <v xml:space="preserve"> </v>
      </c>
      <c r="W597" s="9" t="str">
        <f t="shared" si="60"/>
        <v/>
      </c>
      <c r="X597" s="32"/>
      <c r="Y597" s="36"/>
    </row>
    <row r="598" spans="1:25" s="4" customFormat="1" ht="18" customHeight="1">
      <c r="A598" s="36"/>
      <c r="B598" s="76"/>
      <c r="C598" s="69"/>
      <c r="D598" s="31"/>
      <c r="E598" s="29"/>
      <c r="F598" s="28"/>
      <c r="G598" s="29"/>
      <c r="H598" s="29"/>
      <c r="I598" s="30"/>
      <c r="J598" s="12" t="str">
        <f t="shared" si="69"/>
        <v/>
      </c>
      <c r="K598" s="12" t="str">
        <f t="shared" si="70"/>
        <v/>
      </c>
      <c r="L598" s="6"/>
      <c r="M598" s="6"/>
      <c r="N598" s="6"/>
      <c r="O598" s="36"/>
      <c r="P598" s="24" t="str">
        <f t="shared" si="66"/>
        <v xml:space="preserve"> </v>
      </c>
      <c r="Q598" s="25" t="str">
        <f t="shared" si="66"/>
        <v xml:space="preserve"> </v>
      </c>
      <c r="R598" s="25" t="str">
        <f t="shared" si="66"/>
        <v xml:space="preserve"> </v>
      </c>
      <c r="S598" s="26" t="str">
        <f t="shared" si="56"/>
        <v xml:space="preserve"> </v>
      </c>
      <c r="T598" s="7" t="str">
        <f t="shared" si="57"/>
        <v xml:space="preserve"> </v>
      </c>
      <c r="U598" s="8" t="str">
        <f t="shared" si="58"/>
        <v xml:space="preserve"> </v>
      </c>
      <c r="V598" s="9" t="str">
        <f t="shared" si="59"/>
        <v xml:space="preserve"> </v>
      </c>
      <c r="W598" s="9" t="str">
        <f t="shared" si="60"/>
        <v/>
      </c>
      <c r="X598" s="32"/>
      <c r="Y598" s="36"/>
    </row>
    <row r="599" spans="1:25" s="4" customFormat="1" ht="18" customHeight="1">
      <c r="A599" s="36"/>
      <c r="B599" s="76"/>
      <c r="C599" s="69"/>
      <c r="D599" s="31"/>
      <c r="E599" s="29"/>
      <c r="F599" s="28"/>
      <c r="G599" s="29"/>
      <c r="H599" s="29"/>
      <c r="I599" s="30"/>
      <c r="J599" s="12" t="str">
        <f t="shared" si="69"/>
        <v/>
      </c>
      <c r="K599" s="12" t="str">
        <f t="shared" si="70"/>
        <v/>
      </c>
      <c r="L599" s="6"/>
      <c r="M599" s="6"/>
      <c r="N599" s="6"/>
      <c r="O599" s="36"/>
      <c r="P599" s="24" t="str">
        <f t="shared" si="66"/>
        <v xml:space="preserve"> </v>
      </c>
      <c r="Q599" s="25" t="str">
        <f t="shared" si="66"/>
        <v xml:space="preserve"> </v>
      </c>
      <c r="R599" s="25" t="str">
        <f t="shared" si="66"/>
        <v xml:space="preserve"> </v>
      </c>
      <c r="S599" s="26" t="str">
        <f t="shared" si="56"/>
        <v xml:space="preserve"> </v>
      </c>
      <c r="T599" s="7" t="str">
        <f t="shared" si="57"/>
        <v xml:space="preserve"> </v>
      </c>
      <c r="U599" s="8" t="str">
        <f t="shared" si="58"/>
        <v xml:space="preserve"> </v>
      </c>
      <c r="V599" s="9" t="str">
        <f t="shared" si="59"/>
        <v xml:space="preserve"> </v>
      </c>
      <c r="W599" s="9" t="str">
        <f t="shared" si="60"/>
        <v/>
      </c>
      <c r="X599" s="32"/>
      <c r="Y599" s="36"/>
    </row>
    <row r="600" spans="1:25" s="4" customFormat="1" ht="18" customHeight="1">
      <c r="A600" s="36"/>
      <c r="B600" s="76"/>
      <c r="C600" s="69"/>
      <c r="D600" s="31"/>
      <c r="E600" s="29"/>
      <c r="F600" s="28"/>
      <c r="G600" s="29"/>
      <c r="H600" s="29"/>
      <c r="I600" s="30"/>
      <c r="J600" s="12" t="str">
        <f t="shared" si="69"/>
        <v/>
      </c>
      <c r="K600" s="12" t="str">
        <f t="shared" si="70"/>
        <v/>
      </c>
      <c r="L600" s="6"/>
      <c r="M600" s="6"/>
      <c r="N600" s="6"/>
      <c r="O600" s="36"/>
      <c r="P600" s="24" t="str">
        <f t="shared" si="66"/>
        <v xml:space="preserve"> </v>
      </c>
      <c r="Q600" s="25" t="str">
        <f t="shared" si="66"/>
        <v xml:space="preserve"> </v>
      </c>
      <c r="R600" s="25" t="str">
        <f t="shared" si="66"/>
        <v xml:space="preserve"> </v>
      </c>
      <c r="S600" s="26" t="str">
        <f t="shared" si="56"/>
        <v xml:space="preserve"> </v>
      </c>
      <c r="T600" s="7" t="str">
        <f t="shared" si="57"/>
        <v xml:space="preserve"> </v>
      </c>
      <c r="U600" s="8" t="str">
        <f t="shared" si="58"/>
        <v xml:space="preserve"> </v>
      </c>
      <c r="V600" s="9" t="str">
        <f t="shared" si="59"/>
        <v xml:space="preserve"> </v>
      </c>
      <c r="W600" s="9" t="str">
        <f t="shared" si="60"/>
        <v/>
      </c>
      <c r="X600" s="32"/>
      <c r="Y600" s="36"/>
    </row>
    <row r="601" spans="1:25" s="4" customFormat="1" ht="18" customHeight="1">
      <c r="A601" s="36"/>
      <c r="B601" s="76"/>
      <c r="C601" s="69"/>
      <c r="D601" s="31"/>
      <c r="E601" s="29"/>
      <c r="F601" s="28"/>
      <c r="G601" s="29"/>
      <c r="H601" s="29"/>
      <c r="I601" s="30"/>
      <c r="J601" s="12" t="str">
        <f t="shared" si="69"/>
        <v/>
      </c>
      <c r="K601" s="12" t="str">
        <f t="shared" si="70"/>
        <v/>
      </c>
      <c r="L601" s="6"/>
      <c r="M601" s="6"/>
      <c r="N601" s="6"/>
      <c r="O601" s="36"/>
      <c r="P601" s="24" t="str">
        <f t="shared" si="66"/>
        <v xml:space="preserve"> </v>
      </c>
      <c r="Q601" s="25" t="str">
        <f t="shared" si="66"/>
        <v xml:space="preserve"> </v>
      </c>
      <c r="R601" s="25" t="str">
        <f t="shared" si="66"/>
        <v xml:space="preserve"> </v>
      </c>
      <c r="S601" s="26" t="str">
        <f t="shared" si="56"/>
        <v xml:space="preserve"> </v>
      </c>
      <c r="T601" s="7" t="str">
        <f t="shared" si="57"/>
        <v xml:space="preserve"> </v>
      </c>
      <c r="U601" s="8" t="str">
        <f t="shared" si="58"/>
        <v xml:space="preserve"> </v>
      </c>
      <c r="V601" s="9" t="str">
        <f t="shared" si="59"/>
        <v xml:space="preserve"> </v>
      </c>
      <c r="W601" s="9" t="str">
        <f t="shared" si="60"/>
        <v/>
      </c>
      <c r="X601" s="32"/>
      <c r="Y601" s="36"/>
    </row>
    <row r="602" spans="1:25" s="4" customFormat="1" ht="18" customHeight="1">
      <c r="A602" s="36"/>
      <c r="B602" s="76"/>
      <c r="C602" s="69"/>
      <c r="D602" s="31"/>
      <c r="E602" s="29"/>
      <c r="F602" s="28"/>
      <c r="G602" s="29"/>
      <c r="H602" s="29"/>
      <c r="I602" s="30"/>
      <c r="J602" s="12" t="str">
        <f t="shared" si="69"/>
        <v/>
      </c>
      <c r="K602" s="12" t="str">
        <f t="shared" si="70"/>
        <v/>
      </c>
      <c r="L602" s="6"/>
      <c r="M602" s="6"/>
      <c r="N602" s="6"/>
      <c r="O602" s="36"/>
      <c r="P602" s="24" t="str">
        <f t="shared" si="66"/>
        <v xml:space="preserve"> </v>
      </c>
      <c r="Q602" s="25" t="str">
        <f t="shared" si="66"/>
        <v xml:space="preserve"> </v>
      </c>
      <c r="R602" s="25" t="str">
        <f t="shared" si="66"/>
        <v xml:space="preserve"> </v>
      </c>
      <c r="S602" s="26" t="str">
        <f t="shared" si="56"/>
        <v xml:space="preserve"> </v>
      </c>
      <c r="T602" s="7" t="str">
        <f t="shared" si="57"/>
        <v xml:space="preserve"> </v>
      </c>
      <c r="U602" s="8" t="str">
        <f t="shared" si="58"/>
        <v xml:space="preserve"> </v>
      </c>
      <c r="V602" s="9" t="str">
        <f t="shared" si="59"/>
        <v xml:space="preserve"> </v>
      </c>
      <c r="W602" s="9" t="str">
        <f t="shared" si="60"/>
        <v/>
      </c>
      <c r="X602" s="32"/>
      <c r="Y602" s="36"/>
    </row>
    <row r="603" spans="1:25" s="4" customFormat="1" ht="18" customHeight="1">
      <c r="A603" s="36"/>
      <c r="B603" s="76"/>
      <c r="C603" s="69"/>
      <c r="D603" s="31"/>
      <c r="E603" s="29"/>
      <c r="F603" s="28"/>
      <c r="G603" s="29"/>
      <c r="H603" s="29"/>
      <c r="I603" s="30"/>
      <c r="J603" s="12" t="str">
        <f t="shared" si="69"/>
        <v/>
      </c>
      <c r="K603" s="12" t="str">
        <f t="shared" si="70"/>
        <v/>
      </c>
      <c r="L603" s="6"/>
      <c r="M603" s="6"/>
      <c r="N603" s="6"/>
      <c r="O603" s="36"/>
      <c r="P603" s="24" t="str">
        <f t="shared" si="66"/>
        <v xml:space="preserve"> </v>
      </c>
      <c r="Q603" s="25" t="str">
        <f t="shared" si="66"/>
        <v xml:space="preserve"> </v>
      </c>
      <c r="R603" s="25" t="str">
        <f t="shared" si="66"/>
        <v xml:space="preserve"> </v>
      </c>
      <c r="S603" s="26" t="str">
        <f t="shared" si="56"/>
        <v xml:space="preserve"> </v>
      </c>
      <c r="T603" s="7" t="str">
        <f t="shared" si="57"/>
        <v xml:space="preserve"> </v>
      </c>
      <c r="U603" s="8" t="str">
        <f t="shared" si="58"/>
        <v xml:space="preserve"> </v>
      </c>
      <c r="V603" s="9" t="str">
        <f t="shared" si="59"/>
        <v xml:space="preserve"> </v>
      </c>
      <c r="W603" s="9" t="str">
        <f t="shared" si="60"/>
        <v/>
      </c>
      <c r="X603" s="32"/>
      <c r="Y603" s="36"/>
    </row>
    <row r="604" spans="1:25" s="4" customFormat="1" ht="18" customHeight="1">
      <c r="A604" s="36"/>
      <c r="B604" s="76"/>
      <c r="C604" s="69"/>
      <c r="D604" s="31"/>
      <c r="E604" s="29"/>
      <c r="F604" s="28"/>
      <c r="G604" s="29"/>
      <c r="H604" s="29"/>
      <c r="I604" s="30"/>
      <c r="J604" s="12" t="str">
        <f t="shared" si="69"/>
        <v/>
      </c>
      <c r="K604" s="12" t="str">
        <f t="shared" si="70"/>
        <v/>
      </c>
      <c r="L604" s="6"/>
      <c r="M604" s="6"/>
      <c r="N604" s="6"/>
      <c r="O604" s="36"/>
      <c r="P604" s="24" t="str">
        <f t="shared" si="66"/>
        <v xml:space="preserve"> </v>
      </c>
      <c r="Q604" s="25" t="str">
        <f t="shared" si="66"/>
        <v xml:space="preserve"> </v>
      </c>
      <c r="R604" s="25" t="str">
        <f t="shared" si="66"/>
        <v xml:space="preserve"> </v>
      </c>
      <c r="S604" s="26" t="str">
        <f t="shared" si="56"/>
        <v xml:space="preserve"> </v>
      </c>
      <c r="T604" s="7" t="str">
        <f t="shared" si="57"/>
        <v xml:space="preserve"> </v>
      </c>
      <c r="U604" s="8" t="str">
        <f t="shared" si="58"/>
        <v xml:space="preserve"> </v>
      </c>
      <c r="V604" s="9" t="str">
        <f t="shared" si="59"/>
        <v xml:space="preserve"> </v>
      </c>
      <c r="W604" s="9" t="str">
        <f t="shared" si="60"/>
        <v/>
      </c>
      <c r="X604" s="32"/>
      <c r="Y604" s="36"/>
    </row>
    <row r="605" spans="1:25" s="4" customFormat="1" ht="18" customHeight="1">
      <c r="A605" s="36"/>
      <c r="B605" s="76"/>
      <c r="C605" s="69"/>
      <c r="D605" s="31"/>
      <c r="E605" s="29"/>
      <c r="F605" s="28"/>
      <c r="G605" s="29"/>
      <c r="H605" s="29"/>
      <c r="I605" s="30"/>
      <c r="J605" s="12" t="str">
        <f t="shared" si="69"/>
        <v/>
      </c>
      <c r="K605" s="12" t="str">
        <f t="shared" si="70"/>
        <v/>
      </c>
      <c r="L605" s="6"/>
      <c r="M605" s="6"/>
      <c r="N605" s="6"/>
      <c r="O605" s="36"/>
      <c r="P605" s="24" t="str">
        <f t="shared" si="66"/>
        <v xml:space="preserve"> </v>
      </c>
      <c r="Q605" s="25" t="str">
        <f t="shared" si="66"/>
        <v xml:space="preserve"> </v>
      </c>
      <c r="R605" s="25" t="str">
        <f t="shared" si="66"/>
        <v xml:space="preserve"> </v>
      </c>
      <c r="S605" s="26" t="str">
        <f t="shared" si="56"/>
        <v xml:space="preserve"> </v>
      </c>
      <c r="T605" s="7" t="str">
        <f t="shared" si="57"/>
        <v xml:space="preserve"> </v>
      </c>
      <c r="U605" s="8" t="str">
        <f t="shared" si="58"/>
        <v xml:space="preserve"> </v>
      </c>
      <c r="V605" s="9" t="str">
        <f t="shared" si="59"/>
        <v xml:space="preserve"> </v>
      </c>
      <c r="W605" s="9" t="str">
        <f t="shared" si="60"/>
        <v/>
      </c>
      <c r="X605" s="32"/>
      <c r="Y605" s="36"/>
    </row>
    <row r="606" spans="1:25" s="4" customFormat="1" ht="18" customHeight="1">
      <c r="A606" s="36"/>
      <c r="B606" s="76"/>
      <c r="C606" s="69"/>
      <c r="D606" s="31"/>
      <c r="E606" s="29"/>
      <c r="F606" s="28"/>
      <c r="G606" s="29"/>
      <c r="H606" s="29"/>
      <c r="I606" s="30"/>
      <c r="J606" s="12" t="str">
        <f t="shared" si="69"/>
        <v/>
      </c>
      <c r="K606" s="12" t="str">
        <f t="shared" si="70"/>
        <v/>
      </c>
      <c r="L606" s="6"/>
      <c r="M606" s="6"/>
      <c r="N606" s="6"/>
      <c r="O606" s="36"/>
      <c r="P606" s="24" t="str">
        <f t="shared" ref="P606:R690" si="71">IF(ISERR(L606/L606)=TRUE," ",L606-$F606)</f>
        <v xml:space="preserve"> </v>
      </c>
      <c r="Q606" s="25" t="str">
        <f t="shared" si="71"/>
        <v xml:space="preserve"> </v>
      </c>
      <c r="R606" s="25" t="str">
        <f t="shared" si="71"/>
        <v xml:space="preserve"> </v>
      </c>
      <c r="S606" s="26" t="str">
        <f t="shared" si="56"/>
        <v xml:space="preserve"> </v>
      </c>
      <c r="T606" s="7" t="str">
        <f t="shared" si="57"/>
        <v xml:space="preserve"> </v>
      </c>
      <c r="U606" s="8" t="str">
        <f t="shared" si="58"/>
        <v xml:space="preserve"> </v>
      </c>
      <c r="V606" s="9" t="str">
        <f t="shared" si="59"/>
        <v xml:space="preserve"> </v>
      </c>
      <c r="W606" s="9" t="str">
        <f t="shared" si="60"/>
        <v/>
      </c>
      <c r="X606" s="32"/>
      <c r="Y606" s="36"/>
    </row>
    <row r="607" spans="1:25" s="4" customFormat="1" ht="18" customHeight="1">
      <c r="A607" s="36"/>
      <c r="B607" s="76"/>
      <c r="C607" s="69"/>
      <c r="D607" s="31"/>
      <c r="E607" s="29"/>
      <c r="F607" s="28"/>
      <c r="G607" s="29"/>
      <c r="H607" s="29"/>
      <c r="I607" s="30"/>
      <c r="J607" s="12" t="str">
        <f t="shared" si="69"/>
        <v/>
      </c>
      <c r="K607" s="12" t="str">
        <f t="shared" si="70"/>
        <v/>
      </c>
      <c r="L607" s="6"/>
      <c r="M607" s="6"/>
      <c r="N607" s="6"/>
      <c r="O607" s="36"/>
      <c r="P607" s="24" t="str">
        <f t="shared" si="71"/>
        <v xml:space="preserve"> </v>
      </c>
      <c r="Q607" s="25" t="str">
        <f t="shared" si="71"/>
        <v xml:space="preserve"> </v>
      </c>
      <c r="R607" s="25" t="str">
        <f t="shared" si="71"/>
        <v xml:space="preserve"> </v>
      </c>
      <c r="S607" s="26" t="str">
        <f t="shared" si="56"/>
        <v xml:space="preserve"> </v>
      </c>
      <c r="T607" s="7" t="str">
        <f t="shared" si="57"/>
        <v xml:space="preserve"> </v>
      </c>
      <c r="U607" s="8" t="str">
        <f t="shared" si="58"/>
        <v xml:space="preserve"> </v>
      </c>
      <c r="V607" s="9" t="str">
        <f t="shared" si="59"/>
        <v xml:space="preserve"> </v>
      </c>
      <c r="W607" s="9" t="str">
        <f t="shared" si="60"/>
        <v/>
      </c>
      <c r="X607" s="32"/>
      <c r="Y607" s="36"/>
    </row>
    <row r="608" spans="1:25" s="4" customFormat="1" ht="18" customHeight="1">
      <c r="A608" s="36"/>
      <c r="B608" s="76"/>
      <c r="C608" s="69"/>
      <c r="D608" s="31"/>
      <c r="E608" s="29"/>
      <c r="F608" s="28"/>
      <c r="G608" s="29"/>
      <c r="H608" s="29"/>
      <c r="I608" s="30"/>
      <c r="J608" s="12" t="str">
        <f t="shared" si="69"/>
        <v/>
      </c>
      <c r="K608" s="12" t="str">
        <f t="shared" si="70"/>
        <v/>
      </c>
      <c r="L608" s="6"/>
      <c r="M608" s="6"/>
      <c r="N608" s="6"/>
      <c r="O608" s="36"/>
      <c r="P608" s="24" t="str">
        <f t="shared" si="71"/>
        <v xml:space="preserve"> </v>
      </c>
      <c r="Q608" s="25" t="str">
        <f t="shared" si="71"/>
        <v xml:space="preserve"> </v>
      </c>
      <c r="R608" s="25" t="str">
        <f t="shared" si="71"/>
        <v xml:space="preserve"> </v>
      </c>
      <c r="S608" s="26" t="str">
        <f t="shared" si="56"/>
        <v xml:space="preserve"> </v>
      </c>
      <c r="T608" s="7" t="str">
        <f t="shared" si="57"/>
        <v xml:space="preserve"> </v>
      </c>
      <c r="U608" s="8" t="str">
        <f t="shared" si="58"/>
        <v xml:space="preserve"> </v>
      </c>
      <c r="V608" s="9" t="str">
        <f t="shared" si="59"/>
        <v xml:space="preserve"> </v>
      </c>
      <c r="W608" s="9" t="str">
        <f t="shared" si="60"/>
        <v/>
      </c>
      <c r="X608" s="32"/>
      <c r="Y608" s="36"/>
    </row>
    <row r="609" spans="1:25" s="4" customFormat="1" ht="18" customHeight="1">
      <c r="A609" s="36"/>
      <c r="B609" s="76"/>
      <c r="C609" s="69"/>
      <c r="D609" s="31"/>
      <c r="E609" s="29"/>
      <c r="F609" s="28"/>
      <c r="G609" s="29"/>
      <c r="H609" s="29"/>
      <c r="I609" s="30"/>
      <c r="J609" s="12" t="str">
        <f t="shared" si="69"/>
        <v/>
      </c>
      <c r="K609" s="12" t="str">
        <f t="shared" si="70"/>
        <v/>
      </c>
      <c r="L609" s="6"/>
      <c r="M609" s="6"/>
      <c r="N609" s="6"/>
      <c r="O609" s="36"/>
      <c r="P609" s="24" t="str">
        <f t="shared" si="71"/>
        <v xml:space="preserve"> </v>
      </c>
      <c r="Q609" s="25" t="str">
        <f t="shared" si="71"/>
        <v xml:space="preserve"> </v>
      </c>
      <c r="R609" s="25" t="str">
        <f t="shared" si="71"/>
        <v xml:space="preserve"> </v>
      </c>
      <c r="S609" s="26" t="str">
        <f t="shared" si="56"/>
        <v xml:space="preserve"> </v>
      </c>
      <c r="T609" s="7" t="str">
        <f t="shared" si="57"/>
        <v xml:space="preserve"> </v>
      </c>
      <c r="U609" s="8" t="str">
        <f t="shared" si="58"/>
        <v xml:space="preserve"> </v>
      </c>
      <c r="V609" s="9" t="str">
        <f t="shared" si="59"/>
        <v xml:space="preserve"> </v>
      </c>
      <c r="W609" s="9" t="str">
        <f t="shared" si="60"/>
        <v/>
      </c>
      <c r="X609" s="32"/>
      <c r="Y609" s="36"/>
    </row>
    <row r="610" spans="1:25" s="4" customFormat="1" ht="18" customHeight="1">
      <c r="A610" s="36"/>
      <c r="B610" s="76"/>
      <c r="C610" s="69"/>
      <c r="D610" s="31"/>
      <c r="E610" s="29"/>
      <c r="F610" s="28"/>
      <c r="G610" s="29"/>
      <c r="H610" s="29"/>
      <c r="I610" s="30"/>
      <c r="J610" s="12" t="str">
        <f t="shared" si="69"/>
        <v/>
      </c>
      <c r="K610" s="12" t="str">
        <f t="shared" si="70"/>
        <v/>
      </c>
      <c r="L610" s="6"/>
      <c r="M610" s="6"/>
      <c r="N610" s="6"/>
      <c r="O610" s="36"/>
      <c r="P610" s="24" t="str">
        <f t="shared" si="71"/>
        <v xml:space="preserve"> </v>
      </c>
      <c r="Q610" s="25" t="str">
        <f t="shared" si="71"/>
        <v xml:space="preserve"> </v>
      </c>
      <c r="R610" s="25" t="str">
        <f t="shared" si="71"/>
        <v xml:space="preserve"> </v>
      </c>
      <c r="S610" s="26" t="str">
        <f t="shared" si="56"/>
        <v xml:space="preserve"> </v>
      </c>
      <c r="T610" s="7" t="str">
        <f t="shared" si="57"/>
        <v xml:space="preserve"> </v>
      </c>
      <c r="U610" s="8" t="str">
        <f t="shared" si="58"/>
        <v xml:space="preserve"> </v>
      </c>
      <c r="V610" s="9" t="str">
        <f t="shared" si="59"/>
        <v xml:space="preserve"> </v>
      </c>
      <c r="W610" s="9" t="str">
        <f t="shared" si="60"/>
        <v/>
      </c>
      <c r="X610" s="32"/>
      <c r="Y610" s="36"/>
    </row>
    <row r="611" spans="1:25" s="4" customFormat="1" ht="18" customHeight="1">
      <c r="A611" s="36"/>
      <c r="B611" s="76"/>
      <c r="C611" s="69"/>
      <c r="D611" s="31"/>
      <c r="E611" s="29"/>
      <c r="F611" s="28"/>
      <c r="G611" s="29"/>
      <c r="H611" s="29"/>
      <c r="I611" s="30"/>
      <c r="J611" s="12" t="str">
        <f t="shared" si="69"/>
        <v/>
      </c>
      <c r="K611" s="12" t="str">
        <f t="shared" si="70"/>
        <v/>
      </c>
      <c r="L611" s="6"/>
      <c r="M611" s="6"/>
      <c r="N611" s="6"/>
      <c r="O611" s="36"/>
      <c r="P611" s="24" t="str">
        <f t="shared" si="71"/>
        <v xml:space="preserve"> </v>
      </c>
      <c r="Q611" s="25" t="str">
        <f t="shared" si="71"/>
        <v xml:space="preserve"> </v>
      </c>
      <c r="R611" s="25" t="str">
        <f t="shared" si="71"/>
        <v xml:space="preserve"> </v>
      </c>
      <c r="S611" s="26" t="str">
        <f t="shared" si="56"/>
        <v xml:space="preserve"> </v>
      </c>
      <c r="T611" s="7" t="str">
        <f t="shared" si="57"/>
        <v xml:space="preserve"> </v>
      </c>
      <c r="U611" s="8" t="str">
        <f t="shared" si="58"/>
        <v xml:space="preserve"> </v>
      </c>
      <c r="V611" s="9" t="str">
        <f t="shared" si="59"/>
        <v xml:space="preserve"> </v>
      </c>
      <c r="W611" s="9" t="str">
        <f t="shared" si="60"/>
        <v/>
      </c>
      <c r="X611" s="32"/>
      <c r="Y611" s="36"/>
    </row>
    <row r="612" spans="1:25" s="4" customFormat="1" ht="18" customHeight="1">
      <c r="A612" s="36"/>
      <c r="B612" s="76"/>
      <c r="C612" s="69"/>
      <c r="D612" s="31"/>
      <c r="E612" s="29"/>
      <c r="F612" s="28"/>
      <c r="G612" s="29"/>
      <c r="H612" s="29"/>
      <c r="I612" s="30"/>
      <c r="J612" s="12" t="str">
        <f t="shared" si="69"/>
        <v/>
      </c>
      <c r="K612" s="12" t="str">
        <f t="shared" si="70"/>
        <v/>
      </c>
      <c r="L612" s="6"/>
      <c r="M612" s="6"/>
      <c r="N612" s="6"/>
      <c r="O612" s="36"/>
      <c r="P612" s="24" t="str">
        <f t="shared" si="71"/>
        <v xml:space="preserve"> </v>
      </c>
      <c r="Q612" s="25" t="str">
        <f t="shared" si="71"/>
        <v xml:space="preserve"> </v>
      </c>
      <c r="R612" s="25" t="str">
        <f t="shared" si="71"/>
        <v xml:space="preserve"> </v>
      </c>
      <c r="S612" s="26" t="str">
        <f t="shared" si="56"/>
        <v xml:space="preserve"> </v>
      </c>
      <c r="T612" s="7" t="str">
        <f t="shared" si="57"/>
        <v xml:space="preserve"> </v>
      </c>
      <c r="U612" s="8" t="str">
        <f t="shared" si="58"/>
        <v xml:space="preserve"> </v>
      </c>
      <c r="V612" s="9" t="str">
        <f t="shared" si="59"/>
        <v xml:space="preserve"> </v>
      </c>
      <c r="W612" s="9" t="str">
        <f t="shared" si="60"/>
        <v/>
      </c>
      <c r="X612" s="32"/>
      <c r="Y612" s="36"/>
    </row>
    <row r="613" spans="1:25" s="4" customFormat="1" ht="18" customHeight="1">
      <c r="A613" s="36"/>
      <c r="B613" s="76"/>
      <c r="C613" s="69"/>
      <c r="D613" s="31"/>
      <c r="E613" s="29"/>
      <c r="F613" s="28"/>
      <c r="G613" s="29"/>
      <c r="H613" s="29"/>
      <c r="I613" s="30"/>
      <c r="J613" s="12" t="str">
        <f t="shared" si="69"/>
        <v/>
      </c>
      <c r="K613" s="12" t="str">
        <f t="shared" si="70"/>
        <v/>
      </c>
      <c r="L613" s="6"/>
      <c r="M613" s="6"/>
      <c r="N613" s="6"/>
      <c r="O613" s="36"/>
      <c r="P613" s="24" t="str">
        <f t="shared" si="71"/>
        <v xml:space="preserve"> </v>
      </c>
      <c r="Q613" s="25" t="str">
        <f t="shared" si="71"/>
        <v xml:space="preserve"> </v>
      </c>
      <c r="R613" s="25" t="str">
        <f t="shared" si="71"/>
        <v xml:space="preserve"> </v>
      </c>
      <c r="S613" s="26" t="str">
        <f t="shared" si="56"/>
        <v xml:space="preserve"> </v>
      </c>
      <c r="T613" s="7" t="str">
        <f t="shared" si="57"/>
        <v xml:space="preserve"> </v>
      </c>
      <c r="U613" s="8" t="str">
        <f t="shared" si="58"/>
        <v xml:space="preserve"> </v>
      </c>
      <c r="V613" s="9" t="str">
        <f t="shared" si="59"/>
        <v xml:space="preserve"> </v>
      </c>
      <c r="W613" s="9" t="str">
        <f t="shared" si="60"/>
        <v/>
      </c>
      <c r="X613" s="32"/>
      <c r="Y613" s="36"/>
    </row>
    <row r="614" spans="1:25" s="4" customFormat="1" ht="18" customHeight="1">
      <c r="A614" s="36"/>
      <c r="B614" s="76"/>
      <c r="C614" s="69"/>
      <c r="D614" s="31"/>
      <c r="E614" s="29"/>
      <c r="F614" s="28"/>
      <c r="G614" s="29"/>
      <c r="H614" s="29"/>
      <c r="I614" s="30"/>
      <c r="J614" s="12" t="str">
        <f t="shared" si="69"/>
        <v/>
      </c>
      <c r="K614" s="12" t="str">
        <f t="shared" si="70"/>
        <v/>
      </c>
      <c r="L614" s="6"/>
      <c r="M614" s="6"/>
      <c r="N614" s="6"/>
      <c r="O614" s="36"/>
      <c r="P614" s="24" t="str">
        <f t="shared" si="71"/>
        <v xml:space="preserve"> </v>
      </c>
      <c r="Q614" s="25" t="str">
        <f t="shared" si="71"/>
        <v xml:space="preserve"> </v>
      </c>
      <c r="R614" s="25" t="str">
        <f t="shared" si="71"/>
        <v xml:space="preserve"> </v>
      </c>
      <c r="S614" s="26" t="str">
        <f t="shared" si="56"/>
        <v xml:space="preserve"> </v>
      </c>
      <c r="T614" s="7" t="str">
        <f t="shared" si="57"/>
        <v xml:space="preserve"> </v>
      </c>
      <c r="U614" s="8" t="str">
        <f t="shared" si="58"/>
        <v xml:space="preserve"> </v>
      </c>
      <c r="V614" s="9" t="str">
        <f t="shared" si="59"/>
        <v xml:space="preserve"> </v>
      </c>
      <c r="W614" s="9" t="str">
        <f t="shared" si="60"/>
        <v/>
      </c>
      <c r="X614" s="32"/>
      <c r="Y614" s="36"/>
    </row>
    <row r="615" spans="1:25" s="4" customFormat="1" ht="18" customHeight="1">
      <c r="A615" s="36"/>
      <c r="B615" s="76"/>
      <c r="C615" s="69"/>
      <c r="D615" s="31"/>
      <c r="E615" s="29"/>
      <c r="F615" s="28"/>
      <c r="G615" s="29"/>
      <c r="H615" s="29"/>
      <c r="I615" s="30"/>
      <c r="J615" s="12" t="str">
        <f t="shared" si="69"/>
        <v/>
      </c>
      <c r="K615" s="12" t="str">
        <f t="shared" si="70"/>
        <v/>
      </c>
      <c r="L615" s="6"/>
      <c r="M615" s="6"/>
      <c r="N615" s="6"/>
      <c r="O615" s="36"/>
      <c r="P615" s="24" t="str">
        <f t="shared" si="71"/>
        <v xml:space="preserve"> </v>
      </c>
      <c r="Q615" s="25" t="str">
        <f t="shared" si="71"/>
        <v xml:space="preserve"> </v>
      </c>
      <c r="R615" s="25" t="str">
        <f t="shared" si="71"/>
        <v xml:space="preserve"> </v>
      </c>
      <c r="S615" s="26" t="str">
        <f t="shared" si="56"/>
        <v xml:space="preserve"> </v>
      </c>
      <c r="T615" s="7" t="str">
        <f t="shared" si="57"/>
        <v xml:space="preserve"> </v>
      </c>
      <c r="U615" s="8" t="str">
        <f t="shared" si="58"/>
        <v xml:space="preserve"> </v>
      </c>
      <c r="V615" s="9" t="str">
        <f t="shared" si="59"/>
        <v xml:space="preserve"> </v>
      </c>
      <c r="W615" s="9" t="str">
        <f t="shared" si="60"/>
        <v/>
      </c>
      <c r="X615" s="32"/>
      <c r="Y615" s="36"/>
    </row>
    <row r="616" spans="1:25" s="4" customFormat="1" ht="18" customHeight="1">
      <c r="A616" s="36"/>
      <c r="B616" s="76"/>
      <c r="C616" s="69"/>
      <c r="D616" s="31"/>
      <c r="E616" s="29"/>
      <c r="F616" s="28"/>
      <c r="G616" s="29"/>
      <c r="H616" s="29"/>
      <c r="I616" s="30"/>
      <c r="J616" s="12" t="str">
        <f t="shared" si="69"/>
        <v/>
      </c>
      <c r="K616" s="12" t="str">
        <f t="shared" si="70"/>
        <v/>
      </c>
      <c r="L616" s="6"/>
      <c r="M616" s="6"/>
      <c r="N616" s="6"/>
      <c r="O616" s="36"/>
      <c r="P616" s="24" t="str">
        <f t="shared" si="71"/>
        <v xml:space="preserve"> </v>
      </c>
      <c r="Q616" s="25" t="str">
        <f t="shared" si="71"/>
        <v xml:space="preserve"> </v>
      </c>
      <c r="R616" s="25" t="str">
        <f t="shared" si="71"/>
        <v xml:space="preserve"> </v>
      </c>
      <c r="S616" s="26" t="str">
        <f t="shared" si="56"/>
        <v xml:space="preserve"> </v>
      </c>
      <c r="T616" s="7" t="str">
        <f t="shared" si="57"/>
        <v xml:space="preserve"> </v>
      </c>
      <c r="U616" s="8" t="str">
        <f t="shared" si="58"/>
        <v xml:space="preserve"> </v>
      </c>
      <c r="V616" s="9" t="str">
        <f t="shared" si="59"/>
        <v xml:space="preserve"> </v>
      </c>
      <c r="W616" s="9" t="str">
        <f t="shared" si="60"/>
        <v/>
      </c>
      <c r="X616" s="32"/>
      <c r="Y616" s="36"/>
    </row>
    <row r="617" spans="1:25" s="4" customFormat="1" ht="18" customHeight="1">
      <c r="A617" s="36"/>
      <c r="B617" s="76"/>
      <c r="C617" s="69"/>
      <c r="D617" s="31"/>
      <c r="E617" s="29"/>
      <c r="F617" s="28"/>
      <c r="G617" s="29"/>
      <c r="H617" s="29"/>
      <c r="I617" s="30"/>
      <c r="J617" s="12" t="str">
        <f t="shared" si="69"/>
        <v/>
      </c>
      <c r="K617" s="12" t="str">
        <f t="shared" si="70"/>
        <v/>
      </c>
      <c r="L617" s="6"/>
      <c r="M617" s="6"/>
      <c r="N617" s="6"/>
      <c r="O617" s="36"/>
      <c r="P617" s="24" t="str">
        <f t="shared" si="71"/>
        <v xml:space="preserve"> </v>
      </c>
      <c r="Q617" s="25" t="str">
        <f t="shared" si="71"/>
        <v xml:space="preserve"> </v>
      </c>
      <c r="R617" s="25" t="str">
        <f t="shared" si="71"/>
        <v xml:space="preserve"> </v>
      </c>
      <c r="S617" s="26" t="str">
        <f t="shared" si="56"/>
        <v xml:space="preserve"> </v>
      </c>
      <c r="T617" s="7" t="str">
        <f t="shared" si="57"/>
        <v xml:space="preserve"> </v>
      </c>
      <c r="U617" s="8" t="str">
        <f t="shared" si="58"/>
        <v xml:space="preserve"> </v>
      </c>
      <c r="V617" s="9" t="str">
        <f t="shared" si="59"/>
        <v xml:space="preserve"> </v>
      </c>
      <c r="W617" s="9" t="str">
        <f t="shared" si="60"/>
        <v/>
      </c>
      <c r="X617" s="32"/>
      <c r="Y617" s="36"/>
    </row>
    <row r="618" spans="1:25" s="4" customFormat="1" ht="18" customHeight="1">
      <c r="A618" s="36"/>
      <c r="B618" s="76"/>
      <c r="C618" s="69"/>
      <c r="D618" s="31"/>
      <c r="E618" s="29"/>
      <c r="F618" s="28"/>
      <c r="G618" s="29"/>
      <c r="H618" s="29"/>
      <c r="I618" s="30"/>
      <c r="J618" s="12" t="str">
        <f t="shared" si="69"/>
        <v/>
      </c>
      <c r="K618" s="12" t="str">
        <f t="shared" si="70"/>
        <v/>
      </c>
      <c r="L618" s="6"/>
      <c r="M618" s="6"/>
      <c r="N618" s="6"/>
      <c r="O618" s="36"/>
      <c r="P618" s="24" t="str">
        <f t="shared" si="71"/>
        <v xml:space="preserve"> </v>
      </c>
      <c r="Q618" s="25" t="str">
        <f t="shared" si="71"/>
        <v xml:space="preserve"> </v>
      </c>
      <c r="R618" s="25" t="str">
        <f t="shared" si="71"/>
        <v xml:space="preserve"> </v>
      </c>
      <c r="S618" s="26" t="str">
        <f t="shared" si="56"/>
        <v xml:space="preserve"> </v>
      </c>
      <c r="T618" s="7" t="str">
        <f t="shared" si="57"/>
        <v xml:space="preserve"> </v>
      </c>
      <c r="U618" s="8" t="str">
        <f t="shared" si="58"/>
        <v xml:space="preserve"> </v>
      </c>
      <c r="V618" s="9" t="str">
        <f t="shared" si="59"/>
        <v xml:space="preserve"> </v>
      </c>
      <c r="W618" s="9" t="str">
        <f t="shared" si="60"/>
        <v/>
      </c>
      <c r="X618" s="32"/>
      <c r="Y618" s="36"/>
    </row>
    <row r="619" spans="1:25" s="4" customFormat="1" ht="18" customHeight="1">
      <c r="A619" s="36"/>
      <c r="B619" s="76"/>
      <c r="C619" s="69"/>
      <c r="D619" s="31"/>
      <c r="E619" s="29"/>
      <c r="F619" s="28"/>
      <c r="G619" s="29"/>
      <c r="H619" s="29"/>
      <c r="I619" s="30"/>
      <c r="J619" s="12" t="str">
        <f t="shared" si="69"/>
        <v/>
      </c>
      <c r="K619" s="12" t="str">
        <f t="shared" si="70"/>
        <v/>
      </c>
      <c r="L619" s="6"/>
      <c r="M619" s="6"/>
      <c r="N619" s="6"/>
      <c r="O619" s="36"/>
      <c r="P619" s="24" t="str">
        <f t="shared" si="71"/>
        <v xml:space="preserve"> </v>
      </c>
      <c r="Q619" s="25" t="str">
        <f t="shared" si="71"/>
        <v xml:space="preserve"> </v>
      </c>
      <c r="R619" s="25" t="str">
        <f t="shared" si="71"/>
        <v xml:space="preserve"> </v>
      </c>
      <c r="S619" s="26" t="str">
        <f t="shared" si="56"/>
        <v xml:space="preserve"> </v>
      </c>
      <c r="T619" s="7" t="str">
        <f t="shared" si="57"/>
        <v xml:space="preserve"> </v>
      </c>
      <c r="U619" s="8" t="str">
        <f t="shared" si="58"/>
        <v xml:space="preserve"> </v>
      </c>
      <c r="V619" s="9" t="str">
        <f t="shared" si="59"/>
        <v xml:space="preserve"> </v>
      </c>
      <c r="W619" s="9" t="str">
        <f t="shared" si="60"/>
        <v/>
      </c>
      <c r="X619" s="32"/>
      <c r="Y619" s="36"/>
    </row>
    <row r="620" spans="1:25" s="4" customFormat="1" ht="18" customHeight="1">
      <c r="A620" s="36"/>
      <c r="B620" s="76"/>
      <c r="C620" s="69"/>
      <c r="D620" s="31"/>
      <c r="E620" s="29"/>
      <c r="F620" s="28"/>
      <c r="G620" s="29"/>
      <c r="H620" s="29"/>
      <c r="I620" s="30"/>
      <c r="J620" s="12" t="str">
        <f t="shared" si="69"/>
        <v/>
      </c>
      <c r="K620" s="12" t="str">
        <f t="shared" si="70"/>
        <v/>
      </c>
      <c r="L620" s="6"/>
      <c r="M620" s="6"/>
      <c r="N620" s="6"/>
      <c r="O620" s="36"/>
      <c r="P620" s="24" t="str">
        <f t="shared" si="71"/>
        <v xml:space="preserve"> </v>
      </c>
      <c r="Q620" s="25" t="str">
        <f t="shared" si="71"/>
        <v xml:space="preserve"> </v>
      </c>
      <c r="R620" s="25" t="str">
        <f t="shared" si="71"/>
        <v xml:space="preserve"> </v>
      </c>
      <c r="S620" s="26" t="str">
        <f t="shared" si="56"/>
        <v xml:space="preserve"> </v>
      </c>
      <c r="T620" s="7" t="str">
        <f t="shared" si="57"/>
        <v xml:space="preserve"> </v>
      </c>
      <c r="U620" s="8" t="str">
        <f t="shared" si="58"/>
        <v xml:space="preserve"> </v>
      </c>
      <c r="V620" s="9" t="str">
        <f t="shared" si="59"/>
        <v xml:space="preserve"> </v>
      </c>
      <c r="W620" s="9" t="str">
        <f t="shared" si="60"/>
        <v/>
      </c>
      <c r="X620" s="32"/>
      <c r="Y620" s="36"/>
    </row>
    <row r="621" spans="1:25" s="4" customFormat="1" ht="18" customHeight="1">
      <c r="A621" s="36"/>
      <c r="B621" s="76"/>
      <c r="C621" s="69"/>
      <c r="D621" s="31"/>
      <c r="E621" s="29"/>
      <c r="F621" s="28"/>
      <c r="G621" s="29"/>
      <c r="H621" s="29"/>
      <c r="I621" s="30"/>
      <c r="J621" s="12" t="str">
        <f t="shared" si="69"/>
        <v/>
      </c>
      <c r="K621" s="12" t="str">
        <f t="shared" si="70"/>
        <v/>
      </c>
      <c r="L621" s="6"/>
      <c r="M621" s="6"/>
      <c r="N621" s="6"/>
      <c r="O621" s="36"/>
      <c r="P621" s="24" t="str">
        <f t="shared" si="71"/>
        <v xml:space="preserve"> </v>
      </c>
      <c r="Q621" s="25" t="str">
        <f t="shared" si="71"/>
        <v xml:space="preserve"> </v>
      </c>
      <c r="R621" s="25" t="str">
        <f t="shared" si="71"/>
        <v xml:space="preserve"> </v>
      </c>
      <c r="S621" s="26" t="str">
        <f t="shared" si="56"/>
        <v xml:space="preserve"> </v>
      </c>
      <c r="T621" s="7" t="str">
        <f t="shared" si="57"/>
        <v xml:space="preserve"> </v>
      </c>
      <c r="U621" s="8" t="str">
        <f t="shared" si="58"/>
        <v xml:space="preserve"> </v>
      </c>
      <c r="V621" s="9" t="str">
        <f t="shared" si="59"/>
        <v xml:space="preserve"> </v>
      </c>
      <c r="W621" s="9" t="str">
        <f t="shared" si="60"/>
        <v/>
      </c>
      <c r="X621" s="32"/>
      <c r="Y621" s="36"/>
    </row>
    <row r="622" spans="1:25" s="4" customFormat="1" ht="18" customHeight="1">
      <c r="A622" s="36"/>
      <c r="B622" s="76"/>
      <c r="C622" s="69"/>
      <c r="D622" s="31"/>
      <c r="E622" s="29"/>
      <c r="F622" s="28"/>
      <c r="G622" s="29"/>
      <c r="H622" s="29"/>
      <c r="I622" s="30"/>
      <c r="J622" s="12" t="str">
        <f t="shared" si="69"/>
        <v/>
      </c>
      <c r="K622" s="12" t="str">
        <f t="shared" si="70"/>
        <v/>
      </c>
      <c r="L622" s="6"/>
      <c r="M622" s="6"/>
      <c r="N622" s="6"/>
      <c r="O622" s="36"/>
      <c r="P622" s="24" t="str">
        <f t="shared" si="71"/>
        <v xml:space="preserve"> </v>
      </c>
      <c r="Q622" s="25" t="str">
        <f t="shared" si="71"/>
        <v xml:space="preserve"> </v>
      </c>
      <c r="R622" s="25" t="str">
        <f t="shared" si="71"/>
        <v xml:space="preserve"> </v>
      </c>
      <c r="S622" s="26" t="str">
        <f t="shared" si="56"/>
        <v xml:space="preserve"> </v>
      </c>
      <c r="T622" s="7" t="str">
        <f t="shared" si="57"/>
        <v xml:space="preserve"> </v>
      </c>
      <c r="U622" s="8" t="str">
        <f t="shared" si="58"/>
        <v xml:space="preserve"> </v>
      </c>
      <c r="V622" s="9" t="str">
        <f t="shared" si="59"/>
        <v xml:space="preserve"> </v>
      </c>
      <c r="W622" s="9" t="str">
        <f t="shared" si="60"/>
        <v/>
      </c>
      <c r="X622" s="32"/>
      <c r="Y622" s="36"/>
    </row>
    <row r="623" spans="1:25" s="4" customFormat="1" ht="18" customHeight="1">
      <c r="A623" s="36"/>
      <c r="B623" s="76"/>
      <c r="C623" s="69"/>
      <c r="D623" s="31"/>
      <c r="E623" s="29"/>
      <c r="F623" s="28"/>
      <c r="G623" s="29"/>
      <c r="H623" s="29"/>
      <c r="I623" s="30"/>
      <c r="J623" s="12" t="str">
        <f t="shared" si="69"/>
        <v/>
      </c>
      <c r="K623" s="12" t="str">
        <f t="shared" si="70"/>
        <v/>
      </c>
      <c r="L623" s="6"/>
      <c r="M623" s="6"/>
      <c r="N623" s="6"/>
      <c r="O623" s="36"/>
      <c r="P623" s="24" t="str">
        <f t="shared" si="71"/>
        <v xml:space="preserve"> </v>
      </c>
      <c r="Q623" s="25" t="str">
        <f t="shared" si="71"/>
        <v xml:space="preserve"> </v>
      </c>
      <c r="R623" s="25" t="str">
        <f t="shared" si="71"/>
        <v xml:space="preserve"> </v>
      </c>
      <c r="S623" s="26" t="str">
        <f t="shared" si="56"/>
        <v xml:space="preserve"> </v>
      </c>
      <c r="T623" s="7" t="str">
        <f t="shared" si="57"/>
        <v xml:space="preserve"> </v>
      </c>
      <c r="U623" s="8" t="str">
        <f t="shared" si="58"/>
        <v xml:space="preserve"> </v>
      </c>
      <c r="V623" s="9" t="str">
        <f t="shared" si="59"/>
        <v xml:space="preserve"> </v>
      </c>
      <c r="W623" s="9" t="str">
        <f t="shared" si="60"/>
        <v/>
      </c>
      <c r="X623" s="32"/>
      <c r="Y623" s="36"/>
    </row>
    <row r="624" spans="1:25" s="4" customFormat="1" ht="18" customHeight="1">
      <c r="A624" s="36"/>
      <c r="B624" s="76"/>
      <c r="C624" s="69"/>
      <c r="D624" s="31"/>
      <c r="E624" s="29"/>
      <c r="F624" s="28"/>
      <c r="G624" s="29"/>
      <c r="H624" s="29"/>
      <c r="I624" s="30"/>
      <c r="J624" s="12" t="str">
        <f t="shared" si="69"/>
        <v/>
      </c>
      <c r="K624" s="12" t="str">
        <f t="shared" si="70"/>
        <v/>
      </c>
      <c r="L624" s="6"/>
      <c r="M624" s="6"/>
      <c r="N624" s="6"/>
      <c r="O624" s="36"/>
      <c r="P624" s="24" t="str">
        <f t="shared" si="71"/>
        <v xml:space="preserve"> </v>
      </c>
      <c r="Q624" s="25" t="str">
        <f t="shared" si="71"/>
        <v xml:space="preserve"> </v>
      </c>
      <c r="R624" s="25" t="str">
        <f t="shared" si="71"/>
        <v xml:space="preserve"> </v>
      </c>
      <c r="S624" s="26" t="str">
        <f t="shared" si="56"/>
        <v xml:space="preserve"> </v>
      </c>
      <c r="T624" s="7" t="str">
        <f t="shared" si="57"/>
        <v xml:space="preserve"> </v>
      </c>
      <c r="U624" s="8" t="str">
        <f t="shared" si="58"/>
        <v xml:space="preserve"> </v>
      </c>
      <c r="V624" s="9" t="str">
        <f t="shared" si="59"/>
        <v xml:space="preserve"> </v>
      </c>
      <c r="W624" s="9" t="str">
        <f t="shared" si="60"/>
        <v/>
      </c>
      <c r="X624" s="32"/>
      <c r="Y624" s="36"/>
    </row>
    <row r="625" spans="1:25" s="4" customFormat="1" ht="18" customHeight="1">
      <c r="A625" s="36"/>
      <c r="B625" s="76"/>
      <c r="C625" s="69"/>
      <c r="D625" s="31"/>
      <c r="E625" s="29"/>
      <c r="F625" s="28"/>
      <c r="G625" s="29"/>
      <c r="H625" s="29"/>
      <c r="I625" s="30"/>
      <c r="J625" s="12" t="str">
        <f t="shared" si="69"/>
        <v/>
      </c>
      <c r="K625" s="12" t="str">
        <f t="shared" si="70"/>
        <v/>
      </c>
      <c r="L625" s="6"/>
      <c r="M625" s="6"/>
      <c r="N625" s="6"/>
      <c r="O625" s="36"/>
      <c r="P625" s="24" t="str">
        <f t="shared" si="71"/>
        <v xml:space="preserve"> </v>
      </c>
      <c r="Q625" s="25" t="str">
        <f t="shared" si="71"/>
        <v xml:space="preserve"> </v>
      </c>
      <c r="R625" s="25" t="str">
        <f t="shared" si="71"/>
        <v xml:space="preserve"> </v>
      </c>
      <c r="S625" s="26" t="str">
        <f t="shared" si="56"/>
        <v xml:space="preserve"> </v>
      </c>
      <c r="T625" s="7" t="str">
        <f t="shared" si="57"/>
        <v xml:space="preserve"> </v>
      </c>
      <c r="U625" s="8" t="str">
        <f t="shared" si="58"/>
        <v xml:space="preserve"> </v>
      </c>
      <c r="V625" s="9" t="str">
        <f t="shared" si="59"/>
        <v xml:space="preserve"> </v>
      </c>
      <c r="W625" s="9" t="str">
        <f t="shared" si="60"/>
        <v/>
      </c>
      <c r="X625" s="32"/>
      <c r="Y625" s="36"/>
    </row>
    <row r="626" spans="1:25" s="4" customFormat="1" ht="18" customHeight="1">
      <c r="A626" s="36"/>
      <c r="B626" s="76"/>
      <c r="C626" s="69"/>
      <c r="D626" s="31"/>
      <c r="E626" s="29"/>
      <c r="F626" s="28"/>
      <c r="G626" s="29"/>
      <c r="H626" s="29"/>
      <c r="I626" s="30"/>
      <c r="J626" s="12" t="str">
        <f t="shared" si="69"/>
        <v/>
      </c>
      <c r="K626" s="12" t="str">
        <f t="shared" si="70"/>
        <v/>
      </c>
      <c r="L626" s="6"/>
      <c r="M626" s="6"/>
      <c r="N626" s="6"/>
      <c r="O626" s="36"/>
      <c r="P626" s="24" t="str">
        <f t="shared" si="71"/>
        <v xml:space="preserve"> </v>
      </c>
      <c r="Q626" s="25" t="str">
        <f t="shared" si="71"/>
        <v xml:space="preserve"> </v>
      </c>
      <c r="R626" s="25" t="str">
        <f t="shared" si="71"/>
        <v xml:space="preserve"> </v>
      </c>
      <c r="S626" s="26" t="str">
        <f t="shared" si="56"/>
        <v xml:space="preserve"> </v>
      </c>
      <c r="T626" s="7" t="str">
        <f t="shared" si="57"/>
        <v xml:space="preserve"> </v>
      </c>
      <c r="U626" s="8" t="str">
        <f t="shared" si="58"/>
        <v xml:space="preserve"> </v>
      </c>
      <c r="V626" s="9" t="str">
        <f t="shared" si="59"/>
        <v xml:space="preserve"> </v>
      </c>
      <c r="W626" s="9" t="str">
        <f t="shared" si="60"/>
        <v/>
      </c>
      <c r="X626" s="32"/>
      <c r="Y626" s="36"/>
    </row>
    <row r="627" spans="1:25" s="4" customFormat="1" ht="18" customHeight="1">
      <c r="A627" s="36"/>
      <c r="B627" s="76"/>
      <c r="C627" s="69"/>
      <c r="D627" s="31"/>
      <c r="E627" s="29"/>
      <c r="F627" s="28"/>
      <c r="G627" s="29"/>
      <c r="H627" s="29"/>
      <c r="I627" s="30"/>
      <c r="J627" s="12" t="str">
        <f t="shared" si="69"/>
        <v/>
      </c>
      <c r="K627" s="12" t="str">
        <f t="shared" si="70"/>
        <v/>
      </c>
      <c r="L627" s="6"/>
      <c r="M627" s="6"/>
      <c r="N627" s="6"/>
      <c r="O627" s="36"/>
      <c r="P627" s="24" t="str">
        <f t="shared" si="71"/>
        <v xml:space="preserve"> </v>
      </c>
      <c r="Q627" s="25" t="str">
        <f t="shared" si="71"/>
        <v xml:space="preserve"> </v>
      </c>
      <c r="R627" s="25" t="str">
        <f t="shared" si="71"/>
        <v xml:space="preserve"> </v>
      </c>
      <c r="S627" s="26" t="str">
        <f t="shared" si="56"/>
        <v xml:space="preserve"> </v>
      </c>
      <c r="T627" s="7" t="str">
        <f t="shared" si="57"/>
        <v xml:space="preserve"> </v>
      </c>
      <c r="U627" s="8" t="str">
        <f t="shared" si="58"/>
        <v xml:space="preserve"> </v>
      </c>
      <c r="V627" s="9" t="str">
        <f t="shared" si="59"/>
        <v xml:space="preserve"> </v>
      </c>
      <c r="W627" s="9" t="str">
        <f t="shared" si="60"/>
        <v/>
      </c>
      <c r="X627" s="32"/>
      <c r="Y627" s="36"/>
    </row>
    <row r="628" spans="1:25" s="4" customFormat="1" ht="18" customHeight="1">
      <c r="A628" s="36"/>
      <c r="B628" s="76"/>
      <c r="C628" s="69"/>
      <c r="D628" s="31"/>
      <c r="E628" s="29"/>
      <c r="F628" s="28"/>
      <c r="G628" s="29"/>
      <c r="H628" s="29"/>
      <c r="I628" s="30"/>
      <c r="J628" s="12" t="str">
        <f t="shared" si="69"/>
        <v/>
      </c>
      <c r="K628" s="12" t="str">
        <f t="shared" si="70"/>
        <v/>
      </c>
      <c r="L628" s="6"/>
      <c r="M628" s="6"/>
      <c r="N628" s="6"/>
      <c r="O628" s="36"/>
      <c r="P628" s="24" t="str">
        <f t="shared" si="71"/>
        <v xml:space="preserve"> </v>
      </c>
      <c r="Q628" s="25" t="str">
        <f t="shared" si="71"/>
        <v xml:space="preserve"> </v>
      </c>
      <c r="R628" s="25" t="str">
        <f t="shared" si="71"/>
        <v xml:space="preserve"> </v>
      </c>
      <c r="S628" s="26" t="str">
        <f t="shared" si="56"/>
        <v xml:space="preserve"> </v>
      </c>
      <c r="T628" s="7" t="str">
        <f t="shared" si="57"/>
        <v xml:space="preserve"> </v>
      </c>
      <c r="U628" s="8" t="str">
        <f t="shared" si="58"/>
        <v xml:space="preserve"> </v>
      </c>
      <c r="V628" s="9" t="str">
        <f t="shared" si="59"/>
        <v xml:space="preserve"> </v>
      </c>
      <c r="W628" s="9" t="str">
        <f t="shared" si="60"/>
        <v/>
      </c>
      <c r="X628" s="32"/>
      <c r="Y628" s="36"/>
    </row>
    <row r="629" spans="1:25" s="4" customFormat="1" ht="18" customHeight="1">
      <c r="A629" s="36"/>
      <c r="B629" s="76"/>
      <c r="C629" s="69"/>
      <c r="D629" s="31"/>
      <c r="E629" s="29"/>
      <c r="F629" s="28"/>
      <c r="G629" s="29"/>
      <c r="H629" s="29"/>
      <c r="I629" s="30"/>
      <c r="J629" s="12" t="str">
        <f t="shared" si="69"/>
        <v/>
      </c>
      <c r="K629" s="12" t="str">
        <f t="shared" si="70"/>
        <v/>
      </c>
      <c r="L629" s="6"/>
      <c r="M629" s="6"/>
      <c r="N629" s="6"/>
      <c r="O629" s="36"/>
      <c r="P629" s="24" t="str">
        <f t="shared" si="71"/>
        <v xml:space="preserve"> </v>
      </c>
      <c r="Q629" s="25" t="str">
        <f t="shared" si="71"/>
        <v xml:space="preserve"> </v>
      </c>
      <c r="R629" s="25" t="str">
        <f t="shared" si="71"/>
        <v xml:space="preserve"> </v>
      </c>
      <c r="S629" s="26" t="str">
        <f t="shared" si="56"/>
        <v xml:space="preserve"> </v>
      </c>
      <c r="T629" s="7" t="str">
        <f t="shared" si="57"/>
        <v xml:space="preserve"> </v>
      </c>
      <c r="U629" s="8" t="str">
        <f t="shared" si="58"/>
        <v xml:space="preserve"> </v>
      </c>
      <c r="V629" s="9" t="str">
        <f t="shared" si="59"/>
        <v xml:space="preserve"> </v>
      </c>
      <c r="W629" s="9" t="str">
        <f t="shared" si="60"/>
        <v/>
      </c>
      <c r="X629" s="32"/>
      <c r="Y629" s="36"/>
    </row>
    <row r="630" spans="1:25" s="4" customFormat="1" ht="18" customHeight="1">
      <c r="A630" s="36"/>
      <c r="B630" s="76"/>
      <c r="C630" s="69"/>
      <c r="D630" s="31"/>
      <c r="E630" s="29"/>
      <c r="F630" s="28"/>
      <c r="G630" s="29"/>
      <c r="H630" s="29"/>
      <c r="I630" s="30"/>
      <c r="J630" s="12" t="str">
        <f t="shared" si="69"/>
        <v/>
      </c>
      <c r="K630" s="12" t="str">
        <f t="shared" si="70"/>
        <v/>
      </c>
      <c r="L630" s="6"/>
      <c r="M630" s="6"/>
      <c r="N630" s="6"/>
      <c r="O630" s="36"/>
      <c r="P630" s="24" t="str">
        <f t="shared" si="71"/>
        <v xml:space="preserve"> </v>
      </c>
      <c r="Q630" s="25" t="str">
        <f t="shared" si="71"/>
        <v xml:space="preserve"> </v>
      </c>
      <c r="R630" s="25" t="str">
        <f t="shared" si="71"/>
        <v xml:space="preserve"> </v>
      </c>
      <c r="S630" s="26" t="str">
        <f t="shared" si="56"/>
        <v xml:space="preserve"> </v>
      </c>
      <c r="T630" s="7" t="str">
        <f t="shared" si="57"/>
        <v xml:space="preserve"> </v>
      </c>
      <c r="U630" s="8" t="str">
        <f t="shared" si="58"/>
        <v xml:space="preserve"> </v>
      </c>
      <c r="V630" s="9" t="str">
        <f t="shared" si="59"/>
        <v xml:space="preserve"> </v>
      </c>
      <c r="W630" s="9" t="str">
        <f t="shared" si="60"/>
        <v/>
      </c>
      <c r="X630" s="32"/>
      <c r="Y630" s="36"/>
    </row>
    <row r="631" spans="1:25" s="4" customFormat="1" ht="18" customHeight="1">
      <c r="A631" s="36"/>
      <c r="B631" s="76"/>
      <c r="C631" s="69"/>
      <c r="D631" s="31"/>
      <c r="E631" s="29"/>
      <c r="F631" s="28"/>
      <c r="G631" s="29"/>
      <c r="H631" s="29"/>
      <c r="I631" s="30"/>
      <c r="J631" s="12" t="str">
        <f t="shared" si="69"/>
        <v/>
      </c>
      <c r="K631" s="12" t="str">
        <f t="shared" si="70"/>
        <v/>
      </c>
      <c r="L631" s="6"/>
      <c r="M631" s="6"/>
      <c r="N631" s="6"/>
      <c r="O631" s="36"/>
      <c r="P631" s="24" t="str">
        <f t="shared" si="71"/>
        <v xml:space="preserve"> </v>
      </c>
      <c r="Q631" s="25" t="str">
        <f t="shared" si="71"/>
        <v xml:space="preserve"> </v>
      </c>
      <c r="R631" s="25" t="str">
        <f t="shared" si="71"/>
        <v xml:space="preserve"> </v>
      </c>
      <c r="S631" s="26" t="str">
        <f t="shared" si="56"/>
        <v xml:space="preserve"> </v>
      </c>
      <c r="T631" s="7" t="str">
        <f t="shared" si="57"/>
        <v xml:space="preserve"> </v>
      </c>
      <c r="U631" s="8" t="str">
        <f t="shared" si="58"/>
        <v xml:space="preserve"> </v>
      </c>
      <c r="V631" s="9" t="str">
        <f t="shared" si="59"/>
        <v xml:space="preserve"> </v>
      </c>
      <c r="W631" s="9" t="str">
        <f t="shared" si="60"/>
        <v/>
      </c>
      <c r="X631" s="32"/>
      <c r="Y631" s="36"/>
    </row>
    <row r="632" spans="1:25" s="4" customFormat="1" ht="18" customHeight="1">
      <c r="A632" s="36"/>
      <c r="B632" s="76"/>
      <c r="C632" s="69"/>
      <c r="D632" s="31"/>
      <c r="E632" s="29"/>
      <c r="F632" s="28"/>
      <c r="G632" s="29"/>
      <c r="H632" s="29"/>
      <c r="I632" s="30"/>
      <c r="J632" s="12" t="str">
        <f t="shared" si="69"/>
        <v/>
      </c>
      <c r="K632" s="12" t="str">
        <f t="shared" si="70"/>
        <v/>
      </c>
      <c r="L632" s="6"/>
      <c r="M632" s="6"/>
      <c r="N632" s="6"/>
      <c r="O632" s="36"/>
      <c r="P632" s="24" t="str">
        <f t="shared" si="71"/>
        <v xml:space="preserve"> </v>
      </c>
      <c r="Q632" s="25" t="str">
        <f t="shared" si="71"/>
        <v xml:space="preserve"> </v>
      </c>
      <c r="R632" s="25" t="str">
        <f t="shared" si="71"/>
        <v xml:space="preserve"> </v>
      </c>
      <c r="S632" s="26" t="str">
        <f t="shared" si="56"/>
        <v xml:space="preserve"> </v>
      </c>
      <c r="T632" s="7" t="str">
        <f t="shared" si="57"/>
        <v xml:space="preserve"> </v>
      </c>
      <c r="U632" s="8" t="str">
        <f t="shared" si="58"/>
        <v xml:space="preserve"> </v>
      </c>
      <c r="V632" s="9" t="str">
        <f t="shared" si="59"/>
        <v xml:space="preserve"> </v>
      </c>
      <c r="W632" s="9" t="str">
        <f t="shared" si="60"/>
        <v/>
      </c>
      <c r="X632" s="32"/>
      <c r="Y632" s="36"/>
    </row>
    <row r="633" spans="1:25" s="4" customFormat="1" ht="18" customHeight="1">
      <c r="A633" s="36"/>
      <c r="B633" s="76"/>
      <c r="C633" s="69"/>
      <c r="D633" s="31"/>
      <c r="E633" s="29"/>
      <c r="F633" s="28"/>
      <c r="G633" s="29"/>
      <c r="H633" s="29"/>
      <c r="I633" s="30"/>
      <c r="J633" s="12" t="str">
        <f t="shared" si="69"/>
        <v/>
      </c>
      <c r="K633" s="12" t="str">
        <f t="shared" si="70"/>
        <v/>
      </c>
      <c r="L633" s="6"/>
      <c r="M633" s="6"/>
      <c r="N633" s="6"/>
      <c r="O633" s="36"/>
      <c r="P633" s="24" t="str">
        <f t="shared" si="71"/>
        <v xml:space="preserve"> </v>
      </c>
      <c r="Q633" s="25" t="str">
        <f t="shared" si="71"/>
        <v xml:space="preserve"> </v>
      </c>
      <c r="R633" s="25" t="str">
        <f t="shared" si="71"/>
        <v xml:space="preserve"> </v>
      </c>
      <c r="S633" s="26" t="str">
        <f t="shared" si="56"/>
        <v xml:space="preserve"> </v>
      </c>
      <c r="T633" s="7" t="str">
        <f t="shared" si="57"/>
        <v xml:space="preserve"> </v>
      </c>
      <c r="U633" s="8" t="str">
        <f t="shared" si="58"/>
        <v xml:space="preserve"> </v>
      </c>
      <c r="V633" s="9" t="str">
        <f t="shared" si="59"/>
        <v xml:space="preserve"> </v>
      </c>
      <c r="W633" s="9" t="str">
        <f t="shared" si="60"/>
        <v/>
      </c>
      <c r="X633" s="32"/>
      <c r="Y633" s="36"/>
    </row>
    <row r="634" spans="1:25" s="4" customFormat="1" ht="18" customHeight="1">
      <c r="A634" s="36"/>
      <c r="B634" s="76"/>
      <c r="C634" s="69"/>
      <c r="D634" s="31"/>
      <c r="E634" s="29"/>
      <c r="F634" s="28"/>
      <c r="G634" s="29"/>
      <c r="H634" s="29"/>
      <c r="I634" s="30"/>
      <c r="J634" s="12" t="str">
        <f t="shared" si="69"/>
        <v/>
      </c>
      <c r="K634" s="12" t="str">
        <f t="shared" si="70"/>
        <v/>
      </c>
      <c r="L634" s="6"/>
      <c r="M634" s="6"/>
      <c r="N634" s="6"/>
      <c r="O634" s="36"/>
      <c r="P634" s="24" t="str">
        <f t="shared" si="71"/>
        <v xml:space="preserve"> </v>
      </c>
      <c r="Q634" s="25" t="str">
        <f t="shared" si="71"/>
        <v xml:space="preserve"> </v>
      </c>
      <c r="R634" s="25" t="str">
        <f t="shared" si="71"/>
        <v xml:space="preserve"> </v>
      </c>
      <c r="S634" s="26" t="str">
        <f t="shared" si="56"/>
        <v xml:space="preserve"> </v>
      </c>
      <c r="T634" s="7" t="str">
        <f t="shared" si="57"/>
        <v xml:space="preserve"> </v>
      </c>
      <c r="U634" s="8" t="str">
        <f t="shared" si="58"/>
        <v xml:space="preserve"> </v>
      </c>
      <c r="V634" s="9" t="str">
        <f t="shared" si="59"/>
        <v xml:space="preserve"> </v>
      </c>
      <c r="W634" s="9" t="str">
        <f t="shared" si="60"/>
        <v/>
      </c>
      <c r="X634" s="32"/>
      <c r="Y634" s="36"/>
    </row>
    <row r="635" spans="1:25" s="4" customFormat="1" ht="18" customHeight="1">
      <c r="A635" s="36"/>
      <c r="B635" s="76"/>
      <c r="C635" s="69"/>
      <c r="D635" s="31"/>
      <c r="E635" s="29"/>
      <c r="F635" s="28"/>
      <c r="G635" s="29"/>
      <c r="H635" s="29"/>
      <c r="I635" s="30"/>
      <c r="J635" s="12" t="str">
        <f t="shared" si="69"/>
        <v/>
      </c>
      <c r="K635" s="12" t="str">
        <f t="shared" si="70"/>
        <v/>
      </c>
      <c r="L635" s="6"/>
      <c r="M635" s="6"/>
      <c r="N635" s="6"/>
      <c r="O635" s="36"/>
      <c r="P635" s="24" t="str">
        <f t="shared" si="71"/>
        <v xml:space="preserve"> </v>
      </c>
      <c r="Q635" s="25" t="str">
        <f t="shared" si="71"/>
        <v xml:space="preserve"> </v>
      </c>
      <c r="R635" s="25" t="str">
        <f t="shared" si="71"/>
        <v xml:space="preserve"> </v>
      </c>
      <c r="S635" s="26" t="str">
        <f t="shared" si="56"/>
        <v xml:space="preserve"> </v>
      </c>
      <c r="T635" s="7" t="str">
        <f t="shared" si="57"/>
        <v xml:space="preserve"> </v>
      </c>
      <c r="U635" s="8" t="str">
        <f t="shared" si="58"/>
        <v xml:space="preserve"> </v>
      </c>
      <c r="V635" s="9" t="str">
        <f t="shared" si="59"/>
        <v xml:space="preserve"> </v>
      </c>
      <c r="W635" s="9" t="str">
        <f t="shared" si="60"/>
        <v/>
      </c>
      <c r="X635" s="32"/>
      <c r="Y635" s="36"/>
    </row>
    <row r="636" spans="1:25" s="4" customFormat="1" ht="18" customHeight="1">
      <c r="A636" s="36"/>
      <c r="B636" s="76"/>
      <c r="C636" s="69"/>
      <c r="D636" s="31"/>
      <c r="E636" s="29"/>
      <c r="F636" s="28"/>
      <c r="G636" s="29"/>
      <c r="H636" s="29"/>
      <c r="I636" s="30"/>
      <c r="J636" s="12" t="str">
        <f t="shared" si="69"/>
        <v/>
      </c>
      <c r="K636" s="12" t="str">
        <f t="shared" si="70"/>
        <v/>
      </c>
      <c r="L636" s="6"/>
      <c r="M636" s="6"/>
      <c r="N636" s="6"/>
      <c r="O636" s="36"/>
      <c r="P636" s="24" t="str">
        <f t="shared" si="71"/>
        <v xml:space="preserve"> </v>
      </c>
      <c r="Q636" s="25" t="str">
        <f t="shared" si="71"/>
        <v xml:space="preserve"> </v>
      </c>
      <c r="R636" s="25" t="str">
        <f t="shared" si="71"/>
        <v xml:space="preserve"> </v>
      </c>
      <c r="S636" s="26" t="str">
        <f t="shared" si="56"/>
        <v xml:space="preserve"> </v>
      </c>
      <c r="T636" s="7" t="str">
        <f t="shared" si="57"/>
        <v xml:space="preserve"> </v>
      </c>
      <c r="U636" s="8" t="str">
        <f t="shared" si="58"/>
        <v xml:space="preserve"> </v>
      </c>
      <c r="V636" s="9" t="str">
        <f t="shared" si="59"/>
        <v xml:space="preserve"> </v>
      </c>
      <c r="W636" s="9" t="str">
        <f t="shared" si="60"/>
        <v/>
      </c>
      <c r="X636" s="32"/>
      <c r="Y636" s="36"/>
    </row>
    <row r="637" spans="1:25" s="4" customFormat="1" ht="18" customHeight="1">
      <c r="A637" s="36"/>
      <c r="B637" s="76"/>
      <c r="C637" s="69"/>
      <c r="D637" s="31"/>
      <c r="E637" s="29"/>
      <c r="F637" s="28"/>
      <c r="G637" s="29"/>
      <c r="H637" s="29"/>
      <c r="I637" s="30"/>
      <c r="J637" s="12" t="str">
        <f t="shared" si="69"/>
        <v/>
      </c>
      <c r="K637" s="12" t="str">
        <f t="shared" si="70"/>
        <v/>
      </c>
      <c r="L637" s="6"/>
      <c r="M637" s="6"/>
      <c r="N637" s="6"/>
      <c r="O637" s="36"/>
      <c r="P637" s="24" t="str">
        <f t="shared" si="71"/>
        <v xml:space="preserve"> </v>
      </c>
      <c r="Q637" s="25" t="str">
        <f t="shared" si="71"/>
        <v xml:space="preserve"> </v>
      </c>
      <c r="R637" s="25" t="str">
        <f t="shared" si="71"/>
        <v xml:space="preserve"> </v>
      </c>
      <c r="S637" s="26" t="str">
        <f t="shared" si="56"/>
        <v xml:space="preserve"> </v>
      </c>
      <c r="T637" s="7" t="str">
        <f t="shared" si="57"/>
        <v xml:space="preserve"> </v>
      </c>
      <c r="U637" s="8" t="str">
        <f t="shared" si="58"/>
        <v xml:space="preserve"> </v>
      </c>
      <c r="V637" s="9" t="str">
        <f t="shared" si="59"/>
        <v xml:space="preserve"> </v>
      </c>
      <c r="W637" s="9" t="str">
        <f t="shared" si="60"/>
        <v/>
      </c>
      <c r="X637" s="32"/>
      <c r="Y637" s="36"/>
    </row>
    <row r="638" spans="1:25" s="4" customFormat="1" ht="18" customHeight="1">
      <c r="A638" s="36"/>
      <c r="B638" s="76"/>
      <c r="C638" s="69"/>
      <c r="D638" s="31"/>
      <c r="E638" s="29"/>
      <c r="F638" s="28"/>
      <c r="G638" s="29"/>
      <c r="H638" s="29"/>
      <c r="I638" s="30"/>
      <c r="J638" s="12" t="str">
        <f t="shared" si="69"/>
        <v/>
      </c>
      <c r="K638" s="12" t="str">
        <f t="shared" si="70"/>
        <v/>
      </c>
      <c r="L638" s="6"/>
      <c r="M638" s="6"/>
      <c r="N638" s="6"/>
      <c r="O638" s="36"/>
      <c r="P638" s="24" t="str">
        <f t="shared" si="71"/>
        <v xml:space="preserve"> </v>
      </c>
      <c r="Q638" s="25" t="str">
        <f t="shared" si="71"/>
        <v xml:space="preserve"> </v>
      </c>
      <c r="R638" s="25" t="str">
        <f t="shared" si="71"/>
        <v xml:space="preserve"> </v>
      </c>
      <c r="S638" s="26" t="str">
        <f t="shared" si="56"/>
        <v xml:space="preserve"> </v>
      </c>
      <c r="T638" s="7" t="str">
        <f t="shared" si="57"/>
        <v xml:space="preserve"> </v>
      </c>
      <c r="U638" s="8" t="str">
        <f t="shared" si="58"/>
        <v xml:space="preserve"> </v>
      </c>
      <c r="V638" s="9" t="str">
        <f t="shared" si="59"/>
        <v xml:space="preserve"> </v>
      </c>
      <c r="W638" s="9" t="str">
        <f t="shared" si="60"/>
        <v/>
      </c>
      <c r="X638" s="32"/>
      <c r="Y638" s="36"/>
    </row>
    <row r="639" spans="1:25" s="4" customFormat="1" ht="18" customHeight="1">
      <c r="A639" s="36"/>
      <c r="B639" s="76"/>
      <c r="C639" s="69"/>
      <c r="D639" s="31"/>
      <c r="E639" s="29"/>
      <c r="F639" s="28"/>
      <c r="G639" s="29"/>
      <c r="H639" s="29"/>
      <c r="I639" s="30"/>
      <c r="J639" s="12" t="str">
        <f t="shared" si="69"/>
        <v/>
      </c>
      <c r="K639" s="12" t="str">
        <f t="shared" si="70"/>
        <v/>
      </c>
      <c r="L639" s="6"/>
      <c r="M639" s="6"/>
      <c r="N639" s="6"/>
      <c r="O639" s="36"/>
      <c r="P639" s="24" t="str">
        <f t="shared" si="71"/>
        <v xml:space="preserve"> </v>
      </c>
      <c r="Q639" s="25" t="str">
        <f t="shared" si="71"/>
        <v xml:space="preserve"> </v>
      </c>
      <c r="R639" s="25" t="str">
        <f t="shared" si="71"/>
        <v xml:space="preserve"> </v>
      </c>
      <c r="S639" s="26" t="str">
        <f t="shared" si="56"/>
        <v xml:space="preserve"> </v>
      </c>
      <c r="T639" s="7" t="str">
        <f t="shared" si="57"/>
        <v xml:space="preserve"> </v>
      </c>
      <c r="U639" s="8" t="str">
        <f t="shared" si="58"/>
        <v xml:space="preserve"> </v>
      </c>
      <c r="V639" s="9" t="str">
        <f t="shared" si="59"/>
        <v xml:space="preserve"> </v>
      </c>
      <c r="W639" s="9" t="str">
        <f t="shared" si="60"/>
        <v/>
      </c>
      <c r="X639" s="32"/>
      <c r="Y639" s="36"/>
    </row>
    <row r="640" spans="1:25" s="4" customFormat="1" ht="18" customHeight="1">
      <c r="A640" s="36"/>
      <c r="B640" s="76"/>
      <c r="C640" s="69"/>
      <c r="D640" s="31"/>
      <c r="E640" s="29"/>
      <c r="F640" s="28"/>
      <c r="G640" s="29"/>
      <c r="H640" s="29"/>
      <c r="I640" s="30"/>
      <c r="J640" s="12" t="str">
        <f t="shared" si="69"/>
        <v/>
      </c>
      <c r="K640" s="12" t="str">
        <f t="shared" si="70"/>
        <v/>
      </c>
      <c r="L640" s="6"/>
      <c r="M640" s="6"/>
      <c r="N640" s="6"/>
      <c r="O640" s="36"/>
      <c r="P640" s="24" t="str">
        <f t="shared" si="71"/>
        <v xml:space="preserve"> </v>
      </c>
      <c r="Q640" s="25" t="str">
        <f t="shared" si="71"/>
        <v xml:space="preserve"> </v>
      </c>
      <c r="R640" s="25" t="str">
        <f t="shared" si="71"/>
        <v xml:space="preserve"> </v>
      </c>
      <c r="S640" s="26" t="str">
        <f t="shared" si="56"/>
        <v xml:space="preserve"> </v>
      </c>
      <c r="T640" s="7" t="str">
        <f t="shared" si="57"/>
        <v xml:space="preserve"> </v>
      </c>
      <c r="U640" s="8" t="str">
        <f t="shared" si="58"/>
        <v xml:space="preserve"> </v>
      </c>
      <c r="V640" s="9" t="str">
        <f t="shared" si="59"/>
        <v xml:space="preserve"> </v>
      </c>
      <c r="W640" s="9" t="str">
        <f t="shared" si="60"/>
        <v/>
      </c>
      <c r="X640" s="32"/>
      <c r="Y640" s="36"/>
    </row>
    <row r="641" spans="1:25" s="4" customFormat="1" ht="18" customHeight="1">
      <c r="A641" s="36"/>
      <c r="B641" s="76"/>
      <c r="C641" s="69"/>
      <c r="D641" s="31"/>
      <c r="E641" s="29"/>
      <c r="F641" s="28"/>
      <c r="G641" s="29"/>
      <c r="H641" s="29"/>
      <c r="I641" s="30"/>
      <c r="J641" s="12" t="str">
        <f t="shared" si="69"/>
        <v/>
      </c>
      <c r="K641" s="12" t="str">
        <f t="shared" si="70"/>
        <v/>
      </c>
      <c r="L641" s="6"/>
      <c r="M641" s="6"/>
      <c r="N641" s="6"/>
      <c r="O641" s="36"/>
      <c r="P641" s="24" t="str">
        <f t="shared" si="71"/>
        <v xml:space="preserve"> </v>
      </c>
      <c r="Q641" s="25" t="str">
        <f t="shared" si="71"/>
        <v xml:space="preserve"> </v>
      </c>
      <c r="R641" s="25" t="str">
        <f t="shared" si="71"/>
        <v xml:space="preserve"> </v>
      </c>
      <c r="S641" s="26" t="str">
        <f t="shared" si="56"/>
        <v xml:space="preserve"> </v>
      </c>
      <c r="T641" s="7" t="str">
        <f t="shared" si="57"/>
        <v xml:space="preserve"> </v>
      </c>
      <c r="U641" s="8" t="str">
        <f t="shared" si="58"/>
        <v xml:space="preserve"> </v>
      </c>
      <c r="V641" s="9" t="str">
        <f t="shared" si="59"/>
        <v xml:space="preserve"> </v>
      </c>
      <c r="W641" s="9" t="str">
        <f t="shared" si="60"/>
        <v/>
      </c>
      <c r="X641" s="32"/>
      <c r="Y641" s="36"/>
    </row>
    <row r="642" spans="1:25" s="4" customFormat="1" ht="18" customHeight="1">
      <c r="A642" s="36"/>
      <c r="B642" s="76"/>
      <c r="C642" s="69"/>
      <c r="D642" s="31"/>
      <c r="E642" s="29"/>
      <c r="F642" s="28"/>
      <c r="G642" s="29"/>
      <c r="H642" s="29"/>
      <c r="I642" s="30"/>
      <c r="J642" s="12" t="str">
        <f t="shared" si="69"/>
        <v/>
      </c>
      <c r="K642" s="12" t="str">
        <f t="shared" si="70"/>
        <v/>
      </c>
      <c r="L642" s="6"/>
      <c r="M642" s="6"/>
      <c r="N642" s="6"/>
      <c r="O642" s="36"/>
      <c r="P642" s="24" t="str">
        <f t="shared" si="71"/>
        <v xml:space="preserve"> </v>
      </c>
      <c r="Q642" s="25" t="str">
        <f t="shared" si="71"/>
        <v xml:space="preserve"> </v>
      </c>
      <c r="R642" s="25" t="str">
        <f t="shared" si="71"/>
        <v xml:space="preserve"> </v>
      </c>
      <c r="S642" s="26" t="str">
        <f t="shared" si="56"/>
        <v xml:space="preserve"> </v>
      </c>
      <c r="T642" s="7" t="str">
        <f t="shared" si="57"/>
        <v xml:space="preserve"> </v>
      </c>
      <c r="U642" s="8" t="str">
        <f t="shared" si="58"/>
        <v xml:space="preserve"> </v>
      </c>
      <c r="V642" s="9" t="str">
        <f t="shared" si="59"/>
        <v xml:space="preserve"> </v>
      </c>
      <c r="W642" s="9" t="str">
        <f t="shared" si="60"/>
        <v/>
      </c>
      <c r="X642" s="32"/>
      <c r="Y642" s="36"/>
    </row>
    <row r="643" spans="1:25" s="4" customFormat="1" ht="18" customHeight="1">
      <c r="A643" s="36"/>
      <c r="B643" s="76"/>
      <c r="C643" s="69"/>
      <c r="D643" s="31"/>
      <c r="E643" s="29"/>
      <c r="F643" s="28"/>
      <c r="G643" s="29"/>
      <c r="H643" s="29"/>
      <c r="I643" s="30"/>
      <c r="J643" s="12" t="str">
        <f t="shared" si="69"/>
        <v/>
      </c>
      <c r="K643" s="12" t="str">
        <f t="shared" si="70"/>
        <v/>
      </c>
      <c r="L643" s="6"/>
      <c r="M643" s="6"/>
      <c r="N643" s="6"/>
      <c r="O643" s="36"/>
      <c r="P643" s="24" t="str">
        <f t="shared" si="71"/>
        <v xml:space="preserve"> </v>
      </c>
      <c r="Q643" s="25" t="str">
        <f t="shared" si="71"/>
        <v xml:space="preserve"> </v>
      </c>
      <c r="R643" s="25" t="str">
        <f t="shared" si="71"/>
        <v xml:space="preserve"> </v>
      </c>
      <c r="S643" s="26" t="str">
        <f t="shared" si="56"/>
        <v xml:space="preserve"> </v>
      </c>
      <c r="T643" s="7" t="str">
        <f t="shared" si="57"/>
        <v xml:space="preserve"> </v>
      </c>
      <c r="U643" s="8" t="str">
        <f t="shared" si="58"/>
        <v xml:space="preserve"> </v>
      </c>
      <c r="V643" s="9" t="str">
        <f t="shared" si="59"/>
        <v xml:space="preserve"> </v>
      </c>
      <c r="W643" s="9" t="str">
        <f t="shared" si="60"/>
        <v/>
      </c>
      <c r="X643" s="32"/>
      <c r="Y643" s="36"/>
    </row>
    <row r="644" spans="1:25" s="4" customFormat="1" ht="18" customHeight="1">
      <c r="A644" s="36"/>
      <c r="B644" s="76"/>
      <c r="C644" s="69"/>
      <c r="D644" s="31"/>
      <c r="E644" s="29"/>
      <c r="F644" s="28"/>
      <c r="G644" s="29"/>
      <c r="H644" s="29"/>
      <c r="I644" s="30"/>
      <c r="J644" s="12" t="str">
        <f t="shared" si="69"/>
        <v/>
      </c>
      <c r="K644" s="12" t="str">
        <f t="shared" si="70"/>
        <v/>
      </c>
      <c r="L644" s="6"/>
      <c r="M644" s="6"/>
      <c r="N644" s="6"/>
      <c r="O644" s="36"/>
      <c r="P644" s="24" t="str">
        <f t="shared" si="71"/>
        <v xml:space="preserve"> </v>
      </c>
      <c r="Q644" s="25" t="str">
        <f t="shared" si="71"/>
        <v xml:space="preserve"> </v>
      </c>
      <c r="R644" s="25" t="str">
        <f t="shared" si="71"/>
        <v xml:space="preserve"> </v>
      </c>
      <c r="S644" s="26" t="str">
        <f t="shared" si="56"/>
        <v xml:space="preserve"> </v>
      </c>
      <c r="T644" s="7" t="str">
        <f t="shared" si="57"/>
        <v xml:space="preserve"> </v>
      </c>
      <c r="U644" s="8" t="str">
        <f t="shared" si="58"/>
        <v xml:space="preserve"> </v>
      </c>
      <c r="V644" s="9" t="str">
        <f t="shared" si="59"/>
        <v xml:space="preserve"> </v>
      </c>
      <c r="W644" s="9" t="str">
        <f t="shared" si="60"/>
        <v/>
      </c>
      <c r="X644" s="32"/>
      <c r="Y644" s="36"/>
    </row>
    <row r="645" spans="1:25" s="4" customFormat="1" ht="18" customHeight="1">
      <c r="A645" s="36"/>
      <c r="B645" s="76"/>
      <c r="C645" s="69"/>
      <c r="D645" s="31"/>
      <c r="E645" s="29"/>
      <c r="F645" s="28"/>
      <c r="G645" s="29"/>
      <c r="H645" s="29"/>
      <c r="I645" s="30"/>
      <c r="J645" s="12" t="str">
        <f t="shared" si="69"/>
        <v/>
      </c>
      <c r="K645" s="12" t="str">
        <f t="shared" si="70"/>
        <v/>
      </c>
      <c r="L645" s="6"/>
      <c r="M645" s="6"/>
      <c r="N645" s="6"/>
      <c r="O645" s="36"/>
      <c r="P645" s="24" t="str">
        <f t="shared" si="71"/>
        <v xml:space="preserve"> </v>
      </c>
      <c r="Q645" s="25" t="str">
        <f t="shared" si="71"/>
        <v xml:space="preserve"> </v>
      </c>
      <c r="R645" s="25" t="str">
        <f t="shared" si="71"/>
        <v xml:space="preserve"> </v>
      </c>
      <c r="S645" s="26" t="str">
        <f t="shared" si="56"/>
        <v xml:space="preserve"> </v>
      </c>
      <c r="T645" s="7" t="str">
        <f t="shared" si="57"/>
        <v xml:space="preserve"> </v>
      </c>
      <c r="U645" s="8" t="str">
        <f t="shared" si="58"/>
        <v xml:space="preserve"> </v>
      </c>
      <c r="V645" s="9" t="str">
        <f t="shared" si="59"/>
        <v xml:space="preserve"> </v>
      </c>
      <c r="W645" s="9" t="str">
        <f t="shared" si="60"/>
        <v/>
      </c>
      <c r="X645" s="32"/>
      <c r="Y645" s="36"/>
    </row>
    <row r="646" spans="1:25" s="4" customFormat="1" ht="18" customHeight="1">
      <c r="A646" s="36"/>
      <c r="B646" s="76"/>
      <c r="C646" s="69"/>
      <c r="D646" s="31"/>
      <c r="E646" s="29"/>
      <c r="F646" s="28"/>
      <c r="G646" s="29"/>
      <c r="H646" s="29"/>
      <c r="I646" s="30"/>
      <c r="J646" s="12" t="str">
        <f t="shared" si="69"/>
        <v/>
      </c>
      <c r="K646" s="12" t="str">
        <f t="shared" si="70"/>
        <v/>
      </c>
      <c r="L646" s="6"/>
      <c r="M646" s="6"/>
      <c r="N646" s="6"/>
      <c r="O646" s="36"/>
      <c r="P646" s="24" t="str">
        <f t="shared" si="71"/>
        <v xml:space="preserve"> </v>
      </c>
      <c r="Q646" s="25" t="str">
        <f t="shared" si="71"/>
        <v xml:space="preserve"> </v>
      </c>
      <c r="R646" s="25" t="str">
        <f t="shared" si="71"/>
        <v xml:space="preserve"> </v>
      </c>
      <c r="S646" s="26" t="str">
        <f t="shared" si="56"/>
        <v xml:space="preserve"> </v>
      </c>
      <c r="T646" s="7" t="str">
        <f t="shared" si="57"/>
        <v xml:space="preserve"> </v>
      </c>
      <c r="U646" s="8" t="str">
        <f t="shared" si="58"/>
        <v xml:space="preserve"> </v>
      </c>
      <c r="V646" s="9" t="str">
        <f t="shared" si="59"/>
        <v xml:space="preserve"> </v>
      </c>
      <c r="W646" s="9" t="str">
        <f t="shared" si="60"/>
        <v/>
      </c>
      <c r="X646" s="32"/>
      <c r="Y646" s="36"/>
    </row>
    <row r="647" spans="1:25" s="4" customFormat="1" ht="18" customHeight="1">
      <c r="A647" s="36"/>
      <c r="B647" s="76"/>
      <c r="C647" s="69"/>
      <c r="D647" s="31"/>
      <c r="E647" s="29"/>
      <c r="F647" s="28"/>
      <c r="G647" s="29"/>
      <c r="H647" s="29"/>
      <c r="I647" s="30"/>
      <c r="J647" s="12" t="str">
        <f t="shared" si="69"/>
        <v/>
      </c>
      <c r="K647" s="12" t="str">
        <f t="shared" si="70"/>
        <v/>
      </c>
      <c r="L647" s="6"/>
      <c r="M647" s="6"/>
      <c r="N647" s="6"/>
      <c r="O647" s="36"/>
      <c r="P647" s="24" t="str">
        <f t="shared" si="71"/>
        <v xml:space="preserve"> </v>
      </c>
      <c r="Q647" s="25" t="str">
        <f t="shared" si="71"/>
        <v xml:space="preserve"> </v>
      </c>
      <c r="R647" s="25" t="str">
        <f t="shared" si="71"/>
        <v xml:space="preserve"> </v>
      </c>
      <c r="S647" s="26" t="str">
        <f t="shared" si="56"/>
        <v xml:space="preserve"> </v>
      </c>
      <c r="T647" s="7" t="str">
        <f t="shared" si="57"/>
        <v xml:space="preserve"> </v>
      </c>
      <c r="U647" s="8" t="str">
        <f t="shared" si="58"/>
        <v xml:space="preserve"> </v>
      </c>
      <c r="V647" s="9" t="str">
        <f t="shared" si="59"/>
        <v xml:space="preserve"> </v>
      </c>
      <c r="W647" s="9" t="str">
        <f t="shared" si="60"/>
        <v/>
      </c>
      <c r="X647" s="32"/>
      <c r="Y647" s="36"/>
    </row>
    <row r="648" spans="1:25" s="4" customFormat="1" ht="18" customHeight="1">
      <c r="A648" s="36"/>
      <c r="B648" s="76"/>
      <c r="C648" s="69"/>
      <c r="D648" s="31"/>
      <c r="E648" s="29"/>
      <c r="F648" s="28"/>
      <c r="G648" s="29"/>
      <c r="H648" s="29"/>
      <c r="I648" s="30"/>
      <c r="J648" s="12" t="str">
        <f t="shared" si="69"/>
        <v/>
      </c>
      <c r="K648" s="12" t="str">
        <f t="shared" si="70"/>
        <v/>
      </c>
      <c r="L648" s="6"/>
      <c r="M648" s="6"/>
      <c r="N648" s="6"/>
      <c r="O648" s="36"/>
      <c r="P648" s="24" t="str">
        <f t="shared" si="71"/>
        <v xml:space="preserve"> </v>
      </c>
      <c r="Q648" s="25" t="str">
        <f t="shared" si="71"/>
        <v xml:space="preserve"> </v>
      </c>
      <c r="R648" s="25" t="str">
        <f t="shared" si="71"/>
        <v xml:space="preserve"> </v>
      </c>
      <c r="S648" s="26" t="str">
        <f t="shared" si="56"/>
        <v xml:space="preserve"> </v>
      </c>
      <c r="T648" s="7" t="str">
        <f t="shared" si="57"/>
        <v xml:space="preserve"> </v>
      </c>
      <c r="U648" s="8" t="str">
        <f t="shared" si="58"/>
        <v xml:space="preserve"> </v>
      </c>
      <c r="V648" s="9" t="str">
        <f t="shared" si="59"/>
        <v xml:space="preserve"> </v>
      </c>
      <c r="W648" s="9" t="str">
        <f t="shared" si="60"/>
        <v/>
      </c>
      <c r="X648" s="32"/>
      <c r="Y648" s="36"/>
    </row>
    <row r="649" spans="1:25" s="4" customFormat="1" ht="18" customHeight="1">
      <c r="A649" s="36"/>
      <c r="B649" s="76"/>
      <c r="C649" s="69"/>
      <c r="D649" s="31"/>
      <c r="E649" s="29"/>
      <c r="F649" s="28"/>
      <c r="G649" s="29"/>
      <c r="H649" s="29"/>
      <c r="I649" s="30"/>
      <c r="J649" s="12" t="str">
        <f t="shared" si="69"/>
        <v/>
      </c>
      <c r="K649" s="12" t="str">
        <f t="shared" si="70"/>
        <v/>
      </c>
      <c r="L649" s="6"/>
      <c r="M649" s="6"/>
      <c r="N649" s="6"/>
      <c r="O649" s="36"/>
      <c r="P649" s="24" t="str">
        <f t="shared" si="71"/>
        <v xml:space="preserve"> </v>
      </c>
      <c r="Q649" s="25" t="str">
        <f t="shared" si="71"/>
        <v xml:space="preserve"> </v>
      </c>
      <c r="R649" s="25" t="str">
        <f t="shared" si="71"/>
        <v xml:space="preserve"> </v>
      </c>
      <c r="S649" s="26" t="str">
        <f t="shared" si="56"/>
        <v xml:space="preserve"> </v>
      </c>
      <c r="T649" s="7" t="str">
        <f t="shared" si="57"/>
        <v xml:space="preserve"> </v>
      </c>
      <c r="U649" s="8" t="str">
        <f t="shared" si="58"/>
        <v xml:space="preserve"> </v>
      </c>
      <c r="V649" s="9" t="str">
        <f t="shared" si="59"/>
        <v xml:space="preserve"> </v>
      </c>
      <c r="W649" s="9" t="str">
        <f t="shared" si="60"/>
        <v/>
      </c>
      <c r="X649" s="32"/>
      <c r="Y649" s="36"/>
    </row>
    <row r="650" spans="1:25" s="4" customFormat="1" ht="18" customHeight="1">
      <c r="A650" s="36"/>
      <c r="B650" s="76"/>
      <c r="C650" s="69"/>
      <c r="D650" s="31"/>
      <c r="E650" s="29"/>
      <c r="F650" s="28"/>
      <c r="G650" s="29"/>
      <c r="H650" s="29"/>
      <c r="I650" s="30"/>
      <c r="J650" s="12" t="str">
        <f t="shared" si="69"/>
        <v/>
      </c>
      <c r="K650" s="12" t="str">
        <f t="shared" si="70"/>
        <v/>
      </c>
      <c r="L650" s="6"/>
      <c r="M650" s="6"/>
      <c r="N650" s="6"/>
      <c r="O650" s="36"/>
      <c r="P650" s="24" t="str">
        <f t="shared" si="71"/>
        <v xml:space="preserve"> </v>
      </c>
      <c r="Q650" s="25" t="str">
        <f t="shared" si="71"/>
        <v xml:space="preserve"> </v>
      </c>
      <c r="R650" s="25" t="str">
        <f t="shared" si="71"/>
        <v xml:space="preserve"> </v>
      </c>
      <c r="S650" s="26" t="str">
        <f t="shared" si="56"/>
        <v xml:space="preserve"> </v>
      </c>
      <c r="T650" s="7" t="str">
        <f t="shared" si="57"/>
        <v xml:space="preserve"> </v>
      </c>
      <c r="U650" s="8" t="str">
        <f t="shared" si="58"/>
        <v xml:space="preserve"> </v>
      </c>
      <c r="V650" s="9" t="str">
        <f t="shared" si="59"/>
        <v xml:space="preserve"> </v>
      </c>
      <c r="W650" s="9" t="str">
        <f t="shared" si="60"/>
        <v/>
      </c>
      <c r="X650" s="32"/>
      <c r="Y650" s="36"/>
    </row>
    <row r="651" spans="1:25" s="4" customFormat="1" ht="18" customHeight="1">
      <c r="A651" s="36"/>
      <c r="B651" s="76"/>
      <c r="C651" s="69"/>
      <c r="D651" s="31"/>
      <c r="E651" s="29"/>
      <c r="F651" s="28"/>
      <c r="G651" s="29"/>
      <c r="H651" s="29"/>
      <c r="I651" s="30"/>
      <c r="J651" s="12" t="str">
        <f t="shared" si="69"/>
        <v/>
      </c>
      <c r="K651" s="12" t="str">
        <f t="shared" si="70"/>
        <v/>
      </c>
      <c r="L651" s="6"/>
      <c r="M651" s="6"/>
      <c r="N651" s="6"/>
      <c r="O651" s="36"/>
      <c r="P651" s="24" t="str">
        <f t="shared" si="71"/>
        <v xml:space="preserve"> </v>
      </c>
      <c r="Q651" s="25" t="str">
        <f t="shared" si="71"/>
        <v xml:space="preserve"> </v>
      </c>
      <c r="R651" s="25" t="str">
        <f t="shared" si="71"/>
        <v xml:space="preserve"> </v>
      </c>
      <c r="S651" s="26" t="str">
        <f t="shared" si="56"/>
        <v xml:space="preserve"> </v>
      </c>
      <c r="T651" s="7" t="str">
        <f t="shared" si="57"/>
        <v xml:space="preserve"> </v>
      </c>
      <c r="U651" s="8" t="str">
        <f t="shared" si="58"/>
        <v xml:space="preserve"> </v>
      </c>
      <c r="V651" s="9" t="str">
        <f t="shared" si="59"/>
        <v xml:space="preserve"> </v>
      </c>
      <c r="W651" s="9" t="str">
        <f t="shared" si="60"/>
        <v/>
      </c>
      <c r="X651" s="32"/>
      <c r="Y651" s="36"/>
    </row>
    <row r="652" spans="1:25" s="4" customFormat="1" ht="18" customHeight="1">
      <c r="A652" s="36"/>
      <c r="B652" s="76"/>
      <c r="C652" s="69"/>
      <c r="D652" s="31"/>
      <c r="E652" s="29"/>
      <c r="F652" s="28"/>
      <c r="G652" s="29"/>
      <c r="H652" s="29"/>
      <c r="I652" s="30"/>
      <c r="J652" s="12" t="str">
        <f t="shared" si="69"/>
        <v/>
      </c>
      <c r="K652" s="12" t="str">
        <f t="shared" si="70"/>
        <v/>
      </c>
      <c r="L652" s="6"/>
      <c r="M652" s="6"/>
      <c r="N652" s="6"/>
      <c r="O652" s="36"/>
      <c r="P652" s="24" t="str">
        <f t="shared" si="71"/>
        <v xml:space="preserve"> </v>
      </c>
      <c r="Q652" s="25" t="str">
        <f t="shared" si="71"/>
        <v xml:space="preserve"> </v>
      </c>
      <c r="R652" s="25" t="str">
        <f t="shared" si="71"/>
        <v xml:space="preserve"> </v>
      </c>
      <c r="S652" s="26" t="str">
        <f t="shared" si="56"/>
        <v xml:space="preserve"> </v>
      </c>
      <c r="T652" s="7" t="str">
        <f t="shared" si="57"/>
        <v xml:space="preserve"> </v>
      </c>
      <c r="U652" s="8" t="str">
        <f t="shared" si="58"/>
        <v xml:space="preserve"> </v>
      </c>
      <c r="V652" s="9" t="str">
        <f t="shared" si="59"/>
        <v xml:space="preserve"> </v>
      </c>
      <c r="W652" s="9" t="str">
        <f t="shared" si="60"/>
        <v/>
      </c>
      <c r="X652" s="32"/>
      <c r="Y652" s="36"/>
    </row>
    <row r="653" spans="1:25" s="4" customFormat="1" ht="18" customHeight="1">
      <c r="A653" s="36"/>
      <c r="B653" s="76"/>
      <c r="C653" s="69"/>
      <c r="D653" s="31"/>
      <c r="E653" s="29"/>
      <c r="F653" s="28"/>
      <c r="G653" s="29"/>
      <c r="H653" s="29"/>
      <c r="I653" s="30"/>
      <c r="J653" s="12" t="str">
        <f t="shared" si="69"/>
        <v/>
      </c>
      <c r="K653" s="12" t="str">
        <f t="shared" si="70"/>
        <v/>
      </c>
      <c r="L653" s="6"/>
      <c r="M653" s="6"/>
      <c r="N653" s="6"/>
      <c r="O653" s="36"/>
      <c r="P653" s="24" t="str">
        <f t="shared" si="71"/>
        <v xml:space="preserve"> </v>
      </c>
      <c r="Q653" s="25" t="str">
        <f t="shared" si="71"/>
        <v xml:space="preserve"> </v>
      </c>
      <c r="R653" s="25" t="str">
        <f t="shared" si="71"/>
        <v xml:space="preserve"> </v>
      </c>
      <c r="S653" s="26" t="str">
        <f t="shared" si="56"/>
        <v xml:space="preserve"> </v>
      </c>
      <c r="T653" s="7" t="str">
        <f t="shared" si="57"/>
        <v xml:space="preserve"> </v>
      </c>
      <c r="U653" s="8" t="str">
        <f t="shared" si="58"/>
        <v xml:space="preserve"> </v>
      </c>
      <c r="V653" s="9" t="str">
        <f t="shared" si="59"/>
        <v xml:space="preserve"> </v>
      </c>
      <c r="W653" s="9" t="str">
        <f t="shared" si="60"/>
        <v/>
      </c>
      <c r="X653" s="32"/>
      <c r="Y653" s="36"/>
    </row>
    <row r="654" spans="1:25" s="4" customFormat="1" ht="18" customHeight="1">
      <c r="A654" s="36"/>
      <c r="B654" s="76"/>
      <c r="C654" s="69"/>
      <c r="D654" s="31"/>
      <c r="E654" s="29"/>
      <c r="F654" s="28"/>
      <c r="G654" s="29"/>
      <c r="H654" s="29"/>
      <c r="I654" s="30"/>
      <c r="J654" s="12" t="str">
        <f t="shared" si="69"/>
        <v/>
      </c>
      <c r="K654" s="12" t="str">
        <f t="shared" si="70"/>
        <v/>
      </c>
      <c r="L654" s="6"/>
      <c r="M654" s="6"/>
      <c r="N654" s="6"/>
      <c r="O654" s="36"/>
      <c r="P654" s="24" t="str">
        <f t="shared" si="71"/>
        <v xml:space="preserve"> </v>
      </c>
      <c r="Q654" s="25" t="str">
        <f t="shared" si="71"/>
        <v xml:space="preserve"> </v>
      </c>
      <c r="R654" s="25" t="str">
        <f t="shared" si="71"/>
        <v xml:space="preserve"> </v>
      </c>
      <c r="S654" s="26" t="str">
        <f t="shared" si="56"/>
        <v xml:space="preserve"> </v>
      </c>
      <c r="T654" s="7" t="str">
        <f t="shared" si="57"/>
        <v xml:space="preserve"> </v>
      </c>
      <c r="U654" s="8" t="str">
        <f t="shared" si="58"/>
        <v xml:space="preserve"> </v>
      </c>
      <c r="V654" s="9" t="str">
        <f t="shared" si="59"/>
        <v xml:space="preserve"> </v>
      </c>
      <c r="W654" s="9" t="str">
        <f t="shared" si="60"/>
        <v/>
      </c>
      <c r="X654" s="32"/>
      <c r="Y654" s="36"/>
    </row>
    <row r="655" spans="1:25" s="4" customFormat="1" ht="18" customHeight="1">
      <c r="A655" s="36"/>
      <c r="B655" s="76"/>
      <c r="C655" s="69"/>
      <c r="D655" s="31"/>
      <c r="E655" s="29"/>
      <c r="F655" s="28"/>
      <c r="G655" s="29"/>
      <c r="H655" s="29"/>
      <c r="I655" s="30"/>
      <c r="J655" s="12" t="str">
        <f t="shared" si="69"/>
        <v/>
      </c>
      <c r="K655" s="12" t="str">
        <f t="shared" si="70"/>
        <v/>
      </c>
      <c r="L655" s="6"/>
      <c r="M655" s="6"/>
      <c r="N655" s="6"/>
      <c r="O655" s="36"/>
      <c r="P655" s="24" t="str">
        <f t="shared" si="71"/>
        <v xml:space="preserve"> </v>
      </c>
      <c r="Q655" s="25" t="str">
        <f t="shared" si="71"/>
        <v xml:space="preserve"> </v>
      </c>
      <c r="R655" s="25" t="str">
        <f t="shared" si="71"/>
        <v xml:space="preserve"> </v>
      </c>
      <c r="S655" s="26" t="str">
        <f t="shared" si="56"/>
        <v xml:space="preserve"> </v>
      </c>
      <c r="T655" s="7" t="str">
        <f t="shared" si="57"/>
        <v xml:space="preserve"> </v>
      </c>
      <c r="U655" s="8" t="str">
        <f t="shared" si="58"/>
        <v xml:space="preserve"> </v>
      </c>
      <c r="V655" s="9" t="str">
        <f t="shared" si="59"/>
        <v xml:space="preserve"> </v>
      </c>
      <c r="W655" s="9" t="str">
        <f t="shared" si="60"/>
        <v/>
      </c>
      <c r="X655" s="32"/>
      <c r="Y655" s="36"/>
    </row>
    <row r="656" spans="1:25" s="4" customFormat="1" ht="18" customHeight="1">
      <c r="A656" s="36"/>
      <c r="B656" s="76"/>
      <c r="C656" s="69"/>
      <c r="D656" s="31"/>
      <c r="E656" s="29"/>
      <c r="F656" s="28"/>
      <c r="G656" s="29"/>
      <c r="H656" s="29"/>
      <c r="I656" s="30"/>
      <c r="J656" s="12" t="str">
        <f t="shared" si="69"/>
        <v/>
      </c>
      <c r="K656" s="12" t="str">
        <f t="shared" si="70"/>
        <v/>
      </c>
      <c r="L656" s="6"/>
      <c r="M656" s="6"/>
      <c r="N656" s="6"/>
      <c r="O656" s="36"/>
      <c r="P656" s="24" t="str">
        <f t="shared" si="71"/>
        <v xml:space="preserve"> </v>
      </c>
      <c r="Q656" s="25" t="str">
        <f t="shared" si="71"/>
        <v xml:space="preserve"> </v>
      </c>
      <c r="R656" s="25" t="str">
        <f t="shared" si="71"/>
        <v xml:space="preserve"> </v>
      </c>
      <c r="S656" s="26" t="str">
        <f t="shared" si="56"/>
        <v xml:space="preserve"> </v>
      </c>
      <c r="T656" s="7" t="str">
        <f t="shared" si="57"/>
        <v xml:space="preserve"> </v>
      </c>
      <c r="U656" s="8" t="str">
        <f t="shared" si="58"/>
        <v xml:space="preserve"> </v>
      </c>
      <c r="V656" s="9" t="str">
        <f t="shared" si="59"/>
        <v xml:space="preserve"> </v>
      </c>
      <c r="W656" s="9" t="str">
        <f t="shared" si="60"/>
        <v/>
      </c>
      <c r="X656" s="32"/>
      <c r="Y656" s="36"/>
    </row>
    <row r="657" spans="1:25" s="4" customFormat="1" ht="18" customHeight="1">
      <c r="A657" s="36"/>
      <c r="B657" s="76"/>
      <c r="C657" s="69"/>
      <c r="D657" s="31"/>
      <c r="E657" s="29"/>
      <c r="F657" s="28"/>
      <c r="G657" s="29"/>
      <c r="H657" s="29"/>
      <c r="I657" s="30"/>
      <c r="J657" s="12" t="str">
        <f t="shared" si="69"/>
        <v/>
      </c>
      <c r="K657" s="12" t="str">
        <f t="shared" si="70"/>
        <v/>
      </c>
      <c r="L657" s="6"/>
      <c r="M657" s="6"/>
      <c r="N657" s="6"/>
      <c r="O657" s="36"/>
      <c r="P657" s="24" t="str">
        <f t="shared" si="71"/>
        <v xml:space="preserve"> </v>
      </c>
      <c r="Q657" s="25" t="str">
        <f t="shared" si="71"/>
        <v xml:space="preserve"> </v>
      </c>
      <c r="R657" s="25" t="str">
        <f t="shared" si="71"/>
        <v xml:space="preserve"> </v>
      </c>
      <c r="S657" s="26" t="str">
        <f t="shared" si="56"/>
        <v xml:space="preserve"> </v>
      </c>
      <c r="T657" s="7" t="str">
        <f t="shared" si="57"/>
        <v xml:space="preserve"> </v>
      </c>
      <c r="U657" s="8" t="str">
        <f t="shared" si="58"/>
        <v xml:space="preserve"> </v>
      </c>
      <c r="V657" s="9" t="str">
        <f t="shared" si="59"/>
        <v xml:space="preserve"> </v>
      </c>
      <c r="W657" s="9" t="str">
        <f t="shared" si="60"/>
        <v/>
      </c>
      <c r="X657" s="32"/>
      <c r="Y657" s="36"/>
    </row>
    <row r="658" spans="1:25" s="4" customFormat="1" ht="18" customHeight="1">
      <c r="A658" s="36"/>
      <c r="B658" s="76"/>
      <c r="C658" s="69"/>
      <c r="D658" s="31"/>
      <c r="E658" s="29"/>
      <c r="F658" s="28"/>
      <c r="G658" s="29"/>
      <c r="H658" s="29"/>
      <c r="I658" s="30"/>
      <c r="J658" s="12" t="str">
        <f t="shared" si="69"/>
        <v/>
      </c>
      <c r="K658" s="12" t="str">
        <f t="shared" si="70"/>
        <v/>
      </c>
      <c r="L658" s="6"/>
      <c r="M658" s="6"/>
      <c r="N658" s="6"/>
      <c r="O658" s="36"/>
      <c r="P658" s="24" t="str">
        <f t="shared" si="71"/>
        <v xml:space="preserve"> </v>
      </c>
      <c r="Q658" s="25" t="str">
        <f t="shared" si="71"/>
        <v xml:space="preserve"> </v>
      </c>
      <c r="R658" s="25" t="str">
        <f t="shared" si="71"/>
        <v xml:space="preserve"> </v>
      </c>
      <c r="S658" s="26" t="str">
        <f t="shared" si="56"/>
        <v xml:space="preserve"> </v>
      </c>
      <c r="T658" s="7" t="str">
        <f t="shared" si="57"/>
        <v xml:space="preserve"> </v>
      </c>
      <c r="U658" s="8" t="str">
        <f t="shared" si="58"/>
        <v xml:space="preserve"> </v>
      </c>
      <c r="V658" s="9" t="str">
        <f t="shared" si="59"/>
        <v xml:space="preserve"> </v>
      </c>
      <c r="W658" s="9" t="str">
        <f t="shared" si="60"/>
        <v/>
      </c>
      <c r="X658" s="32"/>
      <c r="Y658" s="36"/>
    </row>
    <row r="659" spans="1:25" s="4" customFormat="1" ht="18" customHeight="1">
      <c r="A659" s="36"/>
      <c r="B659" s="76"/>
      <c r="C659" s="69"/>
      <c r="D659" s="31"/>
      <c r="E659" s="29"/>
      <c r="F659" s="28"/>
      <c r="G659" s="29"/>
      <c r="H659" s="29"/>
      <c r="I659" s="30"/>
      <c r="J659" s="12" t="str">
        <f t="shared" si="69"/>
        <v/>
      </c>
      <c r="K659" s="12" t="str">
        <f t="shared" si="70"/>
        <v/>
      </c>
      <c r="L659" s="6"/>
      <c r="M659" s="6"/>
      <c r="N659" s="6"/>
      <c r="O659" s="36"/>
      <c r="P659" s="24" t="str">
        <f t="shared" si="71"/>
        <v xml:space="preserve"> </v>
      </c>
      <c r="Q659" s="25" t="str">
        <f t="shared" si="71"/>
        <v xml:space="preserve"> </v>
      </c>
      <c r="R659" s="25" t="str">
        <f t="shared" si="71"/>
        <v xml:space="preserve"> </v>
      </c>
      <c r="S659" s="26" t="str">
        <f t="shared" si="56"/>
        <v xml:space="preserve"> </v>
      </c>
      <c r="T659" s="7" t="str">
        <f t="shared" si="57"/>
        <v xml:space="preserve"> </v>
      </c>
      <c r="U659" s="8" t="str">
        <f t="shared" si="58"/>
        <v xml:space="preserve"> </v>
      </c>
      <c r="V659" s="9" t="str">
        <f t="shared" si="59"/>
        <v xml:space="preserve"> </v>
      </c>
      <c r="W659" s="9" t="str">
        <f t="shared" si="60"/>
        <v/>
      </c>
      <c r="X659" s="32"/>
      <c r="Y659" s="36"/>
    </row>
    <row r="660" spans="1:25" s="4" customFormat="1" ht="18" customHeight="1">
      <c r="A660" s="36"/>
      <c r="B660" s="76"/>
      <c r="C660" s="69"/>
      <c r="D660" s="31"/>
      <c r="E660" s="29"/>
      <c r="F660" s="28"/>
      <c r="G660" s="29"/>
      <c r="H660" s="29"/>
      <c r="I660" s="30"/>
      <c r="J660" s="12" t="str">
        <f t="shared" si="69"/>
        <v/>
      </c>
      <c r="K660" s="12" t="str">
        <f t="shared" si="70"/>
        <v/>
      </c>
      <c r="L660" s="6"/>
      <c r="M660" s="6"/>
      <c r="N660" s="6"/>
      <c r="O660" s="36"/>
      <c r="P660" s="24" t="str">
        <f t="shared" si="71"/>
        <v xml:space="preserve"> </v>
      </c>
      <c r="Q660" s="25" t="str">
        <f t="shared" si="71"/>
        <v xml:space="preserve"> </v>
      </c>
      <c r="R660" s="25" t="str">
        <f t="shared" si="71"/>
        <v xml:space="preserve"> </v>
      </c>
      <c r="S660" s="26" t="str">
        <f t="shared" si="56"/>
        <v xml:space="preserve"> </v>
      </c>
      <c r="T660" s="7" t="str">
        <f t="shared" si="57"/>
        <v xml:space="preserve"> </v>
      </c>
      <c r="U660" s="8" t="str">
        <f t="shared" si="58"/>
        <v xml:space="preserve"> </v>
      </c>
      <c r="V660" s="9" t="str">
        <f t="shared" si="59"/>
        <v xml:space="preserve"> </v>
      </c>
      <c r="W660" s="9" t="str">
        <f t="shared" si="60"/>
        <v/>
      </c>
      <c r="X660" s="32"/>
      <c r="Y660" s="36"/>
    </row>
    <row r="661" spans="1:25" s="4" customFormat="1" ht="18" customHeight="1">
      <c r="A661" s="36"/>
      <c r="B661" s="76"/>
      <c r="C661" s="69"/>
      <c r="D661" s="31"/>
      <c r="E661" s="29"/>
      <c r="F661" s="28"/>
      <c r="G661" s="29"/>
      <c r="H661" s="29"/>
      <c r="I661" s="30"/>
      <c r="J661" s="12" t="str">
        <f t="shared" si="69"/>
        <v/>
      </c>
      <c r="K661" s="12" t="str">
        <f t="shared" si="70"/>
        <v/>
      </c>
      <c r="L661" s="6"/>
      <c r="M661" s="6"/>
      <c r="N661" s="6"/>
      <c r="O661" s="36"/>
      <c r="P661" s="24" t="str">
        <f t="shared" si="71"/>
        <v xml:space="preserve"> </v>
      </c>
      <c r="Q661" s="25" t="str">
        <f t="shared" si="71"/>
        <v xml:space="preserve"> </v>
      </c>
      <c r="R661" s="25" t="str">
        <f t="shared" si="71"/>
        <v xml:space="preserve"> </v>
      </c>
      <c r="S661" s="26" t="str">
        <f t="shared" si="56"/>
        <v xml:space="preserve"> </v>
      </c>
      <c r="T661" s="7" t="str">
        <f t="shared" si="57"/>
        <v xml:space="preserve"> </v>
      </c>
      <c r="U661" s="8" t="str">
        <f t="shared" si="58"/>
        <v xml:space="preserve"> </v>
      </c>
      <c r="V661" s="9" t="str">
        <f t="shared" si="59"/>
        <v xml:space="preserve"> </v>
      </c>
      <c r="W661" s="9" t="str">
        <f t="shared" si="60"/>
        <v/>
      </c>
      <c r="X661" s="32"/>
      <c r="Y661" s="36"/>
    </row>
    <row r="662" spans="1:25" s="4" customFormat="1" ht="18" customHeight="1">
      <c r="A662" s="36"/>
      <c r="B662" s="76"/>
      <c r="C662" s="69"/>
      <c r="D662" s="31"/>
      <c r="E662" s="29"/>
      <c r="F662" s="28"/>
      <c r="G662" s="29"/>
      <c r="H662" s="29"/>
      <c r="I662" s="30"/>
      <c r="J662" s="12" t="str">
        <f t="shared" si="69"/>
        <v/>
      </c>
      <c r="K662" s="12" t="str">
        <f t="shared" si="70"/>
        <v/>
      </c>
      <c r="L662" s="6"/>
      <c r="M662" s="6"/>
      <c r="N662" s="6"/>
      <c r="O662" s="36"/>
      <c r="P662" s="24" t="str">
        <f t="shared" si="71"/>
        <v xml:space="preserve"> </v>
      </c>
      <c r="Q662" s="25" t="str">
        <f t="shared" si="71"/>
        <v xml:space="preserve"> </v>
      </c>
      <c r="R662" s="25" t="str">
        <f t="shared" si="71"/>
        <v xml:space="preserve"> </v>
      </c>
      <c r="S662" s="26" t="str">
        <f t="shared" ref="S662:S692" si="72">IF(ISERR(L662/L662)=TRUE," ",AVERAGE(L662:N662))</f>
        <v xml:space="preserve"> </v>
      </c>
      <c r="T662" s="7" t="str">
        <f t="shared" ref="T662:T692" si="73">IF(ISERR(G662/G662)=TRUE," ",IF(ISERR(L662/L662)=TRUE," ",IF(ISNUMBER($L662)=FALSE," ",IF(MAX($L662:$N662)&lt;$F662,0,(MAX($L662:$N662)-$F662)/$G662))))</f>
        <v xml:space="preserve"> </v>
      </c>
      <c r="U662" s="8" t="str">
        <f t="shared" ref="U662:U692" si="74">IF(ISERR(H662/F662)=TRUE," ",IF(ISERR(H662/H662)=TRUE," ",IF(ISERR(L662/L662)=TRUE," ",IF(ISNUMBER(L662)=FALSE," ",IF(MIN(L662:N662)&gt;$F662,0,($F662-MIN(L662:N662))/-H662)))))</f>
        <v xml:space="preserve"> </v>
      </c>
      <c r="V662" s="9" t="str">
        <f t="shared" ref="V662:V692" si="75">IF(ISNUMBER($T662)=TRUE,IF($T662&gt;0.651,IF($T662&gt;1.001,"Reject","Alert")," ")," ")</f>
        <v xml:space="preserve"> </v>
      </c>
      <c r="W662" s="9" t="str">
        <f t="shared" ref="W662:W692" si="76">IF(L662="","",IF(ISERR(H662/H662)=TRUE," ",IF(ISERR(H662/F662)=TRUE,IF((H662-MIN(L662:N662))&gt;0.001,"Reject",""),IF(ISNUMBER($U662)=TRUE,IF($U662&gt;0.651,IF($U662&gt;1.001,"Reject","Alert")," ")," "))))</f>
        <v/>
      </c>
      <c r="X662" s="32"/>
      <c r="Y662" s="36"/>
    </row>
    <row r="663" spans="1:25" s="4" customFormat="1" ht="18" customHeight="1">
      <c r="A663" s="36"/>
      <c r="B663" s="76"/>
      <c r="C663" s="69"/>
      <c r="D663" s="31"/>
      <c r="E663" s="29"/>
      <c r="F663" s="28"/>
      <c r="G663" s="29"/>
      <c r="H663" s="29"/>
      <c r="I663" s="30"/>
      <c r="J663" s="12" t="str">
        <f t="shared" si="69"/>
        <v/>
      </c>
      <c r="K663" s="12" t="str">
        <f t="shared" si="70"/>
        <v/>
      </c>
      <c r="L663" s="6"/>
      <c r="M663" s="6"/>
      <c r="N663" s="6"/>
      <c r="O663" s="36"/>
      <c r="P663" s="24" t="str">
        <f t="shared" si="71"/>
        <v xml:space="preserve"> </v>
      </c>
      <c r="Q663" s="25" t="str">
        <f t="shared" si="71"/>
        <v xml:space="preserve"> </v>
      </c>
      <c r="R663" s="25" t="str">
        <f t="shared" si="71"/>
        <v xml:space="preserve"> </v>
      </c>
      <c r="S663" s="26" t="str">
        <f t="shared" si="72"/>
        <v xml:space="preserve"> </v>
      </c>
      <c r="T663" s="7" t="str">
        <f t="shared" si="73"/>
        <v xml:space="preserve"> </v>
      </c>
      <c r="U663" s="8" t="str">
        <f t="shared" si="74"/>
        <v xml:space="preserve"> </v>
      </c>
      <c r="V663" s="9" t="str">
        <f t="shared" si="75"/>
        <v xml:space="preserve"> </v>
      </c>
      <c r="W663" s="9" t="str">
        <f t="shared" si="76"/>
        <v/>
      </c>
      <c r="X663" s="32"/>
      <c r="Y663" s="36"/>
    </row>
    <row r="664" spans="1:25" s="4" customFormat="1" ht="18" customHeight="1">
      <c r="A664" s="36"/>
      <c r="B664" s="76"/>
      <c r="C664" s="69"/>
      <c r="D664" s="31"/>
      <c r="E664" s="29"/>
      <c r="F664" s="28"/>
      <c r="G664" s="29"/>
      <c r="H664" s="29"/>
      <c r="I664" s="30"/>
      <c r="J664" s="12" t="str">
        <f t="shared" si="69"/>
        <v/>
      </c>
      <c r="K664" s="12" t="str">
        <f t="shared" si="70"/>
        <v/>
      </c>
      <c r="L664" s="6"/>
      <c r="M664" s="6"/>
      <c r="N664" s="6"/>
      <c r="O664" s="36"/>
      <c r="P664" s="24" t="str">
        <f t="shared" si="71"/>
        <v xml:space="preserve"> </v>
      </c>
      <c r="Q664" s="25" t="str">
        <f t="shared" si="71"/>
        <v xml:space="preserve"> </v>
      </c>
      <c r="R664" s="25" t="str">
        <f t="shared" si="71"/>
        <v xml:space="preserve"> </v>
      </c>
      <c r="S664" s="26" t="str">
        <f t="shared" si="72"/>
        <v xml:space="preserve"> </v>
      </c>
      <c r="T664" s="7" t="str">
        <f t="shared" si="73"/>
        <v xml:space="preserve"> </v>
      </c>
      <c r="U664" s="8" t="str">
        <f t="shared" si="74"/>
        <v xml:space="preserve"> </v>
      </c>
      <c r="V664" s="9" t="str">
        <f t="shared" si="75"/>
        <v xml:space="preserve"> </v>
      </c>
      <c r="W664" s="9" t="str">
        <f t="shared" si="76"/>
        <v/>
      </c>
      <c r="X664" s="32"/>
      <c r="Y664" s="36"/>
    </row>
    <row r="665" spans="1:25" s="4" customFormat="1" ht="18" customHeight="1">
      <c r="A665" s="36"/>
      <c r="B665" s="76"/>
      <c r="C665" s="69"/>
      <c r="D665" s="31"/>
      <c r="E665" s="29"/>
      <c r="F665" s="28"/>
      <c r="G665" s="29"/>
      <c r="H665" s="29"/>
      <c r="I665" s="30"/>
      <c r="J665" s="12" t="str">
        <f t="shared" si="69"/>
        <v/>
      </c>
      <c r="K665" s="12" t="str">
        <f t="shared" si="70"/>
        <v/>
      </c>
      <c r="L665" s="6"/>
      <c r="M665" s="6"/>
      <c r="N665" s="6"/>
      <c r="O665" s="36"/>
      <c r="P665" s="24" t="str">
        <f t="shared" si="71"/>
        <v xml:space="preserve"> </v>
      </c>
      <c r="Q665" s="25" t="str">
        <f t="shared" si="71"/>
        <v xml:space="preserve"> </v>
      </c>
      <c r="R665" s="25" t="str">
        <f t="shared" si="71"/>
        <v xml:space="preserve"> </v>
      </c>
      <c r="S665" s="26" t="str">
        <f t="shared" si="72"/>
        <v xml:space="preserve"> </v>
      </c>
      <c r="T665" s="7" t="str">
        <f t="shared" si="73"/>
        <v xml:space="preserve"> </v>
      </c>
      <c r="U665" s="8" t="str">
        <f t="shared" si="74"/>
        <v xml:space="preserve"> </v>
      </c>
      <c r="V665" s="9" t="str">
        <f t="shared" si="75"/>
        <v xml:space="preserve"> </v>
      </c>
      <c r="W665" s="9" t="str">
        <f t="shared" si="76"/>
        <v/>
      </c>
      <c r="X665" s="32"/>
      <c r="Y665" s="36"/>
    </row>
    <row r="666" spans="1:25" s="4" customFormat="1" ht="18" customHeight="1">
      <c r="A666" s="36"/>
      <c r="B666" s="76"/>
      <c r="C666" s="69"/>
      <c r="D666" s="31"/>
      <c r="E666" s="29"/>
      <c r="F666" s="28"/>
      <c r="G666" s="29"/>
      <c r="H666" s="29"/>
      <c r="I666" s="30"/>
      <c r="J666" s="12" t="str">
        <f t="shared" si="69"/>
        <v/>
      </c>
      <c r="K666" s="12" t="str">
        <f t="shared" si="70"/>
        <v/>
      </c>
      <c r="L666" s="6"/>
      <c r="M666" s="6"/>
      <c r="N666" s="6"/>
      <c r="O666" s="36"/>
      <c r="P666" s="24" t="str">
        <f t="shared" si="71"/>
        <v xml:space="preserve"> </v>
      </c>
      <c r="Q666" s="25" t="str">
        <f t="shared" si="71"/>
        <v xml:space="preserve"> </v>
      </c>
      <c r="R666" s="25" t="str">
        <f t="shared" si="71"/>
        <v xml:space="preserve"> </v>
      </c>
      <c r="S666" s="26" t="str">
        <f t="shared" si="72"/>
        <v xml:space="preserve"> </v>
      </c>
      <c r="T666" s="7" t="str">
        <f t="shared" si="73"/>
        <v xml:space="preserve"> </v>
      </c>
      <c r="U666" s="8" t="str">
        <f t="shared" si="74"/>
        <v xml:space="preserve"> </v>
      </c>
      <c r="V666" s="9" t="str">
        <f t="shared" si="75"/>
        <v xml:space="preserve"> </v>
      </c>
      <c r="W666" s="9" t="str">
        <f t="shared" si="76"/>
        <v/>
      </c>
      <c r="X666" s="32"/>
      <c r="Y666" s="36"/>
    </row>
    <row r="667" spans="1:25" s="4" customFormat="1" ht="18" customHeight="1">
      <c r="A667" s="36"/>
      <c r="B667" s="76"/>
      <c r="C667" s="69"/>
      <c r="D667" s="31"/>
      <c r="E667" s="29"/>
      <c r="F667" s="28"/>
      <c r="G667" s="29"/>
      <c r="H667" s="29"/>
      <c r="I667" s="30"/>
      <c r="J667" s="12" t="str">
        <f t="shared" si="69"/>
        <v/>
      </c>
      <c r="K667" s="12" t="str">
        <f t="shared" si="70"/>
        <v/>
      </c>
      <c r="L667" s="6"/>
      <c r="M667" s="6"/>
      <c r="N667" s="6"/>
      <c r="O667" s="36"/>
      <c r="P667" s="24" t="str">
        <f t="shared" si="71"/>
        <v xml:space="preserve"> </v>
      </c>
      <c r="Q667" s="25" t="str">
        <f t="shared" si="71"/>
        <v xml:space="preserve"> </v>
      </c>
      <c r="R667" s="25" t="str">
        <f t="shared" si="71"/>
        <v xml:space="preserve"> </v>
      </c>
      <c r="S667" s="26" t="str">
        <f t="shared" si="72"/>
        <v xml:space="preserve"> </v>
      </c>
      <c r="T667" s="7" t="str">
        <f t="shared" si="73"/>
        <v xml:space="preserve"> </v>
      </c>
      <c r="U667" s="8" t="str">
        <f t="shared" si="74"/>
        <v xml:space="preserve"> </v>
      </c>
      <c r="V667" s="9" t="str">
        <f t="shared" si="75"/>
        <v xml:space="preserve"> </v>
      </c>
      <c r="W667" s="9" t="str">
        <f t="shared" si="76"/>
        <v/>
      </c>
      <c r="X667" s="32"/>
      <c r="Y667" s="36"/>
    </row>
    <row r="668" spans="1:25" s="4" customFormat="1" ht="18" customHeight="1">
      <c r="A668" s="36"/>
      <c r="B668" s="76"/>
      <c r="C668" s="69"/>
      <c r="D668" s="31"/>
      <c r="E668" s="29"/>
      <c r="F668" s="28"/>
      <c r="G668" s="29"/>
      <c r="H668" s="29"/>
      <c r="I668" s="30"/>
      <c r="J668" s="12" t="str">
        <f t="shared" si="69"/>
        <v/>
      </c>
      <c r="K668" s="12" t="str">
        <f t="shared" si="70"/>
        <v/>
      </c>
      <c r="L668" s="6"/>
      <c r="M668" s="6"/>
      <c r="N668" s="6"/>
      <c r="O668" s="36"/>
      <c r="P668" s="24" t="str">
        <f t="shared" si="71"/>
        <v xml:space="preserve"> </v>
      </c>
      <c r="Q668" s="25" t="str">
        <f t="shared" si="71"/>
        <v xml:space="preserve"> </v>
      </c>
      <c r="R668" s="25" t="str">
        <f t="shared" si="71"/>
        <v xml:space="preserve"> </v>
      </c>
      <c r="S668" s="26" t="str">
        <f t="shared" si="72"/>
        <v xml:space="preserve"> </v>
      </c>
      <c r="T668" s="7" t="str">
        <f t="shared" si="73"/>
        <v xml:space="preserve"> </v>
      </c>
      <c r="U668" s="8" t="str">
        <f t="shared" si="74"/>
        <v xml:space="preserve"> </v>
      </c>
      <c r="V668" s="9" t="str">
        <f t="shared" si="75"/>
        <v xml:space="preserve"> </v>
      </c>
      <c r="W668" s="9" t="str">
        <f t="shared" si="76"/>
        <v/>
      </c>
      <c r="X668" s="32"/>
      <c r="Y668" s="36"/>
    </row>
    <row r="669" spans="1:25" s="4" customFormat="1" ht="18" customHeight="1">
      <c r="A669" s="36"/>
      <c r="B669" s="76"/>
      <c r="C669" s="69"/>
      <c r="D669" s="31"/>
      <c r="E669" s="29"/>
      <c r="F669" s="28"/>
      <c r="G669" s="29"/>
      <c r="H669" s="29"/>
      <c r="I669" s="30"/>
      <c r="J669" s="12" t="str">
        <f t="shared" si="69"/>
        <v/>
      </c>
      <c r="K669" s="12" t="str">
        <f t="shared" si="70"/>
        <v/>
      </c>
      <c r="L669" s="6"/>
      <c r="M669" s="6"/>
      <c r="N669" s="6"/>
      <c r="O669" s="36"/>
      <c r="P669" s="24" t="str">
        <f t="shared" si="71"/>
        <v xml:space="preserve"> </v>
      </c>
      <c r="Q669" s="25" t="str">
        <f t="shared" si="71"/>
        <v xml:space="preserve"> </v>
      </c>
      <c r="R669" s="25" t="str">
        <f t="shared" si="71"/>
        <v xml:space="preserve"> </v>
      </c>
      <c r="S669" s="26" t="str">
        <f t="shared" si="72"/>
        <v xml:space="preserve"> </v>
      </c>
      <c r="T669" s="7" t="str">
        <f t="shared" si="73"/>
        <v xml:space="preserve"> </v>
      </c>
      <c r="U669" s="8" t="str">
        <f t="shared" si="74"/>
        <v xml:space="preserve"> </v>
      </c>
      <c r="V669" s="9" t="str">
        <f t="shared" si="75"/>
        <v xml:space="preserve"> </v>
      </c>
      <c r="W669" s="9" t="str">
        <f t="shared" si="76"/>
        <v/>
      </c>
      <c r="X669" s="32"/>
      <c r="Y669" s="36"/>
    </row>
    <row r="670" spans="1:25" s="4" customFormat="1" ht="18" customHeight="1">
      <c r="A670" s="36"/>
      <c r="B670" s="76"/>
      <c r="C670" s="69"/>
      <c r="D670" s="31"/>
      <c r="E670" s="29"/>
      <c r="F670" s="28"/>
      <c r="G670" s="29"/>
      <c r="H670" s="29"/>
      <c r="I670" s="30"/>
      <c r="J670" s="12" t="str">
        <f t="shared" si="69"/>
        <v/>
      </c>
      <c r="K670" s="12" t="str">
        <f t="shared" si="70"/>
        <v/>
      </c>
      <c r="L670" s="6"/>
      <c r="M670" s="6"/>
      <c r="N670" s="6"/>
      <c r="O670" s="36"/>
      <c r="P670" s="24" t="str">
        <f t="shared" si="71"/>
        <v xml:space="preserve"> </v>
      </c>
      <c r="Q670" s="25" t="str">
        <f t="shared" si="71"/>
        <v xml:space="preserve"> </v>
      </c>
      <c r="R670" s="25" t="str">
        <f t="shared" si="71"/>
        <v xml:space="preserve"> </v>
      </c>
      <c r="S670" s="26" t="str">
        <f t="shared" si="72"/>
        <v xml:space="preserve"> </v>
      </c>
      <c r="T670" s="7" t="str">
        <f t="shared" si="73"/>
        <v xml:space="preserve"> </v>
      </c>
      <c r="U670" s="8" t="str">
        <f t="shared" si="74"/>
        <v xml:space="preserve"> </v>
      </c>
      <c r="V670" s="9" t="str">
        <f t="shared" si="75"/>
        <v xml:space="preserve"> </v>
      </c>
      <c r="W670" s="9" t="str">
        <f t="shared" si="76"/>
        <v/>
      </c>
      <c r="X670" s="32"/>
      <c r="Y670" s="36"/>
    </row>
    <row r="671" spans="1:25" s="4" customFormat="1" ht="18" customHeight="1">
      <c r="A671" s="36"/>
      <c r="B671" s="76"/>
      <c r="C671" s="69"/>
      <c r="D671" s="31"/>
      <c r="E671" s="29"/>
      <c r="F671" s="28"/>
      <c r="G671" s="29"/>
      <c r="H671" s="29"/>
      <c r="I671" s="30"/>
      <c r="J671" s="12" t="str">
        <f t="shared" si="69"/>
        <v/>
      </c>
      <c r="K671" s="12" t="str">
        <f t="shared" si="70"/>
        <v/>
      </c>
      <c r="L671" s="6"/>
      <c r="M671" s="6"/>
      <c r="N671" s="6"/>
      <c r="O671" s="36"/>
      <c r="P671" s="24" t="str">
        <f t="shared" si="71"/>
        <v xml:space="preserve"> </v>
      </c>
      <c r="Q671" s="25" t="str">
        <f t="shared" si="71"/>
        <v xml:space="preserve"> </v>
      </c>
      <c r="R671" s="25" t="str">
        <f t="shared" si="71"/>
        <v xml:space="preserve"> </v>
      </c>
      <c r="S671" s="26" t="str">
        <f t="shared" si="72"/>
        <v xml:space="preserve"> </v>
      </c>
      <c r="T671" s="7" t="str">
        <f t="shared" si="73"/>
        <v xml:space="preserve"> </v>
      </c>
      <c r="U671" s="8" t="str">
        <f t="shared" si="74"/>
        <v xml:space="preserve"> </v>
      </c>
      <c r="V671" s="9" t="str">
        <f t="shared" si="75"/>
        <v xml:space="preserve"> </v>
      </c>
      <c r="W671" s="9" t="str">
        <f t="shared" si="76"/>
        <v/>
      </c>
      <c r="X671" s="32"/>
      <c r="Y671" s="36"/>
    </row>
    <row r="672" spans="1:25" s="4" customFormat="1" ht="18" customHeight="1">
      <c r="A672" s="36"/>
      <c r="B672" s="76"/>
      <c r="C672" s="69"/>
      <c r="D672" s="31"/>
      <c r="E672" s="29"/>
      <c r="F672" s="28"/>
      <c r="G672" s="29"/>
      <c r="H672" s="29"/>
      <c r="I672" s="30"/>
      <c r="J672" s="12" t="str">
        <f t="shared" si="69"/>
        <v/>
      </c>
      <c r="K672" s="12" t="str">
        <f t="shared" si="70"/>
        <v/>
      </c>
      <c r="L672" s="6"/>
      <c r="M672" s="6"/>
      <c r="N672" s="6"/>
      <c r="O672" s="36"/>
      <c r="P672" s="24" t="str">
        <f t="shared" si="71"/>
        <v xml:space="preserve"> </v>
      </c>
      <c r="Q672" s="25" t="str">
        <f t="shared" si="71"/>
        <v xml:space="preserve"> </v>
      </c>
      <c r="R672" s="25" t="str">
        <f t="shared" si="71"/>
        <v xml:space="preserve"> </v>
      </c>
      <c r="S672" s="26" t="str">
        <f t="shared" si="72"/>
        <v xml:space="preserve"> </v>
      </c>
      <c r="T672" s="7" t="str">
        <f t="shared" si="73"/>
        <v xml:space="preserve"> </v>
      </c>
      <c r="U672" s="8" t="str">
        <f t="shared" si="74"/>
        <v xml:space="preserve"> </v>
      </c>
      <c r="V672" s="9" t="str">
        <f t="shared" si="75"/>
        <v xml:space="preserve"> </v>
      </c>
      <c r="W672" s="9" t="str">
        <f t="shared" si="76"/>
        <v/>
      </c>
      <c r="X672" s="32"/>
      <c r="Y672" s="36"/>
    </row>
    <row r="673" spans="1:25" s="4" customFormat="1" ht="18" customHeight="1">
      <c r="A673" s="36"/>
      <c r="B673" s="76"/>
      <c r="C673" s="69"/>
      <c r="D673" s="31"/>
      <c r="E673" s="29"/>
      <c r="F673" s="28"/>
      <c r="G673" s="29"/>
      <c r="H673" s="29"/>
      <c r="I673" s="30"/>
      <c r="J673" s="12" t="str">
        <f t="shared" si="69"/>
        <v/>
      </c>
      <c r="K673" s="12" t="str">
        <f t="shared" si="70"/>
        <v/>
      </c>
      <c r="L673" s="6"/>
      <c r="M673" s="6"/>
      <c r="N673" s="6"/>
      <c r="O673" s="36"/>
      <c r="P673" s="24" t="str">
        <f t="shared" si="71"/>
        <v xml:space="preserve"> </v>
      </c>
      <c r="Q673" s="25" t="str">
        <f t="shared" si="71"/>
        <v xml:space="preserve"> </v>
      </c>
      <c r="R673" s="25" t="str">
        <f t="shared" si="71"/>
        <v xml:space="preserve"> </v>
      </c>
      <c r="S673" s="26" t="str">
        <f t="shared" si="72"/>
        <v xml:space="preserve"> </v>
      </c>
      <c r="T673" s="7" t="str">
        <f t="shared" si="73"/>
        <v xml:space="preserve"> </v>
      </c>
      <c r="U673" s="8" t="str">
        <f t="shared" si="74"/>
        <v xml:space="preserve"> </v>
      </c>
      <c r="V673" s="9" t="str">
        <f t="shared" si="75"/>
        <v xml:space="preserve"> </v>
      </c>
      <c r="W673" s="9" t="str">
        <f t="shared" si="76"/>
        <v/>
      </c>
      <c r="X673" s="32"/>
      <c r="Y673" s="36"/>
    </row>
    <row r="674" spans="1:25" s="4" customFormat="1" ht="18" customHeight="1">
      <c r="A674" s="36"/>
      <c r="B674" s="76"/>
      <c r="C674" s="69"/>
      <c r="D674" s="31"/>
      <c r="E674" s="29"/>
      <c r="F674" s="28"/>
      <c r="G674" s="29"/>
      <c r="H674" s="29"/>
      <c r="I674" s="30"/>
      <c r="J674" s="12" t="str">
        <f t="shared" si="69"/>
        <v/>
      </c>
      <c r="K674" s="12" t="str">
        <f t="shared" si="70"/>
        <v/>
      </c>
      <c r="L674" s="6"/>
      <c r="M674" s="6"/>
      <c r="N674" s="6"/>
      <c r="O674" s="36"/>
      <c r="P674" s="24" t="str">
        <f t="shared" si="71"/>
        <v xml:space="preserve"> </v>
      </c>
      <c r="Q674" s="25" t="str">
        <f t="shared" si="71"/>
        <v xml:space="preserve"> </v>
      </c>
      <c r="R674" s="25" t="str">
        <f t="shared" si="71"/>
        <v xml:space="preserve"> </v>
      </c>
      <c r="S674" s="26" t="str">
        <f t="shared" si="72"/>
        <v xml:space="preserve"> </v>
      </c>
      <c r="T674" s="7" t="str">
        <f t="shared" si="73"/>
        <v xml:space="preserve"> </v>
      </c>
      <c r="U674" s="8" t="str">
        <f t="shared" si="74"/>
        <v xml:space="preserve"> </v>
      </c>
      <c r="V674" s="9" t="str">
        <f t="shared" si="75"/>
        <v xml:space="preserve"> </v>
      </c>
      <c r="W674" s="9" t="str">
        <f t="shared" si="76"/>
        <v/>
      </c>
      <c r="X674" s="32"/>
      <c r="Y674" s="36"/>
    </row>
    <row r="675" spans="1:25" s="4" customFormat="1" ht="18" customHeight="1">
      <c r="A675" s="36"/>
      <c r="B675" s="76"/>
      <c r="C675" s="69"/>
      <c r="D675" s="31"/>
      <c r="E675" s="29"/>
      <c r="F675" s="28"/>
      <c r="G675" s="29"/>
      <c r="H675" s="29"/>
      <c r="I675" s="30"/>
      <c r="J675" s="12" t="str">
        <f t="shared" si="69"/>
        <v/>
      </c>
      <c r="K675" s="12" t="str">
        <f t="shared" si="70"/>
        <v/>
      </c>
      <c r="L675" s="6"/>
      <c r="M675" s="6"/>
      <c r="N675" s="6"/>
      <c r="O675" s="36"/>
      <c r="P675" s="24" t="str">
        <f t="shared" si="71"/>
        <v xml:space="preserve"> </v>
      </c>
      <c r="Q675" s="25" t="str">
        <f t="shared" si="71"/>
        <v xml:space="preserve"> </v>
      </c>
      <c r="R675" s="25" t="str">
        <f t="shared" si="71"/>
        <v xml:space="preserve"> </v>
      </c>
      <c r="S675" s="26" t="str">
        <f t="shared" si="72"/>
        <v xml:space="preserve"> </v>
      </c>
      <c r="T675" s="7" t="str">
        <f t="shared" si="73"/>
        <v xml:space="preserve"> </v>
      </c>
      <c r="U675" s="8" t="str">
        <f t="shared" si="74"/>
        <v xml:space="preserve"> </v>
      </c>
      <c r="V675" s="9" t="str">
        <f t="shared" si="75"/>
        <v xml:space="preserve"> </v>
      </c>
      <c r="W675" s="9" t="str">
        <f t="shared" si="76"/>
        <v/>
      </c>
      <c r="X675" s="32"/>
      <c r="Y675" s="36"/>
    </row>
    <row r="676" spans="1:25" s="4" customFormat="1" ht="18" customHeight="1">
      <c r="A676" s="36"/>
      <c r="B676" s="76"/>
      <c r="C676" s="69"/>
      <c r="D676" s="31"/>
      <c r="E676" s="29"/>
      <c r="F676" s="28"/>
      <c r="G676" s="29"/>
      <c r="H676" s="29"/>
      <c r="I676" s="30"/>
      <c r="J676" s="12" t="str">
        <f t="shared" si="69"/>
        <v/>
      </c>
      <c r="K676" s="12" t="str">
        <f t="shared" si="70"/>
        <v/>
      </c>
      <c r="L676" s="6"/>
      <c r="M676" s="6"/>
      <c r="N676" s="6"/>
      <c r="O676" s="36"/>
      <c r="P676" s="24" t="str">
        <f t="shared" si="71"/>
        <v xml:space="preserve"> </v>
      </c>
      <c r="Q676" s="25" t="str">
        <f t="shared" si="71"/>
        <v xml:space="preserve"> </v>
      </c>
      <c r="R676" s="25" t="str">
        <f t="shared" si="71"/>
        <v xml:space="preserve"> </v>
      </c>
      <c r="S676" s="26" t="str">
        <f t="shared" si="72"/>
        <v xml:space="preserve"> </v>
      </c>
      <c r="T676" s="7" t="str">
        <f t="shared" si="73"/>
        <v xml:space="preserve"> </v>
      </c>
      <c r="U676" s="8" t="str">
        <f t="shared" si="74"/>
        <v xml:space="preserve"> </v>
      </c>
      <c r="V676" s="9" t="str">
        <f t="shared" si="75"/>
        <v xml:space="preserve"> </v>
      </c>
      <c r="W676" s="9" t="str">
        <f t="shared" si="76"/>
        <v/>
      </c>
      <c r="X676" s="32"/>
      <c r="Y676" s="36"/>
    </row>
    <row r="677" spans="1:25" s="4" customFormat="1" ht="18" customHeight="1">
      <c r="A677" s="36"/>
      <c r="B677" s="76"/>
      <c r="C677" s="69"/>
      <c r="D677" s="31"/>
      <c r="E677" s="29"/>
      <c r="F677" s="28"/>
      <c r="G677" s="29"/>
      <c r="H677" s="29"/>
      <c r="I677" s="30"/>
      <c r="J677" s="12" t="str">
        <f t="shared" si="69"/>
        <v/>
      </c>
      <c r="K677" s="12" t="str">
        <f t="shared" si="70"/>
        <v/>
      </c>
      <c r="L677" s="6"/>
      <c r="M677" s="6"/>
      <c r="N677" s="6"/>
      <c r="O677" s="36"/>
      <c r="P677" s="24" t="str">
        <f t="shared" si="71"/>
        <v xml:space="preserve"> </v>
      </c>
      <c r="Q677" s="25" t="str">
        <f t="shared" si="71"/>
        <v xml:space="preserve"> </v>
      </c>
      <c r="R677" s="25" t="str">
        <f t="shared" si="71"/>
        <v xml:space="preserve"> </v>
      </c>
      <c r="S677" s="26" t="str">
        <f t="shared" si="72"/>
        <v xml:space="preserve"> </v>
      </c>
      <c r="T677" s="7" t="str">
        <f t="shared" si="73"/>
        <v xml:space="preserve"> </v>
      </c>
      <c r="U677" s="8" t="str">
        <f t="shared" si="74"/>
        <v xml:space="preserve"> </v>
      </c>
      <c r="V677" s="9" t="str">
        <f t="shared" si="75"/>
        <v xml:space="preserve"> </v>
      </c>
      <c r="W677" s="9" t="str">
        <f t="shared" si="76"/>
        <v/>
      </c>
      <c r="X677" s="32"/>
      <c r="Y677" s="36"/>
    </row>
    <row r="678" spans="1:25" s="4" customFormat="1" ht="18" customHeight="1">
      <c r="A678" s="36"/>
      <c r="B678" s="76"/>
      <c r="C678" s="69"/>
      <c r="D678" s="31"/>
      <c r="E678" s="29"/>
      <c r="F678" s="28"/>
      <c r="G678" s="29"/>
      <c r="H678" s="29"/>
      <c r="I678" s="30"/>
      <c r="J678" s="12" t="str">
        <f t="shared" si="69"/>
        <v/>
      </c>
      <c r="K678" s="12" t="str">
        <f t="shared" si="70"/>
        <v/>
      </c>
      <c r="L678" s="6"/>
      <c r="M678" s="6"/>
      <c r="N678" s="6"/>
      <c r="O678" s="36"/>
      <c r="P678" s="24" t="str">
        <f t="shared" si="71"/>
        <v xml:space="preserve"> </v>
      </c>
      <c r="Q678" s="25" t="str">
        <f t="shared" si="71"/>
        <v xml:space="preserve"> </v>
      </c>
      <c r="R678" s="25" t="str">
        <f t="shared" si="71"/>
        <v xml:space="preserve"> </v>
      </c>
      <c r="S678" s="26" t="str">
        <f t="shared" si="72"/>
        <v xml:space="preserve"> </v>
      </c>
      <c r="T678" s="7" t="str">
        <f t="shared" si="73"/>
        <v xml:space="preserve"> </v>
      </c>
      <c r="U678" s="8" t="str">
        <f t="shared" si="74"/>
        <v xml:space="preserve"> </v>
      </c>
      <c r="V678" s="9" t="str">
        <f t="shared" si="75"/>
        <v xml:space="preserve"> </v>
      </c>
      <c r="W678" s="9" t="str">
        <f t="shared" si="76"/>
        <v/>
      </c>
      <c r="X678" s="32"/>
      <c r="Y678" s="36"/>
    </row>
    <row r="679" spans="1:25" s="4" customFormat="1" ht="18" customHeight="1">
      <c r="A679" s="36"/>
      <c r="B679" s="76"/>
      <c r="C679" s="69"/>
      <c r="D679" s="31"/>
      <c r="E679" s="29"/>
      <c r="F679" s="28"/>
      <c r="G679" s="29"/>
      <c r="H679" s="29"/>
      <c r="I679" s="30"/>
      <c r="J679" s="12" t="str">
        <f t="shared" si="69"/>
        <v/>
      </c>
      <c r="K679" s="12" t="str">
        <f t="shared" si="70"/>
        <v/>
      </c>
      <c r="L679" s="6"/>
      <c r="M679" s="6"/>
      <c r="N679" s="6"/>
      <c r="O679" s="36"/>
      <c r="P679" s="24" t="str">
        <f t="shared" si="71"/>
        <v xml:space="preserve"> </v>
      </c>
      <c r="Q679" s="25" t="str">
        <f t="shared" si="71"/>
        <v xml:space="preserve"> </v>
      </c>
      <c r="R679" s="25" t="str">
        <f t="shared" si="71"/>
        <v xml:space="preserve"> </v>
      </c>
      <c r="S679" s="26" t="str">
        <f t="shared" si="72"/>
        <v xml:space="preserve"> </v>
      </c>
      <c r="T679" s="7" t="str">
        <f t="shared" si="73"/>
        <v xml:space="preserve"> </v>
      </c>
      <c r="U679" s="8" t="str">
        <f t="shared" si="74"/>
        <v xml:space="preserve"> </v>
      </c>
      <c r="V679" s="9" t="str">
        <f t="shared" si="75"/>
        <v xml:space="preserve"> </v>
      </c>
      <c r="W679" s="9" t="str">
        <f t="shared" si="76"/>
        <v/>
      </c>
      <c r="X679" s="32"/>
      <c r="Y679" s="36"/>
    </row>
    <row r="680" spans="1:25" s="4" customFormat="1" ht="18" customHeight="1">
      <c r="A680" s="36"/>
      <c r="B680" s="76"/>
      <c r="C680" s="69"/>
      <c r="D680" s="31"/>
      <c r="E680" s="29"/>
      <c r="F680" s="28"/>
      <c r="G680" s="29"/>
      <c r="H680" s="29"/>
      <c r="I680" s="30"/>
      <c r="J680" s="12" t="str">
        <f t="shared" si="69"/>
        <v/>
      </c>
      <c r="K680" s="12" t="str">
        <f t="shared" si="70"/>
        <v/>
      </c>
      <c r="L680" s="6"/>
      <c r="M680" s="6"/>
      <c r="N680" s="6"/>
      <c r="O680" s="36"/>
      <c r="P680" s="24" t="str">
        <f t="shared" si="71"/>
        <v xml:space="preserve"> </v>
      </c>
      <c r="Q680" s="25" t="str">
        <f t="shared" si="71"/>
        <v xml:space="preserve"> </v>
      </c>
      <c r="R680" s="25" t="str">
        <f t="shared" si="71"/>
        <v xml:space="preserve"> </v>
      </c>
      <c r="S680" s="26" t="str">
        <f t="shared" si="72"/>
        <v xml:space="preserve"> </v>
      </c>
      <c r="T680" s="7" t="str">
        <f t="shared" si="73"/>
        <v xml:space="preserve"> </v>
      </c>
      <c r="U680" s="8" t="str">
        <f t="shared" si="74"/>
        <v xml:space="preserve"> </v>
      </c>
      <c r="V680" s="9" t="str">
        <f t="shared" si="75"/>
        <v xml:space="preserve"> </v>
      </c>
      <c r="W680" s="9" t="str">
        <f t="shared" si="76"/>
        <v/>
      </c>
      <c r="X680" s="32"/>
      <c r="Y680" s="36"/>
    </row>
    <row r="681" spans="1:25" s="4" customFormat="1" ht="18" customHeight="1">
      <c r="A681" s="36"/>
      <c r="B681" s="76"/>
      <c r="C681" s="69"/>
      <c r="D681" s="31"/>
      <c r="E681" s="29"/>
      <c r="F681" s="28"/>
      <c r="G681" s="29"/>
      <c r="H681" s="29"/>
      <c r="I681" s="30"/>
      <c r="J681" s="12" t="str">
        <f t="shared" si="69"/>
        <v/>
      </c>
      <c r="K681" s="12" t="str">
        <f t="shared" si="70"/>
        <v/>
      </c>
      <c r="L681" s="6"/>
      <c r="M681" s="6"/>
      <c r="N681" s="6"/>
      <c r="O681" s="36"/>
      <c r="P681" s="24" t="str">
        <f t="shared" si="71"/>
        <v xml:space="preserve"> </v>
      </c>
      <c r="Q681" s="25" t="str">
        <f t="shared" si="71"/>
        <v xml:space="preserve"> </v>
      </c>
      <c r="R681" s="25" t="str">
        <f t="shared" si="71"/>
        <v xml:space="preserve"> </v>
      </c>
      <c r="S681" s="26" t="str">
        <f t="shared" si="72"/>
        <v xml:space="preserve"> </v>
      </c>
      <c r="T681" s="7" t="str">
        <f t="shared" si="73"/>
        <v xml:space="preserve"> </v>
      </c>
      <c r="U681" s="8" t="str">
        <f t="shared" si="74"/>
        <v xml:space="preserve"> </v>
      </c>
      <c r="V681" s="9" t="str">
        <f t="shared" si="75"/>
        <v xml:space="preserve"> </v>
      </c>
      <c r="W681" s="9" t="str">
        <f t="shared" si="76"/>
        <v/>
      </c>
      <c r="X681" s="32"/>
      <c r="Y681" s="36"/>
    </row>
    <row r="682" spans="1:25" s="4" customFormat="1" ht="18" customHeight="1">
      <c r="A682" s="36"/>
      <c r="B682" s="76"/>
      <c r="C682" s="69"/>
      <c r="D682" s="31"/>
      <c r="E682" s="29"/>
      <c r="F682" s="28"/>
      <c r="G682" s="29"/>
      <c r="H682" s="29"/>
      <c r="I682" s="30"/>
      <c r="J682" s="12" t="str">
        <f t="shared" si="69"/>
        <v/>
      </c>
      <c r="K682" s="12" t="str">
        <f t="shared" si="70"/>
        <v/>
      </c>
      <c r="L682" s="6"/>
      <c r="M682" s="6"/>
      <c r="N682" s="6"/>
      <c r="O682" s="36"/>
      <c r="P682" s="24" t="str">
        <f t="shared" si="71"/>
        <v xml:space="preserve"> </v>
      </c>
      <c r="Q682" s="25" t="str">
        <f t="shared" si="71"/>
        <v xml:space="preserve"> </v>
      </c>
      <c r="R682" s="25" t="str">
        <f t="shared" si="71"/>
        <v xml:space="preserve"> </v>
      </c>
      <c r="S682" s="26" t="str">
        <f t="shared" si="72"/>
        <v xml:space="preserve"> </v>
      </c>
      <c r="T682" s="7" t="str">
        <f t="shared" si="73"/>
        <v xml:space="preserve"> </v>
      </c>
      <c r="U682" s="8" t="str">
        <f t="shared" si="74"/>
        <v xml:space="preserve"> </v>
      </c>
      <c r="V682" s="9" t="str">
        <f t="shared" si="75"/>
        <v xml:space="preserve"> </v>
      </c>
      <c r="W682" s="9" t="str">
        <f t="shared" si="76"/>
        <v/>
      </c>
      <c r="X682" s="32"/>
      <c r="Y682" s="36"/>
    </row>
    <row r="683" spans="1:25" s="4" customFormat="1" ht="18" customHeight="1">
      <c r="A683" s="36"/>
      <c r="B683" s="76"/>
      <c r="C683" s="69"/>
      <c r="D683" s="31"/>
      <c r="E683" s="29"/>
      <c r="F683" s="28"/>
      <c r="G683" s="29"/>
      <c r="H683" s="29"/>
      <c r="I683" s="30"/>
      <c r="J683" s="12" t="str">
        <f t="shared" si="69"/>
        <v/>
      </c>
      <c r="K683" s="12" t="str">
        <f t="shared" si="70"/>
        <v/>
      </c>
      <c r="L683" s="6"/>
      <c r="M683" s="6"/>
      <c r="N683" s="6"/>
      <c r="O683" s="36"/>
      <c r="P683" s="24" t="str">
        <f t="shared" si="71"/>
        <v xml:space="preserve"> </v>
      </c>
      <c r="Q683" s="25" t="str">
        <f t="shared" si="71"/>
        <v xml:space="preserve"> </v>
      </c>
      <c r="R683" s="25" t="str">
        <f t="shared" si="71"/>
        <v xml:space="preserve"> </v>
      </c>
      <c r="S683" s="26" t="str">
        <f t="shared" si="72"/>
        <v xml:space="preserve"> </v>
      </c>
      <c r="T683" s="7" t="str">
        <f t="shared" si="73"/>
        <v xml:space="preserve"> </v>
      </c>
      <c r="U683" s="8" t="str">
        <f t="shared" si="74"/>
        <v xml:space="preserve"> </v>
      </c>
      <c r="V683" s="9" t="str">
        <f t="shared" si="75"/>
        <v xml:space="preserve"> </v>
      </c>
      <c r="W683" s="9" t="str">
        <f t="shared" si="76"/>
        <v/>
      </c>
      <c r="X683" s="32"/>
      <c r="Y683" s="36"/>
    </row>
    <row r="684" spans="1:25" s="4" customFormat="1" ht="18" customHeight="1">
      <c r="A684" s="36"/>
      <c r="B684" s="76"/>
      <c r="C684" s="69"/>
      <c r="D684" s="31"/>
      <c r="E684" s="29"/>
      <c r="F684" s="28"/>
      <c r="G684" s="29"/>
      <c r="H684" s="29"/>
      <c r="I684" s="30"/>
      <c r="J684" s="12" t="str">
        <f t="shared" si="69"/>
        <v/>
      </c>
      <c r="K684" s="12" t="str">
        <f t="shared" si="70"/>
        <v/>
      </c>
      <c r="L684" s="6"/>
      <c r="M684" s="6"/>
      <c r="N684" s="6"/>
      <c r="O684" s="36"/>
      <c r="P684" s="24" t="str">
        <f t="shared" si="71"/>
        <v xml:space="preserve"> </v>
      </c>
      <c r="Q684" s="25" t="str">
        <f t="shared" si="71"/>
        <v xml:space="preserve"> </v>
      </c>
      <c r="R684" s="25" t="str">
        <f t="shared" si="71"/>
        <v xml:space="preserve"> </v>
      </c>
      <c r="S684" s="26" t="str">
        <f t="shared" si="72"/>
        <v xml:space="preserve"> </v>
      </c>
      <c r="T684" s="7" t="str">
        <f t="shared" si="73"/>
        <v xml:space="preserve"> </v>
      </c>
      <c r="U684" s="8" t="str">
        <f t="shared" si="74"/>
        <v xml:space="preserve"> </v>
      </c>
      <c r="V684" s="9" t="str">
        <f t="shared" si="75"/>
        <v xml:space="preserve"> </v>
      </c>
      <c r="W684" s="9" t="str">
        <f t="shared" si="76"/>
        <v/>
      </c>
      <c r="X684" s="32"/>
      <c r="Y684" s="36"/>
    </row>
    <row r="685" spans="1:25" s="4" customFormat="1" ht="18" customHeight="1">
      <c r="A685" s="36"/>
      <c r="B685" s="76"/>
      <c r="C685" s="69"/>
      <c r="D685" s="31"/>
      <c r="E685" s="29"/>
      <c r="F685" s="28"/>
      <c r="G685" s="29"/>
      <c r="H685" s="29"/>
      <c r="I685" s="30"/>
      <c r="J685" s="12" t="str">
        <f t="shared" si="69"/>
        <v/>
      </c>
      <c r="K685" s="12" t="str">
        <f t="shared" si="70"/>
        <v/>
      </c>
      <c r="L685" s="6"/>
      <c r="M685" s="6"/>
      <c r="N685" s="6"/>
      <c r="O685" s="36"/>
      <c r="P685" s="24" t="str">
        <f t="shared" si="71"/>
        <v xml:space="preserve"> </v>
      </c>
      <c r="Q685" s="25" t="str">
        <f t="shared" si="71"/>
        <v xml:space="preserve"> </v>
      </c>
      <c r="R685" s="25" t="str">
        <f t="shared" si="71"/>
        <v xml:space="preserve"> </v>
      </c>
      <c r="S685" s="26" t="str">
        <f t="shared" si="72"/>
        <v xml:space="preserve"> </v>
      </c>
      <c r="T685" s="7" t="str">
        <f t="shared" si="73"/>
        <v xml:space="preserve"> </v>
      </c>
      <c r="U685" s="8" t="str">
        <f t="shared" si="74"/>
        <v xml:space="preserve"> </v>
      </c>
      <c r="V685" s="9" t="str">
        <f t="shared" si="75"/>
        <v xml:space="preserve"> </v>
      </c>
      <c r="W685" s="9" t="str">
        <f t="shared" si="76"/>
        <v/>
      </c>
      <c r="X685" s="32"/>
      <c r="Y685" s="36"/>
    </row>
    <row r="686" spans="1:25" s="4" customFormat="1" ht="18" customHeight="1">
      <c r="A686" s="36"/>
      <c r="B686" s="76"/>
      <c r="C686" s="69"/>
      <c r="D686" s="31"/>
      <c r="E686" s="29"/>
      <c r="F686" s="28"/>
      <c r="G686" s="29"/>
      <c r="H686" s="29"/>
      <c r="I686" s="30"/>
      <c r="J686" s="12" t="str">
        <f t="shared" si="69"/>
        <v/>
      </c>
      <c r="K686" s="12" t="str">
        <f t="shared" si="70"/>
        <v/>
      </c>
      <c r="L686" s="6"/>
      <c r="M686" s="6"/>
      <c r="N686" s="6"/>
      <c r="O686" s="36"/>
      <c r="P686" s="24" t="str">
        <f t="shared" si="71"/>
        <v xml:space="preserve"> </v>
      </c>
      <c r="Q686" s="25" t="str">
        <f t="shared" si="71"/>
        <v xml:space="preserve"> </v>
      </c>
      <c r="R686" s="25" t="str">
        <f t="shared" si="71"/>
        <v xml:space="preserve"> </v>
      </c>
      <c r="S686" s="26" t="str">
        <f t="shared" si="72"/>
        <v xml:space="preserve"> </v>
      </c>
      <c r="T686" s="7" t="str">
        <f t="shared" si="73"/>
        <v xml:space="preserve"> </v>
      </c>
      <c r="U686" s="8" t="str">
        <f t="shared" si="74"/>
        <v xml:space="preserve"> </v>
      </c>
      <c r="V686" s="9" t="str">
        <f t="shared" si="75"/>
        <v xml:space="preserve"> </v>
      </c>
      <c r="W686" s="9" t="str">
        <f t="shared" si="76"/>
        <v/>
      </c>
      <c r="X686" s="32"/>
      <c r="Y686" s="36"/>
    </row>
    <row r="687" spans="1:25" s="4" customFormat="1" ht="18" customHeight="1">
      <c r="A687" s="36"/>
      <c r="B687" s="76"/>
      <c r="C687" s="69"/>
      <c r="D687" s="31"/>
      <c r="E687" s="29"/>
      <c r="F687" s="28"/>
      <c r="G687" s="29"/>
      <c r="H687" s="29"/>
      <c r="I687" s="30"/>
      <c r="J687" s="12" t="str">
        <f t="shared" si="69"/>
        <v/>
      </c>
      <c r="K687" s="12" t="str">
        <f t="shared" si="70"/>
        <v/>
      </c>
      <c r="L687" s="6"/>
      <c r="M687" s="6"/>
      <c r="N687" s="6"/>
      <c r="O687" s="36"/>
      <c r="P687" s="24" t="str">
        <f t="shared" si="71"/>
        <v xml:space="preserve"> </v>
      </c>
      <c r="Q687" s="25" t="str">
        <f t="shared" si="71"/>
        <v xml:space="preserve"> </v>
      </c>
      <c r="R687" s="25" t="str">
        <f t="shared" si="71"/>
        <v xml:space="preserve"> </v>
      </c>
      <c r="S687" s="26" t="str">
        <f t="shared" si="72"/>
        <v xml:space="preserve"> </v>
      </c>
      <c r="T687" s="7" t="str">
        <f t="shared" si="73"/>
        <v xml:space="preserve"> </v>
      </c>
      <c r="U687" s="8" t="str">
        <f t="shared" si="74"/>
        <v xml:space="preserve"> </v>
      </c>
      <c r="V687" s="9" t="str">
        <f t="shared" si="75"/>
        <v xml:space="preserve"> </v>
      </c>
      <c r="W687" s="9" t="str">
        <f t="shared" si="76"/>
        <v/>
      </c>
      <c r="X687" s="32"/>
      <c r="Y687" s="36"/>
    </row>
    <row r="688" spans="1:25" s="4" customFormat="1" ht="18" customHeight="1">
      <c r="A688" s="36"/>
      <c r="B688" s="76"/>
      <c r="C688" s="69"/>
      <c r="D688" s="31"/>
      <c r="E688" s="29"/>
      <c r="F688" s="28"/>
      <c r="G688" s="29"/>
      <c r="H688" s="29"/>
      <c r="I688" s="30"/>
      <c r="J688" s="12" t="str">
        <f t="shared" si="69"/>
        <v/>
      </c>
      <c r="K688" s="12" t="str">
        <f t="shared" si="70"/>
        <v/>
      </c>
      <c r="L688" s="6"/>
      <c r="M688" s="6"/>
      <c r="N688" s="6"/>
      <c r="O688" s="36"/>
      <c r="P688" s="24" t="str">
        <f t="shared" si="71"/>
        <v xml:space="preserve"> </v>
      </c>
      <c r="Q688" s="25" t="str">
        <f t="shared" si="71"/>
        <v xml:space="preserve"> </v>
      </c>
      <c r="R688" s="25" t="str">
        <f t="shared" si="71"/>
        <v xml:space="preserve"> </v>
      </c>
      <c r="S688" s="26" t="str">
        <f t="shared" si="72"/>
        <v xml:space="preserve"> </v>
      </c>
      <c r="T688" s="7" t="str">
        <f t="shared" si="73"/>
        <v xml:space="preserve"> </v>
      </c>
      <c r="U688" s="8" t="str">
        <f t="shared" si="74"/>
        <v xml:space="preserve"> </v>
      </c>
      <c r="V688" s="9" t="str">
        <f t="shared" si="75"/>
        <v xml:space="preserve"> </v>
      </c>
      <c r="W688" s="9" t="str">
        <f t="shared" si="76"/>
        <v/>
      </c>
      <c r="X688" s="32"/>
      <c r="Y688" s="36"/>
    </row>
    <row r="689" spans="1:25" s="4" customFormat="1" ht="18" customHeight="1">
      <c r="A689" s="36"/>
      <c r="B689" s="76"/>
      <c r="C689" s="69"/>
      <c r="D689" s="31"/>
      <c r="E689" s="29"/>
      <c r="F689" s="28"/>
      <c r="G689" s="29"/>
      <c r="H689" s="29"/>
      <c r="I689" s="30"/>
      <c r="J689" s="12" t="str">
        <f t="shared" si="69"/>
        <v/>
      </c>
      <c r="K689" s="12" t="str">
        <f t="shared" si="70"/>
        <v/>
      </c>
      <c r="L689" s="6"/>
      <c r="M689" s="6"/>
      <c r="N689" s="6"/>
      <c r="O689" s="36"/>
      <c r="P689" s="24" t="str">
        <f t="shared" si="71"/>
        <v xml:space="preserve"> </v>
      </c>
      <c r="Q689" s="25" t="str">
        <f t="shared" si="71"/>
        <v xml:space="preserve"> </v>
      </c>
      <c r="R689" s="25" t="str">
        <f t="shared" si="71"/>
        <v xml:space="preserve"> </v>
      </c>
      <c r="S689" s="26" t="str">
        <f t="shared" si="72"/>
        <v xml:space="preserve"> </v>
      </c>
      <c r="T689" s="7" t="str">
        <f t="shared" si="73"/>
        <v xml:space="preserve"> </v>
      </c>
      <c r="U689" s="8" t="str">
        <f t="shared" si="74"/>
        <v xml:space="preserve"> </v>
      </c>
      <c r="V689" s="9" t="str">
        <f t="shared" si="75"/>
        <v xml:space="preserve"> </v>
      </c>
      <c r="W689" s="9" t="str">
        <f t="shared" si="76"/>
        <v/>
      </c>
      <c r="X689" s="32"/>
      <c r="Y689" s="36"/>
    </row>
    <row r="690" spans="1:25" s="4" customFormat="1" ht="18" customHeight="1">
      <c r="A690" s="36"/>
      <c r="B690" s="76"/>
      <c r="C690" s="69"/>
      <c r="D690" s="31"/>
      <c r="E690" s="29"/>
      <c r="F690" s="28"/>
      <c r="G690" s="29"/>
      <c r="H690" s="29"/>
      <c r="I690" s="30"/>
      <c r="J690" s="12" t="str">
        <f t="shared" si="69"/>
        <v/>
      </c>
      <c r="K690" s="12" t="str">
        <f t="shared" si="70"/>
        <v/>
      </c>
      <c r="L690" s="6"/>
      <c r="M690" s="6"/>
      <c r="N690" s="6"/>
      <c r="O690" s="36"/>
      <c r="P690" s="24" t="str">
        <f t="shared" si="71"/>
        <v xml:space="preserve"> </v>
      </c>
      <c r="Q690" s="25" t="str">
        <f t="shared" si="71"/>
        <v xml:space="preserve"> </v>
      </c>
      <c r="R690" s="25" t="str">
        <f t="shared" si="71"/>
        <v xml:space="preserve"> </v>
      </c>
      <c r="S690" s="26" t="str">
        <f t="shared" si="72"/>
        <v xml:space="preserve"> </v>
      </c>
      <c r="T690" s="7" t="str">
        <f t="shared" si="73"/>
        <v xml:space="preserve"> </v>
      </c>
      <c r="U690" s="8" t="str">
        <f t="shared" si="74"/>
        <v xml:space="preserve"> </v>
      </c>
      <c r="V690" s="9" t="str">
        <f t="shared" si="75"/>
        <v xml:space="preserve"> </v>
      </c>
      <c r="W690" s="9" t="str">
        <f t="shared" si="76"/>
        <v/>
      </c>
      <c r="X690" s="32"/>
      <c r="Y690" s="36"/>
    </row>
    <row r="691" spans="1:25" s="4" customFormat="1" ht="18" customHeight="1">
      <c r="A691" s="36"/>
      <c r="B691" s="76"/>
      <c r="C691" s="69"/>
      <c r="D691" s="31"/>
      <c r="E691" s="29"/>
      <c r="F691" s="28"/>
      <c r="G691" s="29"/>
      <c r="H691" s="29"/>
      <c r="I691" s="30"/>
      <c r="J691" s="12" t="str">
        <f t="shared" si="69"/>
        <v/>
      </c>
      <c r="K691" s="12" t="str">
        <f t="shared" si="70"/>
        <v/>
      </c>
      <c r="L691" s="6"/>
      <c r="M691" s="6"/>
      <c r="N691" s="6"/>
      <c r="O691" s="36"/>
      <c r="P691" s="24" t="str">
        <f t="shared" ref="P691:R692" si="77">IF(ISERR(L691/L691)=TRUE," ",L691-$F691)</f>
        <v xml:space="preserve"> </v>
      </c>
      <c r="Q691" s="25" t="str">
        <f t="shared" si="77"/>
        <v xml:space="preserve"> </v>
      </c>
      <c r="R691" s="25" t="str">
        <f t="shared" si="77"/>
        <v xml:space="preserve"> </v>
      </c>
      <c r="S691" s="26" t="str">
        <f t="shared" si="72"/>
        <v xml:space="preserve"> </v>
      </c>
      <c r="T691" s="7" t="str">
        <f t="shared" si="73"/>
        <v xml:space="preserve"> </v>
      </c>
      <c r="U691" s="8" t="str">
        <f t="shared" si="74"/>
        <v xml:space="preserve"> </v>
      </c>
      <c r="V691" s="9" t="str">
        <f t="shared" si="75"/>
        <v xml:space="preserve"> </v>
      </c>
      <c r="W691" s="9" t="str">
        <f t="shared" si="76"/>
        <v/>
      </c>
      <c r="X691" s="32"/>
      <c r="Y691" s="36"/>
    </row>
    <row r="692" spans="1:25" s="4" customFormat="1" ht="18" customHeight="1">
      <c r="A692" s="37"/>
      <c r="B692" s="76"/>
      <c r="C692" s="69"/>
      <c r="D692" s="31"/>
      <c r="E692" s="29"/>
      <c r="F692" s="28"/>
      <c r="G692" s="29"/>
      <c r="H692" s="29"/>
      <c r="I692" s="30"/>
      <c r="J692" s="12" t="str">
        <f t="shared" si="69"/>
        <v/>
      </c>
      <c r="K692" s="12" t="str">
        <f t="shared" si="70"/>
        <v/>
      </c>
      <c r="L692" s="6"/>
      <c r="M692" s="6"/>
      <c r="N692" s="6"/>
      <c r="O692" s="37"/>
      <c r="P692" s="24" t="str">
        <f t="shared" si="77"/>
        <v xml:space="preserve"> </v>
      </c>
      <c r="Q692" s="25" t="str">
        <f t="shared" si="77"/>
        <v xml:space="preserve"> </v>
      </c>
      <c r="R692" s="25" t="str">
        <f t="shared" si="77"/>
        <v xml:space="preserve"> </v>
      </c>
      <c r="S692" s="26" t="str">
        <f t="shared" si="72"/>
        <v xml:space="preserve"> </v>
      </c>
      <c r="T692" s="7" t="str">
        <f t="shared" si="73"/>
        <v xml:space="preserve"> </v>
      </c>
      <c r="U692" s="8" t="str">
        <f t="shared" si="74"/>
        <v xml:space="preserve"> </v>
      </c>
      <c r="V692" s="9" t="str">
        <f t="shared" si="75"/>
        <v xml:space="preserve"> </v>
      </c>
      <c r="W692" s="9" t="str">
        <f t="shared" si="76"/>
        <v/>
      </c>
      <c r="X692" s="32"/>
      <c r="Y692" s="37"/>
    </row>
  </sheetData>
  <autoFilter ref="A8:Y692" xr:uid="{00000000-0009-0000-0000-000001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3" showButton="0"/>
  </autoFilter>
  <mergeCells count="30">
    <mergeCell ref="A1:X1"/>
    <mergeCell ref="V2:W2"/>
    <mergeCell ref="B4:D4"/>
    <mergeCell ref="E4:I4"/>
    <mergeCell ref="L4:M4"/>
    <mergeCell ref="N4:R4"/>
    <mergeCell ref="S4:U4"/>
    <mergeCell ref="V4:Y4"/>
    <mergeCell ref="V6:Y6"/>
    <mergeCell ref="B5:D5"/>
    <mergeCell ref="E5:I5"/>
    <mergeCell ref="L5:M5"/>
    <mergeCell ref="N5:R5"/>
    <mergeCell ref="S5:U5"/>
    <mergeCell ref="V5:Y5"/>
    <mergeCell ref="B6:D6"/>
    <mergeCell ref="E6:I6"/>
    <mergeCell ref="L6:M6"/>
    <mergeCell ref="N6:R6"/>
    <mergeCell ref="S6:U6"/>
    <mergeCell ref="A8:K8"/>
    <mergeCell ref="L8:R8"/>
    <mergeCell ref="S8:W8"/>
    <mergeCell ref="X8:Y8"/>
    <mergeCell ref="I9:I10"/>
    <mergeCell ref="J9:J10"/>
    <mergeCell ref="K9:K10"/>
    <mergeCell ref="L9:N9"/>
    <mergeCell ref="P9:R9"/>
    <mergeCell ref="S9:S10"/>
  </mergeCells>
  <phoneticPr fontId="23" type="noConversion"/>
  <conditionalFormatting sqref="L19:N692">
    <cfRule type="containsBlanks" dxfId="484" priority="458">
      <formula>LEN(TRIM(L19))=0</formula>
    </cfRule>
  </conditionalFormatting>
  <conditionalFormatting sqref="T19:U692">
    <cfRule type="cellIs" dxfId="483" priority="457" operator="greaterThanOrEqual">
      <formula>1</formula>
    </cfRule>
  </conditionalFormatting>
  <conditionalFormatting sqref="S19:S692 L19:N692">
    <cfRule type="expression" dxfId="482" priority="459">
      <formula>AND($K19&lt;&gt;"",L19&lt;$K19)</formula>
    </cfRule>
    <cfRule type="expression" dxfId="481" priority="460">
      <formula>AND($J19&lt;&gt;"",L19&gt;$J19)</formula>
    </cfRule>
    <cfRule type="notContainsBlanks" dxfId="480" priority="461">
      <formula>LEN(TRIM(L19))&gt;0</formula>
    </cfRule>
  </conditionalFormatting>
  <conditionalFormatting sqref="S19:U692">
    <cfRule type="containsBlanks" dxfId="479" priority="456">
      <formula>LEN(TRIM(S19))=0</formula>
    </cfRule>
  </conditionalFormatting>
  <conditionalFormatting sqref="V19:W692">
    <cfRule type="containsText" dxfId="478" priority="454" operator="containsText" text="Alert">
      <formula>NOT(ISERROR(SEARCH("Alert",V19)))</formula>
    </cfRule>
    <cfRule type="containsText" dxfId="477" priority="455" operator="containsText" text="Reject">
      <formula>NOT(ISERROR(SEARCH("Reject",V19)))</formula>
    </cfRule>
  </conditionalFormatting>
  <conditionalFormatting sqref="F29 F33:F38 F44 F46 F50 F54:F60 F63 F67:F70 F21 F23 F83:F85 F87:F88 F73:F81 F91:F98 F25:F27 F100:F569 F573:F692 F11:F13 F19">
    <cfRule type="expression" dxfId="476" priority="451">
      <formula>AND($E11&lt;&gt;"Tolerance",$F11&lt;&gt;"")</formula>
    </cfRule>
    <cfRule type="expression" dxfId="475" priority="452">
      <formula>AND(OR($E11="GD&amp;T",$E11="MAX",$E11="MIN"),$F11="")</formula>
    </cfRule>
    <cfRule type="containsBlanks" dxfId="474" priority="453">
      <formula>LEN(TRIM(F11))=0</formula>
    </cfRule>
  </conditionalFormatting>
  <conditionalFormatting sqref="G38 G81 G77:G78 G87:G88 G92:G98 G101:G569 H550:H552 G573:G692 G11:G13">
    <cfRule type="expression" dxfId="473" priority="448">
      <formula>AND($E11="MIN",$G11&lt;&gt;"")</formula>
    </cfRule>
    <cfRule type="expression" dxfId="472" priority="449">
      <formula>AND($E11="MIN",$G11="")</formula>
    </cfRule>
    <cfRule type="containsBlanks" dxfId="471" priority="450">
      <formula>LEN(TRIM(G11))=0</formula>
    </cfRule>
  </conditionalFormatting>
  <conditionalFormatting sqref="H38 H81 H77:H78 H87:H88 H92:H98 H101:H549 H553:H569 H573:H692 H11:H13">
    <cfRule type="expression" dxfId="470" priority="445">
      <formula>AND(OR($E11="GD&amp;T",$E11="MAX"),$H11&lt;&gt;"")</formula>
    </cfRule>
    <cfRule type="expression" dxfId="469" priority="446">
      <formula>AND(OR($E11="GD&amp;T",$E11="MAX"),$H11="")</formula>
    </cfRule>
    <cfRule type="containsBlanks" dxfId="468" priority="447">
      <formula>LEN(TRIM(H11))=0</formula>
    </cfRule>
  </conditionalFormatting>
  <conditionalFormatting sqref="G19">
    <cfRule type="expression" dxfId="467" priority="442">
      <formula>AND($E19="MIN",$G19&lt;&gt;"")</formula>
    </cfRule>
    <cfRule type="expression" dxfId="466" priority="443">
      <formula>AND($E19="MIN",$G19="")</formula>
    </cfRule>
    <cfRule type="containsBlanks" dxfId="465" priority="444">
      <formula>LEN(TRIM(G19))=0</formula>
    </cfRule>
  </conditionalFormatting>
  <conditionalFormatting sqref="H19">
    <cfRule type="expression" dxfId="464" priority="439">
      <formula>AND(OR($E19="GD&amp;T",$E19="MAX"),$H19&lt;&gt;"")</formula>
    </cfRule>
    <cfRule type="expression" dxfId="463" priority="440">
      <formula>AND(OR($E19="GD&amp;T",$E19="MAX"),$H19="")</formula>
    </cfRule>
    <cfRule type="containsBlanks" dxfId="462" priority="441">
      <formula>LEN(TRIM(H19))=0</formula>
    </cfRule>
  </conditionalFormatting>
  <conditionalFormatting sqref="G21">
    <cfRule type="expression" dxfId="461" priority="436">
      <formula>AND($E21="MIN",$G21&lt;&gt;"")</formula>
    </cfRule>
    <cfRule type="expression" dxfId="460" priority="437">
      <formula>AND($E21="MIN",$G21="")</formula>
    </cfRule>
    <cfRule type="containsBlanks" dxfId="459" priority="438">
      <formula>LEN(TRIM(G21))=0</formula>
    </cfRule>
  </conditionalFormatting>
  <conditionalFormatting sqref="H21">
    <cfRule type="expression" dxfId="458" priority="433">
      <formula>AND(OR($E21="GD&amp;T",$E21="MAX"),$H21&lt;&gt;"")</formula>
    </cfRule>
    <cfRule type="expression" dxfId="457" priority="434">
      <formula>AND(OR($E21="GD&amp;T",$E21="MAX"),$H21="")</formula>
    </cfRule>
    <cfRule type="containsBlanks" dxfId="456" priority="435">
      <formula>LEN(TRIM(H21))=0</formula>
    </cfRule>
  </conditionalFormatting>
  <conditionalFormatting sqref="G23">
    <cfRule type="expression" dxfId="455" priority="430">
      <formula>AND($E23="MIN",$G23&lt;&gt;"")</formula>
    </cfRule>
    <cfRule type="expression" dxfId="454" priority="431">
      <formula>AND($E23="MIN",$G23="")</formula>
    </cfRule>
    <cfRule type="containsBlanks" dxfId="453" priority="432">
      <formula>LEN(TRIM(G23))=0</formula>
    </cfRule>
  </conditionalFormatting>
  <conditionalFormatting sqref="H23">
    <cfRule type="expression" dxfId="452" priority="427">
      <formula>AND(OR($E23="GD&amp;T",$E23="MAX"),$H23&lt;&gt;"")</formula>
    </cfRule>
    <cfRule type="expression" dxfId="451" priority="428">
      <formula>AND(OR($E23="GD&amp;T",$E23="MAX"),$H23="")</formula>
    </cfRule>
    <cfRule type="containsBlanks" dxfId="450" priority="429">
      <formula>LEN(TRIM(H23))=0</formula>
    </cfRule>
  </conditionalFormatting>
  <conditionalFormatting sqref="G25:G26">
    <cfRule type="expression" dxfId="449" priority="424">
      <formula>AND($E25="MIN",$G25&lt;&gt;"")</formula>
    </cfRule>
    <cfRule type="expression" dxfId="448" priority="425">
      <formula>AND($E25="MIN",$G25="")</formula>
    </cfRule>
    <cfRule type="containsBlanks" dxfId="447" priority="426">
      <formula>LEN(TRIM(G25))=0</formula>
    </cfRule>
  </conditionalFormatting>
  <conditionalFormatting sqref="H25:H26">
    <cfRule type="expression" dxfId="446" priority="421">
      <formula>AND(OR($E25="GD&amp;T",$E25="MAX"),$H25&lt;&gt;"")</formula>
    </cfRule>
    <cfRule type="expression" dxfId="445" priority="422">
      <formula>AND(OR($E25="GD&amp;T",$E25="MAX"),$H25="")</formula>
    </cfRule>
    <cfRule type="containsBlanks" dxfId="444" priority="423">
      <formula>LEN(TRIM(H25))=0</formula>
    </cfRule>
  </conditionalFormatting>
  <conditionalFormatting sqref="G27">
    <cfRule type="expression" dxfId="443" priority="418">
      <formula>AND($E27="MIN",$G27&lt;&gt;"")</formula>
    </cfRule>
    <cfRule type="expression" dxfId="442" priority="419">
      <formula>AND($E27="MIN",$G27="")</formula>
    </cfRule>
    <cfRule type="containsBlanks" dxfId="441" priority="420">
      <formula>LEN(TRIM(G27))=0</formula>
    </cfRule>
  </conditionalFormatting>
  <conditionalFormatting sqref="H27">
    <cfRule type="expression" dxfId="440" priority="415">
      <formula>AND(OR($E27="GD&amp;T",$E27="MAX"),$H27&lt;&gt;"")</formula>
    </cfRule>
    <cfRule type="expression" dxfId="439" priority="416">
      <formula>AND(OR($E27="GD&amp;T",$E27="MAX"),$H27="")</formula>
    </cfRule>
    <cfRule type="containsBlanks" dxfId="438" priority="417">
      <formula>LEN(TRIM(H27))=0</formula>
    </cfRule>
  </conditionalFormatting>
  <conditionalFormatting sqref="F28">
    <cfRule type="expression" dxfId="437" priority="412">
      <formula>AND($E28&lt;&gt;"Tolerance",$F28&lt;&gt;"")</formula>
    </cfRule>
    <cfRule type="expression" dxfId="436" priority="413">
      <formula>AND(OR($E28="GD&amp;T",$E28="MAX",$E28="MIN"),$F28="")</formula>
    </cfRule>
    <cfRule type="containsBlanks" dxfId="435" priority="414">
      <formula>LEN(TRIM(F28))=0</formula>
    </cfRule>
  </conditionalFormatting>
  <conditionalFormatting sqref="G28">
    <cfRule type="expression" dxfId="434" priority="409">
      <formula>AND($E28="MIN",$G28&lt;&gt;"")</formula>
    </cfRule>
    <cfRule type="expression" dxfId="433" priority="410">
      <formula>AND($E28="MIN",$G28="")</formula>
    </cfRule>
    <cfRule type="containsBlanks" dxfId="432" priority="411">
      <formula>LEN(TRIM(G28))=0</formula>
    </cfRule>
  </conditionalFormatting>
  <conditionalFormatting sqref="H28">
    <cfRule type="expression" dxfId="431" priority="406">
      <formula>AND(OR($E28="GD&amp;T",$E28="MAX"),$H28&lt;&gt;"")</formula>
    </cfRule>
    <cfRule type="expression" dxfId="430" priority="407">
      <formula>AND(OR($E28="GD&amp;T",$E28="MAX"),$H28="")</formula>
    </cfRule>
    <cfRule type="containsBlanks" dxfId="429" priority="408">
      <formula>LEN(TRIM(H28))=0</formula>
    </cfRule>
  </conditionalFormatting>
  <conditionalFormatting sqref="G29">
    <cfRule type="expression" dxfId="428" priority="403">
      <formula>AND($E29="MIN",$G29&lt;&gt;"")</formula>
    </cfRule>
    <cfRule type="expression" dxfId="427" priority="404">
      <formula>AND($E29="MIN",$G29="")</formula>
    </cfRule>
    <cfRule type="containsBlanks" dxfId="426" priority="405">
      <formula>LEN(TRIM(G29))=0</formula>
    </cfRule>
  </conditionalFormatting>
  <conditionalFormatting sqref="H29">
    <cfRule type="expression" dxfId="425" priority="400">
      <formula>AND(OR($E29="GD&amp;T",$E29="MAX"),$H29&lt;&gt;"")</formula>
    </cfRule>
    <cfRule type="expression" dxfId="424" priority="401">
      <formula>AND(OR($E29="GD&amp;T",$E29="MAX"),$H29="")</formula>
    </cfRule>
    <cfRule type="containsBlanks" dxfId="423" priority="402">
      <formula>LEN(TRIM(H29))=0</formula>
    </cfRule>
  </conditionalFormatting>
  <conditionalFormatting sqref="F30:F32">
    <cfRule type="expression" dxfId="422" priority="397">
      <formula>AND($E30&lt;&gt;"Tolerance",$F30&lt;&gt;"")</formula>
    </cfRule>
    <cfRule type="expression" dxfId="421" priority="398">
      <formula>AND(OR($E30="GD&amp;T",$E30="MAX",$E30="MIN"),$F30="")</formula>
    </cfRule>
    <cfRule type="containsBlanks" dxfId="420" priority="399">
      <formula>LEN(TRIM(F30))=0</formula>
    </cfRule>
  </conditionalFormatting>
  <conditionalFormatting sqref="G30:G32">
    <cfRule type="expression" dxfId="419" priority="394">
      <formula>AND($E30="MIN",$G30&lt;&gt;"")</formula>
    </cfRule>
    <cfRule type="expression" dxfId="418" priority="395">
      <formula>AND($E30="MIN",$G30="")</formula>
    </cfRule>
    <cfRule type="containsBlanks" dxfId="417" priority="396">
      <formula>LEN(TRIM(G30))=0</formula>
    </cfRule>
  </conditionalFormatting>
  <conditionalFormatting sqref="H30:H32">
    <cfRule type="expression" dxfId="416" priority="391">
      <formula>AND(OR($E30="GD&amp;T",$E30="MAX"),$H30&lt;&gt;"")</formula>
    </cfRule>
    <cfRule type="expression" dxfId="415" priority="392">
      <formula>AND(OR($E30="GD&amp;T",$E30="MAX"),$H30="")</formula>
    </cfRule>
    <cfRule type="containsBlanks" dxfId="414" priority="393">
      <formula>LEN(TRIM(H30))=0</formula>
    </cfRule>
  </conditionalFormatting>
  <conditionalFormatting sqref="G33">
    <cfRule type="expression" dxfId="413" priority="388">
      <formula>AND($E33="MIN",$G33&lt;&gt;"")</formula>
    </cfRule>
    <cfRule type="expression" dxfId="412" priority="389">
      <formula>AND($E33="MIN",$G33="")</formula>
    </cfRule>
    <cfRule type="containsBlanks" dxfId="411" priority="390">
      <formula>LEN(TRIM(G33))=0</formula>
    </cfRule>
  </conditionalFormatting>
  <conditionalFormatting sqref="H33">
    <cfRule type="expression" dxfId="410" priority="385">
      <formula>AND(OR($E33="GD&amp;T",$E33="MAX"),$H33&lt;&gt;"")</formula>
    </cfRule>
    <cfRule type="expression" dxfId="409" priority="386">
      <formula>AND(OR($E33="GD&amp;T",$E33="MAX"),$H33="")</formula>
    </cfRule>
    <cfRule type="containsBlanks" dxfId="408" priority="387">
      <formula>LEN(TRIM(H33))=0</formula>
    </cfRule>
  </conditionalFormatting>
  <conditionalFormatting sqref="G34">
    <cfRule type="expression" dxfId="407" priority="382">
      <formula>AND($E34="MIN",$G34&lt;&gt;"")</formula>
    </cfRule>
    <cfRule type="expression" dxfId="406" priority="383">
      <formula>AND($E34="MIN",$G34="")</formula>
    </cfRule>
    <cfRule type="containsBlanks" dxfId="405" priority="384">
      <formula>LEN(TRIM(G34))=0</formula>
    </cfRule>
  </conditionalFormatting>
  <conditionalFormatting sqref="H34">
    <cfRule type="expression" dxfId="404" priority="379">
      <formula>AND(OR($E34="GD&amp;T",$E34="MAX"),$H34&lt;&gt;"")</formula>
    </cfRule>
    <cfRule type="expression" dxfId="403" priority="380">
      <formula>AND(OR($E34="GD&amp;T",$E34="MAX"),$H34="")</formula>
    </cfRule>
    <cfRule type="containsBlanks" dxfId="402" priority="381">
      <formula>LEN(TRIM(H34))=0</formula>
    </cfRule>
  </conditionalFormatting>
  <conditionalFormatting sqref="G35">
    <cfRule type="expression" dxfId="401" priority="376">
      <formula>AND($E35="MIN",$G35&lt;&gt;"")</formula>
    </cfRule>
    <cfRule type="expression" dxfId="400" priority="377">
      <formula>AND($E35="MIN",$G35="")</formula>
    </cfRule>
    <cfRule type="containsBlanks" dxfId="399" priority="378">
      <formula>LEN(TRIM(G35))=0</formula>
    </cfRule>
  </conditionalFormatting>
  <conditionalFormatting sqref="H35">
    <cfRule type="expression" dxfId="398" priority="373">
      <formula>AND(OR($E35="GD&amp;T",$E35="MAX"),$H35&lt;&gt;"")</formula>
    </cfRule>
    <cfRule type="expression" dxfId="397" priority="374">
      <formula>AND(OR($E35="GD&amp;T",$E35="MAX"),$H35="")</formula>
    </cfRule>
    <cfRule type="containsBlanks" dxfId="396" priority="375">
      <formula>LEN(TRIM(H35))=0</formula>
    </cfRule>
  </conditionalFormatting>
  <conditionalFormatting sqref="G36">
    <cfRule type="expression" dxfId="395" priority="370">
      <formula>AND($E36="MIN",$G36&lt;&gt;"")</formula>
    </cfRule>
    <cfRule type="expression" dxfId="394" priority="371">
      <formula>AND($E36="MIN",$G36="")</formula>
    </cfRule>
    <cfRule type="containsBlanks" dxfId="393" priority="372">
      <formula>LEN(TRIM(G36))=0</formula>
    </cfRule>
  </conditionalFormatting>
  <conditionalFormatting sqref="H36">
    <cfRule type="expression" dxfId="392" priority="367">
      <formula>AND(OR($E36="GD&amp;T",$E36="MAX"),$H36&lt;&gt;"")</formula>
    </cfRule>
    <cfRule type="expression" dxfId="391" priority="368">
      <formula>AND(OR($E36="GD&amp;T",$E36="MAX"),$H36="")</formula>
    </cfRule>
    <cfRule type="containsBlanks" dxfId="390" priority="369">
      <formula>LEN(TRIM(H36))=0</formula>
    </cfRule>
  </conditionalFormatting>
  <conditionalFormatting sqref="G37">
    <cfRule type="expression" dxfId="389" priority="364">
      <formula>AND($E37="MIN",$G37&lt;&gt;"")</formula>
    </cfRule>
    <cfRule type="expression" dxfId="388" priority="365">
      <formula>AND($E37="MIN",$G37="")</formula>
    </cfRule>
    <cfRule type="containsBlanks" dxfId="387" priority="366">
      <formula>LEN(TRIM(G37))=0</formula>
    </cfRule>
  </conditionalFormatting>
  <conditionalFormatting sqref="H37">
    <cfRule type="expression" dxfId="386" priority="361">
      <formula>AND(OR($E37="GD&amp;T",$E37="MAX"),$H37&lt;&gt;"")</formula>
    </cfRule>
    <cfRule type="expression" dxfId="385" priority="362">
      <formula>AND(OR($E37="GD&amp;T",$E37="MAX"),$H37="")</formula>
    </cfRule>
    <cfRule type="containsBlanks" dxfId="384" priority="363">
      <formula>LEN(TRIM(H37))=0</formula>
    </cfRule>
  </conditionalFormatting>
  <conditionalFormatting sqref="F39:F43">
    <cfRule type="expression" dxfId="383" priority="358">
      <formula>AND($E39&lt;&gt;"Tolerance",$F39&lt;&gt;"")</formula>
    </cfRule>
    <cfRule type="expression" dxfId="382" priority="359">
      <formula>AND(OR($E39="GD&amp;T",$E39="MAX",$E39="MIN"),$F39="")</formula>
    </cfRule>
    <cfRule type="containsBlanks" dxfId="381" priority="360">
      <formula>LEN(TRIM(F39))=0</formula>
    </cfRule>
  </conditionalFormatting>
  <conditionalFormatting sqref="G39:G43">
    <cfRule type="expression" dxfId="380" priority="355">
      <formula>AND($E39="MIN",$G39&lt;&gt;"")</formula>
    </cfRule>
    <cfRule type="expression" dxfId="379" priority="356">
      <formula>AND($E39="MIN",$G39="")</formula>
    </cfRule>
    <cfRule type="containsBlanks" dxfId="378" priority="357">
      <formula>LEN(TRIM(G39))=0</formula>
    </cfRule>
  </conditionalFormatting>
  <conditionalFormatting sqref="H39:H43">
    <cfRule type="expression" dxfId="377" priority="352">
      <formula>AND(OR($E39="GD&amp;T",$E39="MAX"),$H39&lt;&gt;"")</formula>
    </cfRule>
    <cfRule type="expression" dxfId="376" priority="353">
      <formula>AND(OR($E39="GD&amp;T",$E39="MAX"),$H39="")</formula>
    </cfRule>
    <cfRule type="containsBlanks" dxfId="375" priority="354">
      <formula>LEN(TRIM(H39))=0</formula>
    </cfRule>
  </conditionalFormatting>
  <conditionalFormatting sqref="G44">
    <cfRule type="expression" dxfId="374" priority="349">
      <formula>AND($E44="MIN",$G44&lt;&gt;"")</formula>
    </cfRule>
    <cfRule type="expression" dxfId="373" priority="350">
      <formula>AND($E44="MIN",$G44="")</formula>
    </cfRule>
    <cfRule type="containsBlanks" dxfId="372" priority="351">
      <formula>LEN(TRIM(G44))=0</formula>
    </cfRule>
  </conditionalFormatting>
  <conditionalFormatting sqref="H44">
    <cfRule type="expression" dxfId="371" priority="346">
      <formula>AND(OR($E44="GD&amp;T",$E44="MAX"),$H44&lt;&gt;"")</formula>
    </cfRule>
    <cfRule type="expression" dxfId="370" priority="347">
      <formula>AND(OR($E44="GD&amp;T",$E44="MAX"),$H44="")</formula>
    </cfRule>
    <cfRule type="containsBlanks" dxfId="369" priority="348">
      <formula>LEN(TRIM(H44))=0</formula>
    </cfRule>
  </conditionalFormatting>
  <conditionalFormatting sqref="F45">
    <cfRule type="expression" dxfId="368" priority="343">
      <formula>AND($E45&lt;&gt;"Tolerance",$F45&lt;&gt;"")</formula>
    </cfRule>
    <cfRule type="expression" dxfId="367" priority="344">
      <formula>AND(OR($E45="GD&amp;T",$E45="MAX",$E45="MIN"),$F45="")</formula>
    </cfRule>
    <cfRule type="containsBlanks" dxfId="366" priority="345">
      <formula>LEN(TRIM(F45))=0</formula>
    </cfRule>
  </conditionalFormatting>
  <conditionalFormatting sqref="G45">
    <cfRule type="expression" dxfId="365" priority="340">
      <formula>AND($E45="MIN",$G45&lt;&gt;"")</formula>
    </cfRule>
    <cfRule type="expression" dxfId="364" priority="341">
      <formula>AND($E45="MIN",$G45="")</formula>
    </cfRule>
    <cfRule type="containsBlanks" dxfId="363" priority="342">
      <formula>LEN(TRIM(G45))=0</formula>
    </cfRule>
  </conditionalFormatting>
  <conditionalFormatting sqref="H45">
    <cfRule type="expression" dxfId="362" priority="337">
      <formula>AND(OR($E45="GD&amp;T",$E45="MAX"),$H45&lt;&gt;"")</formula>
    </cfRule>
    <cfRule type="expression" dxfId="361" priority="338">
      <formula>AND(OR($E45="GD&amp;T",$E45="MAX"),$H45="")</formula>
    </cfRule>
    <cfRule type="containsBlanks" dxfId="360" priority="339">
      <formula>LEN(TRIM(H45))=0</formula>
    </cfRule>
  </conditionalFormatting>
  <conditionalFormatting sqref="G46">
    <cfRule type="expression" dxfId="359" priority="334">
      <formula>AND($E46="MIN",$G46&lt;&gt;"")</formula>
    </cfRule>
    <cfRule type="expression" dxfId="358" priority="335">
      <formula>AND($E46="MIN",$G46="")</formula>
    </cfRule>
    <cfRule type="containsBlanks" dxfId="357" priority="336">
      <formula>LEN(TRIM(G46))=0</formula>
    </cfRule>
  </conditionalFormatting>
  <conditionalFormatting sqref="H46">
    <cfRule type="expression" dxfId="356" priority="331">
      <formula>AND(OR($E46="GD&amp;T",$E46="MAX"),$H46&lt;&gt;"")</formula>
    </cfRule>
    <cfRule type="expression" dxfId="355" priority="332">
      <formula>AND(OR($E46="GD&amp;T",$E46="MAX"),$H46="")</formula>
    </cfRule>
    <cfRule type="containsBlanks" dxfId="354" priority="333">
      <formula>LEN(TRIM(H46))=0</formula>
    </cfRule>
  </conditionalFormatting>
  <conditionalFormatting sqref="F47:F49">
    <cfRule type="expression" dxfId="353" priority="328">
      <formula>AND($E47&lt;&gt;"Tolerance",$F47&lt;&gt;"")</formula>
    </cfRule>
    <cfRule type="expression" dxfId="352" priority="329">
      <formula>AND(OR($E47="GD&amp;T",$E47="MAX",$E47="MIN"),$F47="")</formula>
    </cfRule>
    <cfRule type="containsBlanks" dxfId="351" priority="330">
      <formula>LEN(TRIM(F47))=0</formula>
    </cfRule>
  </conditionalFormatting>
  <conditionalFormatting sqref="G47:G49">
    <cfRule type="expression" dxfId="350" priority="325">
      <formula>AND($E47="MIN",$G47&lt;&gt;"")</formula>
    </cfRule>
    <cfRule type="expression" dxfId="349" priority="326">
      <formula>AND($E47="MIN",$G47="")</formula>
    </cfRule>
    <cfRule type="containsBlanks" dxfId="348" priority="327">
      <formula>LEN(TRIM(G47))=0</formula>
    </cfRule>
  </conditionalFormatting>
  <conditionalFormatting sqref="H47:H49">
    <cfRule type="expression" dxfId="347" priority="322">
      <formula>AND(OR($E47="GD&amp;T",$E47="MAX"),$H47&lt;&gt;"")</formula>
    </cfRule>
    <cfRule type="expression" dxfId="346" priority="323">
      <formula>AND(OR($E47="GD&amp;T",$E47="MAX"),$H47="")</formula>
    </cfRule>
    <cfRule type="containsBlanks" dxfId="345" priority="324">
      <formula>LEN(TRIM(H47))=0</formula>
    </cfRule>
  </conditionalFormatting>
  <conditionalFormatting sqref="G50">
    <cfRule type="expression" dxfId="344" priority="319">
      <formula>AND($E50="MIN",$G50&lt;&gt;"")</formula>
    </cfRule>
    <cfRule type="expression" dxfId="343" priority="320">
      <formula>AND($E50="MIN",$G50="")</formula>
    </cfRule>
    <cfRule type="containsBlanks" dxfId="342" priority="321">
      <formula>LEN(TRIM(G50))=0</formula>
    </cfRule>
  </conditionalFormatting>
  <conditionalFormatting sqref="H50">
    <cfRule type="expression" dxfId="341" priority="316">
      <formula>AND(OR($E50="GD&amp;T",$E50="MAX"),$H50&lt;&gt;"")</formula>
    </cfRule>
    <cfRule type="expression" dxfId="340" priority="317">
      <formula>AND(OR($E50="GD&amp;T",$E50="MAX"),$H50="")</formula>
    </cfRule>
    <cfRule type="containsBlanks" dxfId="339" priority="318">
      <formula>LEN(TRIM(H50))=0</formula>
    </cfRule>
  </conditionalFormatting>
  <conditionalFormatting sqref="F51:F53">
    <cfRule type="expression" dxfId="338" priority="313">
      <formula>AND($E51&lt;&gt;"Tolerance",$F51&lt;&gt;"")</formula>
    </cfRule>
    <cfRule type="expression" dxfId="337" priority="314">
      <formula>AND(OR($E51="GD&amp;T",$E51="MAX",$E51="MIN"),$F51="")</formula>
    </cfRule>
    <cfRule type="containsBlanks" dxfId="336" priority="315">
      <formula>LEN(TRIM(F51))=0</formula>
    </cfRule>
  </conditionalFormatting>
  <conditionalFormatting sqref="G51:G53">
    <cfRule type="expression" dxfId="335" priority="310">
      <formula>AND($E51="MIN",$G51&lt;&gt;"")</formula>
    </cfRule>
    <cfRule type="expression" dxfId="334" priority="311">
      <formula>AND($E51="MIN",$G51="")</formula>
    </cfRule>
    <cfRule type="containsBlanks" dxfId="333" priority="312">
      <formula>LEN(TRIM(G51))=0</formula>
    </cfRule>
  </conditionalFormatting>
  <conditionalFormatting sqref="H51:H53">
    <cfRule type="expression" dxfId="332" priority="307">
      <formula>AND(OR($E51="GD&amp;T",$E51="MAX"),$H51&lt;&gt;"")</formula>
    </cfRule>
    <cfRule type="expression" dxfId="331" priority="308">
      <formula>AND(OR($E51="GD&amp;T",$E51="MAX"),$H51="")</formula>
    </cfRule>
    <cfRule type="containsBlanks" dxfId="330" priority="309">
      <formula>LEN(TRIM(H51))=0</formula>
    </cfRule>
  </conditionalFormatting>
  <conditionalFormatting sqref="G54">
    <cfRule type="expression" dxfId="329" priority="304">
      <formula>AND($E54="MIN",$G54&lt;&gt;"")</formula>
    </cfRule>
    <cfRule type="expression" dxfId="328" priority="305">
      <formula>AND($E54="MIN",$G54="")</formula>
    </cfRule>
    <cfRule type="containsBlanks" dxfId="327" priority="306">
      <formula>LEN(TRIM(G54))=0</formula>
    </cfRule>
  </conditionalFormatting>
  <conditionalFormatting sqref="H54">
    <cfRule type="expression" dxfId="326" priority="301">
      <formula>AND(OR($E54="GD&amp;T",$E54="MAX"),$H54&lt;&gt;"")</formula>
    </cfRule>
    <cfRule type="expression" dxfId="325" priority="302">
      <formula>AND(OR($E54="GD&amp;T",$E54="MAX"),$H54="")</formula>
    </cfRule>
    <cfRule type="containsBlanks" dxfId="324" priority="303">
      <formula>LEN(TRIM(H54))=0</formula>
    </cfRule>
  </conditionalFormatting>
  <conditionalFormatting sqref="G55:G56">
    <cfRule type="expression" dxfId="323" priority="298">
      <formula>AND($E55="MIN",$G55&lt;&gt;"")</formula>
    </cfRule>
    <cfRule type="expression" dxfId="322" priority="299">
      <formula>AND($E55="MIN",$G55="")</formula>
    </cfRule>
    <cfRule type="containsBlanks" dxfId="321" priority="300">
      <formula>LEN(TRIM(G55))=0</formula>
    </cfRule>
  </conditionalFormatting>
  <conditionalFormatting sqref="H55:H56">
    <cfRule type="expression" dxfId="320" priority="295">
      <formula>AND(OR($E55="GD&amp;T",$E55="MAX"),$H55&lt;&gt;"")</formula>
    </cfRule>
    <cfRule type="expression" dxfId="319" priority="296">
      <formula>AND(OR($E55="GD&amp;T",$E55="MAX"),$H55="")</formula>
    </cfRule>
    <cfRule type="containsBlanks" dxfId="318" priority="297">
      <formula>LEN(TRIM(H55))=0</formula>
    </cfRule>
  </conditionalFormatting>
  <conditionalFormatting sqref="G57">
    <cfRule type="expression" dxfId="317" priority="292">
      <formula>AND($E57="MIN",$G57&lt;&gt;"")</formula>
    </cfRule>
    <cfRule type="expression" dxfId="316" priority="293">
      <formula>AND($E57="MIN",$G57="")</formula>
    </cfRule>
    <cfRule type="containsBlanks" dxfId="315" priority="294">
      <formula>LEN(TRIM(G57))=0</formula>
    </cfRule>
  </conditionalFormatting>
  <conditionalFormatting sqref="H57">
    <cfRule type="expression" dxfId="314" priority="289">
      <formula>AND(OR($E57="GD&amp;T",$E57="MAX"),$H57&lt;&gt;"")</formula>
    </cfRule>
    <cfRule type="expression" dxfId="313" priority="290">
      <formula>AND(OR($E57="GD&amp;T",$E57="MAX"),$H57="")</formula>
    </cfRule>
    <cfRule type="containsBlanks" dxfId="312" priority="291">
      <formula>LEN(TRIM(H57))=0</formula>
    </cfRule>
  </conditionalFormatting>
  <conditionalFormatting sqref="G58:G59">
    <cfRule type="expression" dxfId="311" priority="286">
      <formula>AND($E58="MIN",$G58&lt;&gt;"")</formula>
    </cfRule>
    <cfRule type="expression" dxfId="310" priority="287">
      <formula>AND($E58="MIN",$G58="")</formula>
    </cfRule>
    <cfRule type="containsBlanks" dxfId="309" priority="288">
      <formula>LEN(TRIM(G58))=0</formula>
    </cfRule>
  </conditionalFormatting>
  <conditionalFormatting sqref="H58:H59">
    <cfRule type="expression" dxfId="308" priority="283">
      <formula>AND(OR($E58="GD&amp;T",$E58="MAX"),$H58&lt;&gt;"")</formula>
    </cfRule>
    <cfRule type="expression" dxfId="307" priority="284">
      <formula>AND(OR($E58="GD&amp;T",$E58="MAX"),$H58="")</formula>
    </cfRule>
    <cfRule type="containsBlanks" dxfId="306" priority="285">
      <formula>LEN(TRIM(H58))=0</formula>
    </cfRule>
  </conditionalFormatting>
  <conditionalFormatting sqref="G60">
    <cfRule type="expression" dxfId="305" priority="280">
      <formula>AND($E60="MIN",$G60&lt;&gt;"")</formula>
    </cfRule>
    <cfRule type="expression" dxfId="304" priority="281">
      <formula>AND($E60="MIN",$G60="")</formula>
    </cfRule>
    <cfRule type="containsBlanks" dxfId="303" priority="282">
      <formula>LEN(TRIM(G60))=0</formula>
    </cfRule>
  </conditionalFormatting>
  <conditionalFormatting sqref="H60">
    <cfRule type="expression" dxfId="302" priority="277">
      <formula>AND(OR($E60="GD&amp;T",$E60="MAX"),$H60&lt;&gt;"")</formula>
    </cfRule>
    <cfRule type="expression" dxfId="301" priority="278">
      <formula>AND(OR($E60="GD&amp;T",$E60="MAX"),$H60="")</formula>
    </cfRule>
    <cfRule type="containsBlanks" dxfId="300" priority="279">
      <formula>LEN(TRIM(H60))=0</formula>
    </cfRule>
  </conditionalFormatting>
  <conditionalFormatting sqref="F61:F62">
    <cfRule type="expression" dxfId="299" priority="274">
      <formula>AND($E61&lt;&gt;"Tolerance",$F61&lt;&gt;"")</formula>
    </cfRule>
    <cfRule type="expression" dxfId="298" priority="275">
      <formula>AND(OR($E61="GD&amp;T",$E61="MAX",$E61="MIN"),$F61="")</formula>
    </cfRule>
    <cfRule type="containsBlanks" dxfId="297" priority="276">
      <formula>LEN(TRIM(F61))=0</formula>
    </cfRule>
  </conditionalFormatting>
  <conditionalFormatting sqref="G61:G62">
    <cfRule type="expression" dxfId="296" priority="271">
      <formula>AND($E61="MIN",$G61&lt;&gt;"")</formula>
    </cfRule>
    <cfRule type="expression" dxfId="295" priority="272">
      <formula>AND($E61="MIN",$G61="")</formula>
    </cfRule>
    <cfRule type="containsBlanks" dxfId="294" priority="273">
      <formula>LEN(TRIM(G61))=0</formula>
    </cfRule>
  </conditionalFormatting>
  <conditionalFormatting sqref="H61:H62">
    <cfRule type="expression" dxfId="293" priority="268">
      <formula>AND(OR($E61="GD&amp;T",$E61="MAX"),$H61&lt;&gt;"")</formula>
    </cfRule>
    <cfRule type="expression" dxfId="292" priority="269">
      <formula>AND(OR($E61="GD&amp;T",$E61="MAX"),$H61="")</formula>
    </cfRule>
    <cfRule type="containsBlanks" dxfId="291" priority="270">
      <formula>LEN(TRIM(H61))=0</formula>
    </cfRule>
  </conditionalFormatting>
  <conditionalFormatting sqref="G63">
    <cfRule type="expression" dxfId="290" priority="265">
      <formula>AND($E63="MIN",$G63&lt;&gt;"")</formula>
    </cfRule>
    <cfRule type="expression" dxfId="289" priority="266">
      <formula>AND($E63="MIN",$G63="")</formula>
    </cfRule>
    <cfRule type="containsBlanks" dxfId="288" priority="267">
      <formula>LEN(TRIM(G63))=0</formula>
    </cfRule>
  </conditionalFormatting>
  <conditionalFormatting sqref="H63">
    <cfRule type="expression" dxfId="287" priority="262">
      <formula>AND(OR($E63="GD&amp;T",$E63="MAX"),$H63&lt;&gt;"")</formula>
    </cfRule>
    <cfRule type="expression" dxfId="286" priority="263">
      <formula>AND(OR($E63="GD&amp;T",$E63="MAX"),$H63="")</formula>
    </cfRule>
    <cfRule type="containsBlanks" dxfId="285" priority="264">
      <formula>LEN(TRIM(H63))=0</formula>
    </cfRule>
  </conditionalFormatting>
  <conditionalFormatting sqref="F64">
    <cfRule type="expression" dxfId="284" priority="259">
      <formula>AND($E64&lt;&gt;"Tolerance",$F64&lt;&gt;"")</formula>
    </cfRule>
    <cfRule type="expression" dxfId="283" priority="260">
      <formula>AND(OR($E64="GD&amp;T",$E64="MAX",$E64="MIN"),$F64="")</formula>
    </cfRule>
    <cfRule type="containsBlanks" dxfId="282" priority="261">
      <formula>LEN(TRIM(F64))=0</formula>
    </cfRule>
  </conditionalFormatting>
  <conditionalFormatting sqref="G64">
    <cfRule type="expression" dxfId="281" priority="256">
      <formula>AND($E64="MIN",$G64&lt;&gt;"")</formula>
    </cfRule>
    <cfRule type="expression" dxfId="280" priority="257">
      <formula>AND($E64="MIN",$G64="")</formula>
    </cfRule>
    <cfRule type="containsBlanks" dxfId="279" priority="258">
      <formula>LEN(TRIM(G64))=0</formula>
    </cfRule>
  </conditionalFormatting>
  <conditionalFormatting sqref="H64">
    <cfRule type="expression" dxfId="278" priority="253">
      <formula>AND(OR($E64="GD&amp;T",$E64="MAX"),$H64&lt;&gt;"")</formula>
    </cfRule>
    <cfRule type="expression" dxfId="277" priority="254">
      <formula>AND(OR($E64="GD&amp;T",$E64="MAX"),$H64="")</formula>
    </cfRule>
    <cfRule type="containsBlanks" dxfId="276" priority="255">
      <formula>LEN(TRIM(H64))=0</formula>
    </cfRule>
  </conditionalFormatting>
  <conditionalFormatting sqref="F65:F66">
    <cfRule type="expression" dxfId="275" priority="250">
      <formula>AND($E65&lt;&gt;"Tolerance",$F65&lt;&gt;"")</formula>
    </cfRule>
    <cfRule type="expression" dxfId="274" priority="251">
      <formula>AND(OR($E65="GD&amp;T",$E65="MAX",$E65="MIN"),$F65="")</formula>
    </cfRule>
    <cfRule type="containsBlanks" dxfId="273" priority="252">
      <formula>LEN(TRIM(F65))=0</formula>
    </cfRule>
  </conditionalFormatting>
  <conditionalFormatting sqref="G65:G66">
    <cfRule type="expression" dxfId="272" priority="247">
      <formula>AND($E65="MIN",$G65&lt;&gt;"")</formula>
    </cfRule>
    <cfRule type="expression" dxfId="271" priority="248">
      <formula>AND($E65="MIN",$G65="")</formula>
    </cfRule>
    <cfRule type="containsBlanks" dxfId="270" priority="249">
      <formula>LEN(TRIM(G65))=0</formula>
    </cfRule>
  </conditionalFormatting>
  <conditionalFormatting sqref="H65:H66">
    <cfRule type="expression" dxfId="269" priority="244">
      <formula>AND(OR($E65="GD&amp;T",$E65="MAX"),$H65&lt;&gt;"")</formula>
    </cfRule>
    <cfRule type="expression" dxfId="268" priority="245">
      <formula>AND(OR($E65="GD&amp;T",$E65="MAX"),$H65="")</formula>
    </cfRule>
    <cfRule type="containsBlanks" dxfId="267" priority="246">
      <formula>LEN(TRIM(H65))=0</formula>
    </cfRule>
  </conditionalFormatting>
  <conditionalFormatting sqref="G67:G69">
    <cfRule type="expression" dxfId="266" priority="241">
      <formula>AND($E67="MIN",$G67&lt;&gt;"")</formula>
    </cfRule>
    <cfRule type="expression" dxfId="265" priority="242">
      <formula>AND($E67="MIN",$G67="")</formula>
    </cfRule>
    <cfRule type="containsBlanks" dxfId="264" priority="243">
      <formula>LEN(TRIM(G67))=0</formula>
    </cfRule>
  </conditionalFormatting>
  <conditionalFormatting sqref="H67:H69">
    <cfRule type="expression" dxfId="263" priority="238">
      <formula>AND(OR($E67="GD&amp;T",$E67="MAX"),$H67&lt;&gt;"")</formula>
    </cfRule>
    <cfRule type="expression" dxfId="262" priority="239">
      <formula>AND(OR($E67="GD&amp;T",$E67="MAX"),$H67="")</formula>
    </cfRule>
    <cfRule type="containsBlanks" dxfId="261" priority="240">
      <formula>LEN(TRIM(H67))=0</formula>
    </cfRule>
  </conditionalFormatting>
  <conditionalFormatting sqref="G70">
    <cfRule type="expression" dxfId="260" priority="235">
      <formula>AND($E70="MIN",$G70&lt;&gt;"")</formula>
    </cfRule>
    <cfRule type="expression" dxfId="259" priority="236">
      <formula>AND($E70="MIN",$G70="")</formula>
    </cfRule>
    <cfRule type="containsBlanks" dxfId="258" priority="237">
      <formula>LEN(TRIM(G70))=0</formula>
    </cfRule>
  </conditionalFormatting>
  <conditionalFormatting sqref="H70">
    <cfRule type="expression" dxfId="257" priority="232">
      <formula>AND(OR($E70="GD&amp;T",$E70="MAX"),$H70&lt;&gt;"")</formula>
    </cfRule>
    <cfRule type="expression" dxfId="256" priority="233">
      <formula>AND(OR($E70="GD&amp;T",$E70="MAX"),$H70="")</formula>
    </cfRule>
    <cfRule type="containsBlanks" dxfId="255" priority="234">
      <formula>LEN(TRIM(H70))=0</formula>
    </cfRule>
  </conditionalFormatting>
  <conditionalFormatting sqref="F71:F72">
    <cfRule type="expression" dxfId="254" priority="229">
      <formula>AND($E71&lt;&gt;"Tolerance",$F71&lt;&gt;"")</formula>
    </cfRule>
    <cfRule type="expression" dxfId="253" priority="230">
      <formula>AND(OR($E71="GD&amp;T",$E71="MAX",$E71="MIN"),$F71="")</formula>
    </cfRule>
    <cfRule type="containsBlanks" dxfId="252" priority="231">
      <formula>LEN(TRIM(F71))=0</formula>
    </cfRule>
  </conditionalFormatting>
  <conditionalFormatting sqref="G71:G72">
    <cfRule type="expression" dxfId="251" priority="226">
      <formula>AND($E71="MIN",$G71&lt;&gt;"")</formula>
    </cfRule>
    <cfRule type="expression" dxfId="250" priority="227">
      <formula>AND($E71="MIN",$G71="")</formula>
    </cfRule>
    <cfRule type="containsBlanks" dxfId="249" priority="228">
      <formula>LEN(TRIM(G71))=0</formula>
    </cfRule>
  </conditionalFormatting>
  <conditionalFormatting sqref="H71:H72">
    <cfRule type="expression" dxfId="248" priority="223">
      <formula>AND(OR($E71="GD&amp;T",$E71="MAX"),$H71&lt;&gt;"")</formula>
    </cfRule>
    <cfRule type="expression" dxfId="247" priority="224">
      <formula>AND(OR($E71="GD&amp;T",$E71="MAX"),$H71="")</formula>
    </cfRule>
    <cfRule type="containsBlanks" dxfId="246" priority="225">
      <formula>LEN(TRIM(H71))=0</formula>
    </cfRule>
  </conditionalFormatting>
  <conditionalFormatting sqref="G73:G74">
    <cfRule type="expression" dxfId="245" priority="220">
      <formula>AND($E73="MIN",$G73&lt;&gt;"")</formula>
    </cfRule>
    <cfRule type="expression" dxfId="244" priority="221">
      <formula>AND($E73="MIN",$G73="")</formula>
    </cfRule>
    <cfRule type="containsBlanks" dxfId="243" priority="222">
      <formula>LEN(TRIM(G73))=0</formula>
    </cfRule>
  </conditionalFormatting>
  <conditionalFormatting sqref="H73:H74">
    <cfRule type="expression" dxfId="242" priority="217">
      <formula>AND(OR($E73="GD&amp;T",$E73="MAX"),$H73&lt;&gt;"")</formula>
    </cfRule>
    <cfRule type="expression" dxfId="241" priority="218">
      <formula>AND(OR($E73="GD&amp;T",$E73="MAX"),$H73="")</formula>
    </cfRule>
    <cfRule type="containsBlanks" dxfId="240" priority="219">
      <formula>LEN(TRIM(H73))=0</formula>
    </cfRule>
  </conditionalFormatting>
  <conditionalFormatting sqref="G75:G76">
    <cfRule type="expression" dxfId="239" priority="214">
      <formula>AND($E75="MIN",$G75&lt;&gt;"")</formula>
    </cfRule>
    <cfRule type="expression" dxfId="238" priority="215">
      <formula>AND($E75="MIN",$G75="")</formula>
    </cfRule>
    <cfRule type="containsBlanks" dxfId="237" priority="216">
      <formula>LEN(TRIM(G75))=0</formula>
    </cfRule>
  </conditionalFormatting>
  <conditionalFormatting sqref="H75:H76">
    <cfRule type="expression" dxfId="236" priority="211">
      <formula>AND(OR($E75="GD&amp;T",$E75="MAX"),$H75&lt;&gt;"")</formula>
    </cfRule>
    <cfRule type="expression" dxfId="235" priority="212">
      <formula>AND(OR($E75="GD&amp;T",$E75="MAX"),$H75="")</formula>
    </cfRule>
    <cfRule type="containsBlanks" dxfId="234" priority="213">
      <formula>LEN(TRIM(H75))=0</formula>
    </cfRule>
  </conditionalFormatting>
  <conditionalFormatting sqref="G79:G80">
    <cfRule type="expression" dxfId="233" priority="208">
      <formula>AND($E79="MIN",$G79&lt;&gt;"")</formula>
    </cfRule>
    <cfRule type="expression" dxfId="232" priority="209">
      <formula>AND($E79="MIN",$G79="")</formula>
    </cfRule>
    <cfRule type="containsBlanks" dxfId="231" priority="210">
      <formula>LEN(TRIM(G79))=0</formula>
    </cfRule>
  </conditionalFormatting>
  <conditionalFormatting sqref="H79:H80">
    <cfRule type="expression" dxfId="230" priority="205">
      <formula>AND(OR($E79="GD&amp;T",$E79="MAX"),$H79&lt;&gt;"")</formula>
    </cfRule>
    <cfRule type="expression" dxfId="229" priority="206">
      <formula>AND(OR($E79="GD&amp;T",$E79="MAX"),$H79="")</formula>
    </cfRule>
    <cfRule type="containsBlanks" dxfId="228" priority="207">
      <formula>LEN(TRIM(H79))=0</formula>
    </cfRule>
  </conditionalFormatting>
  <conditionalFormatting sqref="G83:G84">
    <cfRule type="expression" dxfId="227" priority="202">
      <formula>AND($E83="MIN",$G83&lt;&gt;"")</formula>
    </cfRule>
    <cfRule type="expression" dxfId="226" priority="203">
      <formula>AND($E83="MIN",$G83="")</formula>
    </cfRule>
    <cfRule type="containsBlanks" dxfId="225" priority="204">
      <formula>LEN(TRIM(G83))=0</formula>
    </cfRule>
  </conditionalFormatting>
  <conditionalFormatting sqref="H83:H84">
    <cfRule type="expression" dxfId="224" priority="199">
      <formula>AND(OR($E83="GD&amp;T",$E83="MAX"),$H83&lt;&gt;"")</formula>
    </cfRule>
    <cfRule type="expression" dxfId="223" priority="200">
      <formula>AND(OR($E83="GD&amp;T",$E83="MAX"),$H83="")</formula>
    </cfRule>
    <cfRule type="containsBlanks" dxfId="222" priority="201">
      <formula>LEN(TRIM(H83))=0</formula>
    </cfRule>
  </conditionalFormatting>
  <conditionalFormatting sqref="G85">
    <cfRule type="expression" dxfId="221" priority="196">
      <formula>AND($E85="MIN",$G85&lt;&gt;"")</formula>
    </cfRule>
    <cfRule type="expression" dxfId="220" priority="197">
      <formula>AND($E85="MIN",$G85="")</formula>
    </cfRule>
    <cfRule type="containsBlanks" dxfId="219" priority="198">
      <formula>LEN(TRIM(G85))=0</formula>
    </cfRule>
  </conditionalFormatting>
  <conditionalFormatting sqref="H85">
    <cfRule type="expression" dxfId="218" priority="193">
      <formula>AND(OR($E85="GD&amp;T",$E85="MAX"),$H85&lt;&gt;"")</formula>
    </cfRule>
    <cfRule type="expression" dxfId="217" priority="194">
      <formula>AND(OR($E85="GD&amp;T",$E85="MAX"),$H85="")</formula>
    </cfRule>
    <cfRule type="containsBlanks" dxfId="216" priority="195">
      <formula>LEN(TRIM(H85))=0</formula>
    </cfRule>
  </conditionalFormatting>
  <conditionalFormatting sqref="G89:G90">
    <cfRule type="expression" dxfId="215" priority="187">
      <formula>AND($E89="MIN",$G89&lt;&gt;"")</formula>
    </cfRule>
    <cfRule type="expression" dxfId="214" priority="188">
      <formula>AND($E89="MIN",$G89="")</formula>
    </cfRule>
    <cfRule type="containsBlanks" dxfId="213" priority="189">
      <formula>LEN(TRIM(G89))=0</formula>
    </cfRule>
  </conditionalFormatting>
  <conditionalFormatting sqref="H89:H90">
    <cfRule type="expression" dxfId="212" priority="184">
      <formula>AND(OR($E89="GD&amp;T",$E89="MAX"),$H89&lt;&gt;"")</formula>
    </cfRule>
    <cfRule type="expression" dxfId="211" priority="185">
      <formula>AND(OR($E89="GD&amp;T",$E89="MAX"),$H89="")</formula>
    </cfRule>
    <cfRule type="containsBlanks" dxfId="210" priority="186">
      <formula>LEN(TRIM(H89))=0</formula>
    </cfRule>
  </conditionalFormatting>
  <conditionalFormatting sqref="F89:F90">
    <cfRule type="expression" dxfId="209" priority="190">
      <formula>AND($E89&lt;&gt;"Tolerance",$F89&lt;&gt;"")</formula>
    </cfRule>
    <cfRule type="expression" dxfId="208" priority="191">
      <formula>AND(OR($E89="GD&amp;T",$E89="MAX",$E89="MIN"),$F89="")</formula>
    </cfRule>
    <cfRule type="containsBlanks" dxfId="207" priority="192">
      <formula>LEN(TRIM(F89))=0</formula>
    </cfRule>
  </conditionalFormatting>
  <conditionalFormatting sqref="G91">
    <cfRule type="expression" dxfId="206" priority="181">
      <formula>AND($E91="MIN",$G91&lt;&gt;"")</formula>
    </cfRule>
    <cfRule type="expression" dxfId="205" priority="182">
      <formula>AND($E91="MIN",$G91="")</formula>
    </cfRule>
    <cfRule type="containsBlanks" dxfId="204" priority="183">
      <formula>LEN(TRIM(G91))=0</formula>
    </cfRule>
  </conditionalFormatting>
  <conditionalFormatting sqref="H91">
    <cfRule type="expression" dxfId="203" priority="178">
      <formula>AND(OR($E91="GD&amp;T",$E91="MAX"),$H91&lt;&gt;"")</formula>
    </cfRule>
    <cfRule type="expression" dxfId="202" priority="179">
      <formula>AND(OR($E91="GD&amp;T",$E91="MAX"),$H91="")</formula>
    </cfRule>
    <cfRule type="containsBlanks" dxfId="201" priority="180">
      <formula>LEN(TRIM(H91))=0</formula>
    </cfRule>
  </conditionalFormatting>
  <conditionalFormatting sqref="F99">
    <cfRule type="expression" dxfId="200" priority="175">
      <formula>AND($E99&lt;&gt;"Tolerance",$F99&lt;&gt;"")</formula>
    </cfRule>
    <cfRule type="expression" dxfId="199" priority="176">
      <formula>AND(OR($E99="GD&amp;T",$E99="MAX",$E99="MIN"),$F99="")</formula>
    </cfRule>
    <cfRule type="containsBlanks" dxfId="198" priority="177">
      <formula>LEN(TRIM(F99))=0</formula>
    </cfRule>
  </conditionalFormatting>
  <conditionalFormatting sqref="G99">
    <cfRule type="expression" dxfId="197" priority="172">
      <formula>AND($E99="MIN",$G99&lt;&gt;"")</formula>
    </cfRule>
    <cfRule type="expression" dxfId="196" priority="173">
      <formula>AND($E99="MIN",$G99="")</formula>
    </cfRule>
    <cfRule type="containsBlanks" dxfId="195" priority="174">
      <formula>LEN(TRIM(G99))=0</formula>
    </cfRule>
  </conditionalFormatting>
  <conditionalFormatting sqref="H99">
    <cfRule type="expression" dxfId="194" priority="169">
      <formula>AND(OR($E99="GD&amp;T",$E99="MAX"),$H99&lt;&gt;"")</formula>
    </cfRule>
    <cfRule type="expression" dxfId="193" priority="170">
      <formula>AND(OR($E99="GD&amp;T",$E99="MAX"),$H99="")</formula>
    </cfRule>
    <cfRule type="containsBlanks" dxfId="192" priority="171">
      <formula>LEN(TRIM(H99))=0</formula>
    </cfRule>
  </conditionalFormatting>
  <conditionalFormatting sqref="G100">
    <cfRule type="expression" dxfId="191" priority="166">
      <formula>AND($E100="MIN",$G100&lt;&gt;"")</formula>
    </cfRule>
    <cfRule type="expression" dxfId="190" priority="167">
      <formula>AND($E100="MIN",$G100="")</formula>
    </cfRule>
    <cfRule type="containsBlanks" dxfId="189" priority="168">
      <formula>LEN(TRIM(G100))=0</formula>
    </cfRule>
  </conditionalFormatting>
  <conditionalFormatting sqref="H100">
    <cfRule type="expression" dxfId="188" priority="163">
      <formula>AND(OR($E100="GD&amp;T",$E100="MAX"),$H100&lt;&gt;"")</formula>
    </cfRule>
    <cfRule type="expression" dxfId="187" priority="164">
      <formula>AND(OR($E100="GD&amp;T",$E100="MAX"),$H100="")</formula>
    </cfRule>
    <cfRule type="containsBlanks" dxfId="186" priority="165">
      <formula>LEN(TRIM(H100))=0</formula>
    </cfRule>
  </conditionalFormatting>
  <conditionalFormatting sqref="F82">
    <cfRule type="expression" dxfId="185" priority="160">
      <formula>AND($E82&lt;&gt;"Tolerance",$F82&lt;&gt;"")</formula>
    </cfRule>
    <cfRule type="expression" dxfId="184" priority="161">
      <formula>AND(OR($E82="GD&amp;T",$E82="MAX",$E82="MIN"),$F82="")</formula>
    </cfRule>
    <cfRule type="containsBlanks" dxfId="183" priority="162">
      <formula>LEN(TRIM(F82))=0</formula>
    </cfRule>
  </conditionalFormatting>
  <conditionalFormatting sqref="G82">
    <cfRule type="expression" dxfId="182" priority="157">
      <formula>AND($E82="MIN",$G82&lt;&gt;"")</formula>
    </cfRule>
    <cfRule type="expression" dxfId="181" priority="158">
      <formula>AND($E82="MIN",$G82="")</formula>
    </cfRule>
    <cfRule type="containsBlanks" dxfId="180" priority="159">
      <formula>LEN(TRIM(G82))=0</formula>
    </cfRule>
  </conditionalFormatting>
  <conditionalFormatting sqref="H82">
    <cfRule type="expression" dxfId="179" priority="154">
      <formula>AND(OR($E82="GD&amp;T",$E82="MAX"),$H82&lt;&gt;"")</formula>
    </cfRule>
    <cfRule type="expression" dxfId="178" priority="155">
      <formula>AND(OR($E82="GD&amp;T",$E82="MAX"),$H82="")</formula>
    </cfRule>
    <cfRule type="containsBlanks" dxfId="177" priority="156">
      <formula>LEN(TRIM(H82))=0</formula>
    </cfRule>
  </conditionalFormatting>
  <conditionalFormatting sqref="F86">
    <cfRule type="expression" dxfId="176" priority="151">
      <formula>AND($E86&lt;&gt;"Tolerance",$F86&lt;&gt;"")</formula>
    </cfRule>
    <cfRule type="expression" dxfId="175" priority="152">
      <formula>AND(OR($E86="GD&amp;T",$E86="MAX",$E86="MIN"),$F86="")</formula>
    </cfRule>
    <cfRule type="containsBlanks" dxfId="174" priority="153">
      <formula>LEN(TRIM(F86))=0</formula>
    </cfRule>
  </conditionalFormatting>
  <conditionalFormatting sqref="G86">
    <cfRule type="expression" dxfId="173" priority="148">
      <formula>AND($E86="MIN",$G86&lt;&gt;"")</formula>
    </cfRule>
    <cfRule type="expression" dxfId="172" priority="149">
      <formula>AND($E86="MIN",$G86="")</formula>
    </cfRule>
    <cfRule type="containsBlanks" dxfId="171" priority="150">
      <formula>LEN(TRIM(G86))=0</formula>
    </cfRule>
  </conditionalFormatting>
  <conditionalFormatting sqref="H86">
    <cfRule type="expression" dxfId="170" priority="145">
      <formula>AND(OR($E86="GD&amp;T",$E86="MAX"),$H86&lt;&gt;"")</formula>
    </cfRule>
    <cfRule type="expression" dxfId="169" priority="146">
      <formula>AND(OR($E86="GD&amp;T",$E86="MAX"),$H86="")</formula>
    </cfRule>
    <cfRule type="containsBlanks" dxfId="168" priority="147">
      <formula>LEN(TRIM(H86))=0</formula>
    </cfRule>
  </conditionalFormatting>
  <conditionalFormatting sqref="F20">
    <cfRule type="expression" dxfId="167" priority="142">
      <formula>AND($E20&lt;&gt;"Tolerance",$F20&lt;&gt;"")</formula>
    </cfRule>
    <cfRule type="expression" dxfId="166" priority="143">
      <formula>AND(OR($E20="GD&amp;T",$E20="MAX",$E20="MIN"),$F20="")</formula>
    </cfRule>
    <cfRule type="containsBlanks" dxfId="165" priority="144">
      <formula>LEN(TRIM(F20))=0</formula>
    </cfRule>
  </conditionalFormatting>
  <conditionalFormatting sqref="G20">
    <cfRule type="expression" dxfId="164" priority="139">
      <formula>AND($E20="MIN",$G20&lt;&gt;"")</formula>
    </cfRule>
    <cfRule type="expression" dxfId="163" priority="140">
      <formula>AND($E20="MIN",$G20="")</formula>
    </cfRule>
    <cfRule type="containsBlanks" dxfId="162" priority="141">
      <formula>LEN(TRIM(G20))=0</formula>
    </cfRule>
  </conditionalFormatting>
  <conditionalFormatting sqref="H20">
    <cfRule type="expression" dxfId="161" priority="136">
      <formula>AND(OR($E20="GD&amp;T",$E20="MAX"),$H20&lt;&gt;"")</formula>
    </cfRule>
    <cfRule type="expression" dxfId="160" priority="137">
      <formula>AND(OR($E20="GD&amp;T",$E20="MAX"),$H20="")</formula>
    </cfRule>
    <cfRule type="containsBlanks" dxfId="159" priority="138">
      <formula>LEN(TRIM(H20))=0</formula>
    </cfRule>
  </conditionalFormatting>
  <conditionalFormatting sqref="F22">
    <cfRule type="expression" dxfId="158" priority="133">
      <formula>AND($E22&lt;&gt;"Tolerance",$F22&lt;&gt;"")</formula>
    </cfRule>
    <cfRule type="expression" dxfId="157" priority="134">
      <formula>AND(OR($E22="GD&amp;T",$E22="MAX",$E22="MIN"),$F22="")</formula>
    </cfRule>
    <cfRule type="containsBlanks" dxfId="156" priority="135">
      <formula>LEN(TRIM(F22))=0</formula>
    </cfRule>
  </conditionalFormatting>
  <conditionalFormatting sqref="G22">
    <cfRule type="expression" dxfId="155" priority="130">
      <formula>AND($E22="MIN",$G22&lt;&gt;"")</formula>
    </cfRule>
    <cfRule type="expression" dxfId="154" priority="131">
      <formula>AND($E22="MIN",$G22="")</formula>
    </cfRule>
    <cfRule type="containsBlanks" dxfId="153" priority="132">
      <formula>LEN(TRIM(G22))=0</formula>
    </cfRule>
  </conditionalFormatting>
  <conditionalFormatting sqref="H22">
    <cfRule type="expression" dxfId="152" priority="127">
      <formula>AND(OR($E22="GD&amp;T",$E22="MAX"),$H22&lt;&gt;"")</formula>
    </cfRule>
    <cfRule type="expression" dxfId="151" priority="128">
      <formula>AND(OR($E22="GD&amp;T",$E22="MAX"),$H22="")</formula>
    </cfRule>
    <cfRule type="containsBlanks" dxfId="150" priority="129">
      <formula>LEN(TRIM(H22))=0</formula>
    </cfRule>
  </conditionalFormatting>
  <conditionalFormatting sqref="F24">
    <cfRule type="expression" dxfId="149" priority="124">
      <formula>AND($E24&lt;&gt;"Tolerance",$F24&lt;&gt;"")</formula>
    </cfRule>
    <cfRule type="expression" dxfId="148" priority="125">
      <formula>AND(OR($E24="GD&amp;T",$E24="MAX",$E24="MIN"),$F24="")</formula>
    </cfRule>
    <cfRule type="containsBlanks" dxfId="147" priority="126">
      <formula>LEN(TRIM(F24))=0</formula>
    </cfRule>
  </conditionalFormatting>
  <conditionalFormatting sqref="G24">
    <cfRule type="expression" dxfId="146" priority="121">
      <formula>AND($E24="MIN",$G24&lt;&gt;"")</formula>
    </cfRule>
    <cfRule type="expression" dxfId="145" priority="122">
      <formula>AND($E24="MIN",$G24="")</formula>
    </cfRule>
    <cfRule type="containsBlanks" dxfId="144" priority="123">
      <formula>LEN(TRIM(G24))=0</formula>
    </cfRule>
  </conditionalFormatting>
  <conditionalFormatting sqref="H24">
    <cfRule type="expression" dxfId="143" priority="118">
      <formula>AND(OR($E24="GD&amp;T",$E24="MAX"),$H24&lt;&gt;"")</formula>
    </cfRule>
    <cfRule type="expression" dxfId="142" priority="119">
      <formula>AND(OR($E24="GD&amp;T",$E24="MAX"),$H24="")</formula>
    </cfRule>
    <cfRule type="containsBlanks" dxfId="141" priority="120">
      <formula>LEN(TRIM(H24))=0</formula>
    </cfRule>
  </conditionalFormatting>
  <conditionalFormatting sqref="F19:F24">
    <cfRule type="expression" dxfId="140" priority="115">
      <formula>AND($E19&lt;&gt;"Tolerance",$F19&lt;&gt;"")</formula>
    </cfRule>
    <cfRule type="expression" dxfId="139" priority="116">
      <formula>AND(OR($E19="GD&amp;T",$E19="MAX",$E19="MIN"),$F19="")</formula>
    </cfRule>
    <cfRule type="containsBlanks" dxfId="138" priority="117">
      <formula>LEN(TRIM(F19))=0</formula>
    </cfRule>
  </conditionalFormatting>
  <conditionalFormatting sqref="G19:G24">
    <cfRule type="expression" dxfId="137" priority="112">
      <formula>AND($E19="MIN",$G19&lt;&gt;"")</formula>
    </cfRule>
    <cfRule type="expression" dxfId="136" priority="113">
      <formula>AND($E19="MIN",$G19="")</formula>
    </cfRule>
    <cfRule type="containsBlanks" dxfId="135" priority="114">
      <formula>LEN(TRIM(G19))=0</formula>
    </cfRule>
  </conditionalFormatting>
  <conditionalFormatting sqref="H19:H24">
    <cfRule type="expression" dxfId="134" priority="109">
      <formula>AND(OR($E19="GD&amp;T",$E19="MAX"),$H19&lt;&gt;"")</formula>
    </cfRule>
    <cfRule type="expression" dxfId="133" priority="110">
      <formula>AND(OR($E19="GD&amp;T",$E19="MAX"),$H19="")</formula>
    </cfRule>
    <cfRule type="containsBlanks" dxfId="132" priority="111">
      <formula>LEN(TRIM(H19))=0</formula>
    </cfRule>
  </conditionalFormatting>
  <conditionalFormatting sqref="F102:F104">
    <cfRule type="expression" dxfId="131" priority="106">
      <formula>AND($E102&lt;&gt;"Tolerance",$F102&lt;&gt;"")</formula>
    </cfRule>
    <cfRule type="expression" dxfId="130" priority="107">
      <formula>AND(OR($E102="GD&amp;T",$E102="MAX",$E102="MIN"),$F102="")</formula>
    </cfRule>
    <cfRule type="containsBlanks" dxfId="129" priority="108">
      <formula>LEN(TRIM(F102))=0</formula>
    </cfRule>
  </conditionalFormatting>
  <conditionalFormatting sqref="G102:G104">
    <cfRule type="expression" dxfId="128" priority="103">
      <formula>AND($E102="MIN",$G102&lt;&gt;"")</formula>
    </cfRule>
    <cfRule type="expression" dxfId="127" priority="104">
      <formula>AND($E102="MIN",$G102="")</formula>
    </cfRule>
    <cfRule type="containsBlanks" dxfId="126" priority="105">
      <formula>LEN(TRIM(G102))=0</formula>
    </cfRule>
  </conditionalFormatting>
  <conditionalFormatting sqref="H102:H104">
    <cfRule type="expression" dxfId="125" priority="100">
      <formula>AND(OR($E102="GD&amp;T",$E102="MAX"),$H102&lt;&gt;"")</formula>
    </cfRule>
    <cfRule type="expression" dxfId="124" priority="101">
      <formula>AND(OR($E102="GD&amp;T",$E102="MAX"),$H102="")</formula>
    </cfRule>
    <cfRule type="containsBlanks" dxfId="123" priority="102">
      <formula>LEN(TRIM(H102))=0</formula>
    </cfRule>
  </conditionalFormatting>
  <conditionalFormatting sqref="F103">
    <cfRule type="expression" dxfId="122" priority="97">
      <formula>AND($E103&lt;&gt;"Tolerance",$F103&lt;&gt;"")</formula>
    </cfRule>
    <cfRule type="expression" dxfId="121" priority="98">
      <formula>AND(OR($E103="GD&amp;T",$E103="MAX",$E103="MIN"),$F103="")</formula>
    </cfRule>
    <cfRule type="containsBlanks" dxfId="120" priority="99">
      <formula>LEN(TRIM(F103))=0</formula>
    </cfRule>
  </conditionalFormatting>
  <conditionalFormatting sqref="G103">
    <cfRule type="expression" dxfId="119" priority="94">
      <formula>AND($E103="MIN",$G103&lt;&gt;"")</formula>
    </cfRule>
    <cfRule type="expression" dxfId="118" priority="95">
      <formula>AND($E103="MIN",$G103="")</formula>
    </cfRule>
    <cfRule type="containsBlanks" dxfId="117" priority="96">
      <formula>LEN(TRIM(G103))=0</formula>
    </cfRule>
  </conditionalFormatting>
  <conditionalFormatting sqref="H103">
    <cfRule type="expression" dxfId="116" priority="91">
      <formula>AND(OR($E103="GD&amp;T",$E103="MAX"),$H103&lt;&gt;"")</formula>
    </cfRule>
    <cfRule type="expression" dxfId="115" priority="92">
      <formula>AND(OR($E103="GD&amp;T",$E103="MAX"),$H103="")</formula>
    </cfRule>
    <cfRule type="containsBlanks" dxfId="114" priority="93">
      <formula>LEN(TRIM(H103))=0</formula>
    </cfRule>
  </conditionalFormatting>
  <conditionalFormatting sqref="F102">
    <cfRule type="expression" dxfId="113" priority="88">
      <formula>AND($E102&lt;&gt;"Tolerance",$F102&lt;&gt;"")</formula>
    </cfRule>
    <cfRule type="expression" dxfId="112" priority="89">
      <formula>AND(OR($E102="GD&amp;T",$E102="MAX",$E102="MIN"),$F102="")</formula>
    </cfRule>
    <cfRule type="containsBlanks" dxfId="111" priority="90">
      <formula>LEN(TRIM(F102))=0</formula>
    </cfRule>
  </conditionalFormatting>
  <conditionalFormatting sqref="G102">
    <cfRule type="expression" dxfId="110" priority="85">
      <formula>AND($E102="MIN",$G102&lt;&gt;"")</formula>
    </cfRule>
    <cfRule type="expression" dxfId="109" priority="86">
      <formula>AND($E102="MIN",$G102="")</formula>
    </cfRule>
    <cfRule type="containsBlanks" dxfId="108" priority="87">
      <formula>LEN(TRIM(G102))=0</formula>
    </cfRule>
  </conditionalFormatting>
  <conditionalFormatting sqref="H102">
    <cfRule type="expression" dxfId="107" priority="82">
      <formula>AND(OR($E102="GD&amp;T",$E102="MAX"),$H102&lt;&gt;"")</formula>
    </cfRule>
    <cfRule type="expression" dxfId="106" priority="83">
      <formula>AND(OR($E102="GD&amp;T",$E102="MAX"),$H102="")</formula>
    </cfRule>
    <cfRule type="containsBlanks" dxfId="105" priority="84">
      <formula>LEN(TRIM(H102))=0</formula>
    </cfRule>
  </conditionalFormatting>
  <conditionalFormatting sqref="F103">
    <cfRule type="expression" dxfId="104" priority="79">
      <formula>AND($E103&lt;&gt;"Tolerance",$F103&lt;&gt;"")</formula>
    </cfRule>
    <cfRule type="expression" dxfId="103" priority="80">
      <formula>AND(OR($E103="GD&amp;T",$E103="MAX",$E103="MIN"),$F103="")</formula>
    </cfRule>
    <cfRule type="containsBlanks" dxfId="102" priority="81">
      <formula>LEN(TRIM(F103))=0</formula>
    </cfRule>
  </conditionalFormatting>
  <conditionalFormatting sqref="G103">
    <cfRule type="expression" dxfId="101" priority="76">
      <formula>AND($E103="MIN",$G103&lt;&gt;"")</formula>
    </cfRule>
    <cfRule type="expression" dxfId="100" priority="77">
      <formula>AND($E103="MIN",$G103="")</formula>
    </cfRule>
    <cfRule type="containsBlanks" dxfId="99" priority="78">
      <formula>LEN(TRIM(G103))=0</formula>
    </cfRule>
  </conditionalFormatting>
  <conditionalFormatting sqref="H103">
    <cfRule type="expression" dxfId="98" priority="73">
      <formula>AND(OR($E103="GD&amp;T",$E103="MAX"),$H103&lt;&gt;"")</formula>
    </cfRule>
    <cfRule type="expression" dxfId="97" priority="74">
      <formula>AND(OR($E103="GD&amp;T",$E103="MAX"),$H103="")</formula>
    </cfRule>
    <cfRule type="containsBlanks" dxfId="96" priority="75">
      <formula>LEN(TRIM(H103))=0</formula>
    </cfRule>
  </conditionalFormatting>
  <conditionalFormatting sqref="F102">
    <cfRule type="expression" dxfId="95" priority="70">
      <formula>AND($E102&lt;&gt;"Tolerance",$F102&lt;&gt;"")</formula>
    </cfRule>
    <cfRule type="expression" dxfId="94" priority="71">
      <formula>AND(OR($E102="GD&amp;T",$E102="MAX",$E102="MIN"),$F102="")</formula>
    </cfRule>
    <cfRule type="containsBlanks" dxfId="93" priority="72">
      <formula>LEN(TRIM(F102))=0</formula>
    </cfRule>
  </conditionalFormatting>
  <conditionalFormatting sqref="G102">
    <cfRule type="expression" dxfId="92" priority="67">
      <formula>AND($E102="MIN",$G102&lt;&gt;"")</formula>
    </cfRule>
    <cfRule type="expression" dxfId="91" priority="68">
      <formula>AND($E102="MIN",$G102="")</formula>
    </cfRule>
    <cfRule type="containsBlanks" dxfId="90" priority="69">
      <formula>LEN(TRIM(G102))=0</formula>
    </cfRule>
  </conditionalFormatting>
  <conditionalFormatting sqref="H102">
    <cfRule type="expression" dxfId="89" priority="64">
      <formula>AND(OR($E102="GD&amp;T",$E102="MAX"),$H102&lt;&gt;"")</formula>
    </cfRule>
    <cfRule type="expression" dxfId="88" priority="65">
      <formula>AND(OR($E102="GD&amp;T",$E102="MAX"),$H102="")</formula>
    </cfRule>
    <cfRule type="containsBlanks" dxfId="87" priority="66">
      <formula>LEN(TRIM(H102))=0</formula>
    </cfRule>
  </conditionalFormatting>
  <conditionalFormatting sqref="F104">
    <cfRule type="expression" dxfId="86" priority="61">
      <formula>AND($E104&lt;&gt;"Tolerance",$F104&lt;&gt;"")</formula>
    </cfRule>
    <cfRule type="expression" dxfId="85" priority="62">
      <formula>AND(OR($E104="GD&amp;T",$E104="MAX",$E104="MIN"),$F104="")</formula>
    </cfRule>
    <cfRule type="containsBlanks" dxfId="84" priority="63">
      <formula>LEN(TRIM(F104))=0</formula>
    </cfRule>
  </conditionalFormatting>
  <conditionalFormatting sqref="G104">
    <cfRule type="expression" dxfId="83" priority="58">
      <formula>AND($E104="MIN",$G104&lt;&gt;"")</formula>
    </cfRule>
    <cfRule type="expression" dxfId="82" priority="59">
      <formula>AND($E104="MIN",$G104="")</formula>
    </cfRule>
    <cfRule type="containsBlanks" dxfId="81" priority="60">
      <formula>LEN(TRIM(G104))=0</formula>
    </cfRule>
  </conditionalFormatting>
  <conditionalFormatting sqref="H104">
    <cfRule type="expression" dxfId="80" priority="55">
      <formula>AND(OR($E104="GD&amp;T",$E104="MAX"),$H104&lt;&gt;"")</formula>
    </cfRule>
    <cfRule type="expression" dxfId="79" priority="56">
      <formula>AND(OR($E104="GD&amp;T",$E104="MAX"),$H104="")</formula>
    </cfRule>
    <cfRule type="containsBlanks" dxfId="78" priority="57">
      <formula>LEN(TRIM(H104))=0</formula>
    </cfRule>
  </conditionalFormatting>
  <conditionalFormatting sqref="F103">
    <cfRule type="expression" dxfId="77" priority="52">
      <formula>AND($E103&lt;&gt;"Tolerance",$F103&lt;&gt;"")</formula>
    </cfRule>
    <cfRule type="expression" dxfId="76" priority="53">
      <formula>AND(OR($E103="GD&amp;T",$E103="MAX",$E103="MIN"),$F103="")</formula>
    </cfRule>
    <cfRule type="containsBlanks" dxfId="75" priority="54">
      <formula>LEN(TRIM(F103))=0</formula>
    </cfRule>
  </conditionalFormatting>
  <conditionalFormatting sqref="G103">
    <cfRule type="expression" dxfId="74" priority="49">
      <formula>AND($E103="MIN",$G103&lt;&gt;"")</formula>
    </cfRule>
    <cfRule type="expression" dxfId="73" priority="50">
      <formula>AND($E103="MIN",$G103="")</formula>
    </cfRule>
    <cfRule type="containsBlanks" dxfId="72" priority="51">
      <formula>LEN(TRIM(G103))=0</formula>
    </cfRule>
  </conditionalFormatting>
  <conditionalFormatting sqref="H103">
    <cfRule type="expression" dxfId="71" priority="46">
      <formula>AND(OR($E103="GD&amp;T",$E103="MAX"),$H103&lt;&gt;"")</formula>
    </cfRule>
    <cfRule type="expression" dxfId="70" priority="47">
      <formula>AND(OR($E103="GD&amp;T",$E103="MAX"),$H103="")</formula>
    </cfRule>
    <cfRule type="containsBlanks" dxfId="69" priority="48">
      <formula>LEN(TRIM(H103))=0</formula>
    </cfRule>
  </conditionalFormatting>
  <conditionalFormatting sqref="F102">
    <cfRule type="expression" dxfId="68" priority="43">
      <formula>AND($E102&lt;&gt;"Tolerance",$F102&lt;&gt;"")</formula>
    </cfRule>
    <cfRule type="expression" dxfId="67" priority="44">
      <formula>AND(OR($E102="GD&amp;T",$E102="MAX",$E102="MIN"),$F102="")</formula>
    </cfRule>
    <cfRule type="containsBlanks" dxfId="66" priority="45">
      <formula>LEN(TRIM(F102))=0</formula>
    </cfRule>
  </conditionalFormatting>
  <conditionalFormatting sqref="G102">
    <cfRule type="expression" dxfId="65" priority="40">
      <formula>AND($E102="MIN",$G102&lt;&gt;"")</formula>
    </cfRule>
    <cfRule type="expression" dxfId="64" priority="41">
      <formula>AND($E102="MIN",$G102="")</formula>
    </cfRule>
    <cfRule type="containsBlanks" dxfId="63" priority="42">
      <formula>LEN(TRIM(G102))=0</formula>
    </cfRule>
  </conditionalFormatting>
  <conditionalFormatting sqref="H102">
    <cfRule type="expression" dxfId="62" priority="37">
      <formula>AND(OR($E102="GD&amp;T",$E102="MAX"),$H102&lt;&gt;"")</formula>
    </cfRule>
    <cfRule type="expression" dxfId="61" priority="38">
      <formula>AND(OR($E102="GD&amp;T",$E102="MAX"),$H102="")</formula>
    </cfRule>
    <cfRule type="containsBlanks" dxfId="60" priority="39">
      <formula>LEN(TRIM(H102))=0</formula>
    </cfRule>
  </conditionalFormatting>
  <conditionalFormatting sqref="F104">
    <cfRule type="expression" dxfId="59" priority="34">
      <formula>AND($E104&lt;&gt;"Tolerance",$F104&lt;&gt;"")</formula>
    </cfRule>
    <cfRule type="expression" dxfId="58" priority="35">
      <formula>AND(OR($E104="GD&amp;T",$E104="MAX",$E104="MIN"),$F104="")</formula>
    </cfRule>
    <cfRule type="containsBlanks" dxfId="57" priority="36">
      <formula>LEN(TRIM(F104))=0</formula>
    </cfRule>
  </conditionalFormatting>
  <conditionalFormatting sqref="G104">
    <cfRule type="expression" dxfId="56" priority="31">
      <formula>AND($E104="MIN",$G104&lt;&gt;"")</formula>
    </cfRule>
    <cfRule type="expression" dxfId="55" priority="32">
      <formula>AND($E104="MIN",$G104="")</formula>
    </cfRule>
    <cfRule type="containsBlanks" dxfId="54" priority="33">
      <formula>LEN(TRIM(G104))=0</formula>
    </cfRule>
  </conditionalFormatting>
  <conditionalFormatting sqref="H104">
    <cfRule type="expression" dxfId="53" priority="28">
      <formula>AND(OR($E104="GD&amp;T",$E104="MAX"),$H104&lt;&gt;"")</formula>
    </cfRule>
    <cfRule type="expression" dxfId="52" priority="29">
      <formula>AND(OR($E104="GD&amp;T",$E104="MAX"),$H104="")</formula>
    </cfRule>
    <cfRule type="containsBlanks" dxfId="51" priority="30">
      <formula>LEN(TRIM(H104))=0</formula>
    </cfRule>
  </conditionalFormatting>
  <conditionalFormatting sqref="F17:F18">
    <cfRule type="expression" dxfId="50" priority="16">
      <formula>AND($E17&lt;&gt;"Tolerance",$F17&lt;&gt;"")</formula>
    </cfRule>
    <cfRule type="expression" dxfId="49" priority="17">
      <formula>AND(OR($E17="GD&amp;T",$E17="MAX",$E17="MIN"),$F17="")</formula>
    </cfRule>
    <cfRule type="containsBlanks" dxfId="48" priority="18">
      <formula>LEN(TRIM(F17))=0</formula>
    </cfRule>
  </conditionalFormatting>
  <conditionalFormatting sqref="G17:G18">
    <cfRule type="expression" dxfId="47" priority="13">
      <formula>AND($E17="MIN",$G17&lt;&gt;"")</formula>
    </cfRule>
    <cfRule type="expression" dxfId="46" priority="14">
      <formula>AND($E17="MIN",$G17="")</formula>
    </cfRule>
    <cfRule type="containsBlanks" dxfId="45" priority="15">
      <formula>LEN(TRIM(G17))=0</formula>
    </cfRule>
  </conditionalFormatting>
  <conditionalFormatting sqref="H17:H18">
    <cfRule type="expression" dxfId="44" priority="10">
      <formula>AND(OR($E17="GD&amp;T",$E17="MAX"),$H17&lt;&gt;"")</formula>
    </cfRule>
    <cfRule type="expression" dxfId="43" priority="11">
      <formula>AND(OR($E17="GD&amp;T",$E17="MAX"),$H17="")</formula>
    </cfRule>
    <cfRule type="containsBlanks" dxfId="42" priority="12">
      <formula>LEN(TRIM(H17))=0</formula>
    </cfRule>
  </conditionalFormatting>
  <conditionalFormatting sqref="F14:F16">
    <cfRule type="expression" dxfId="8" priority="7">
      <formula>AND($E14&lt;&gt;"Tolerance",$F14&lt;&gt;"")</formula>
    </cfRule>
    <cfRule type="expression" dxfId="7" priority="8">
      <formula>AND(OR($E14="GD&amp;T",$E14="MAX",$E14="MIN"),$F14="")</formula>
    </cfRule>
    <cfRule type="containsBlanks" dxfId="6" priority="9">
      <formula>LEN(TRIM(F14))=0</formula>
    </cfRule>
  </conditionalFormatting>
  <conditionalFormatting sqref="G14:G16">
    <cfRule type="expression" dxfId="5" priority="4">
      <formula>AND($E14="MIN",$G14&lt;&gt;"")</formula>
    </cfRule>
    <cfRule type="expression" dxfId="4" priority="5">
      <formula>AND($E14="MIN",$G14="")</formula>
    </cfRule>
    <cfRule type="containsBlanks" dxfId="3" priority="6">
      <formula>LEN(TRIM(G14))=0</formula>
    </cfRule>
  </conditionalFormatting>
  <conditionalFormatting sqref="H14:H16">
    <cfRule type="expression" dxfId="2" priority="1">
      <formula>AND(OR($E14="GD&amp;T",$E14="MAX"),$H14&lt;&gt;"")</formula>
    </cfRule>
    <cfRule type="expression" dxfId="1" priority="2">
      <formula>AND(OR($E14="GD&amp;T",$E14="MAX"),$H14="")</formula>
    </cfRule>
    <cfRule type="containsBlanks" dxfId="0" priority="3">
      <formula>LEN(TRIM(H14))=0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SheetButtons.showAddShtFrm">
                <anchor moveWithCells="1" sizeWithCells="1">
                  <from>
                    <xdr:col>1</xdr:col>
                    <xdr:colOff>7620</xdr:colOff>
                    <xdr:row>0</xdr:row>
                    <xdr:rowOff>45720</xdr:rowOff>
                  </from>
                  <to>
                    <xdr:col>4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Setup!$H$2:$H$13</xm:f>
          </x14:formula1>
          <xm:sqref>I19:I390</xm:sqref>
        </x14:dataValidation>
        <x14:dataValidation type="list" allowBlank="1" showInputMessage="1" showErrorMessage="1" xr:uid="{00000000-0002-0000-0100-000001000000}">
          <x14:formula1>
            <xm:f>Setup!$J$2:$J$5</xm:f>
          </x14:formula1>
          <xm:sqref>E19:E390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3"/>
  <sheetViews>
    <sheetView topLeftCell="B1" workbookViewId="0">
      <selection activeCell="C27" sqref="C27"/>
    </sheetView>
  </sheetViews>
  <sheetFormatPr defaultColWidth="11" defaultRowHeight="15.6"/>
  <cols>
    <col min="8" max="8" width="20" style="45" customWidth="1"/>
    <col min="9" max="9" width="10.8984375" style="45"/>
    <col min="10" max="10" width="16" style="45" customWidth="1"/>
  </cols>
  <sheetData>
    <row r="1" spans="1:10" ht="31.2">
      <c r="A1" s="117" t="s">
        <v>49</v>
      </c>
      <c r="B1" s="117"/>
      <c r="H1" s="43" t="s">
        <v>31</v>
      </c>
      <c r="I1" s="44"/>
      <c r="J1" s="43" t="s">
        <v>32</v>
      </c>
    </row>
    <row r="2" spans="1:10">
      <c r="A2" s="45" t="s">
        <v>50</v>
      </c>
      <c r="B2" s="45" t="s">
        <v>51</v>
      </c>
      <c r="H2" s="45" t="s">
        <v>33</v>
      </c>
      <c r="J2" s="45" t="s">
        <v>34</v>
      </c>
    </row>
    <row r="3" spans="1:10">
      <c r="H3" s="45" t="s">
        <v>35</v>
      </c>
      <c r="J3" s="45" t="s">
        <v>36</v>
      </c>
    </row>
    <row r="4" spans="1:10">
      <c r="H4" s="45" t="s">
        <v>37</v>
      </c>
      <c r="J4" s="45" t="s">
        <v>38</v>
      </c>
    </row>
    <row r="5" spans="1:10">
      <c r="H5" s="45" t="s">
        <v>39</v>
      </c>
      <c r="J5" s="45" t="s">
        <v>40</v>
      </c>
    </row>
    <row r="6" spans="1:10">
      <c r="H6" s="45" t="s">
        <v>41</v>
      </c>
    </row>
    <row r="7" spans="1:10">
      <c r="H7" s="45" t="s">
        <v>42</v>
      </c>
    </row>
    <row r="8" spans="1:10">
      <c r="H8" s="45" t="s">
        <v>43</v>
      </c>
    </row>
    <row r="9" spans="1:10">
      <c r="H9" s="45" t="s">
        <v>44</v>
      </c>
    </row>
    <row r="10" spans="1:10">
      <c r="H10" s="45" t="s">
        <v>45</v>
      </c>
    </row>
    <row r="11" spans="1:10">
      <c r="H11" s="45" t="s">
        <v>46</v>
      </c>
    </row>
    <row r="12" spans="1:10">
      <c r="H12" s="45" t="s">
        <v>47</v>
      </c>
    </row>
    <row r="13" spans="1:10">
      <c r="H13" s="45" t="s">
        <v>48</v>
      </c>
    </row>
  </sheetData>
  <mergeCells count="1">
    <mergeCell ref="A1:B1"/>
  </mergeCells>
  <phoneticPr fontId="23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8"/>
  <sheetViews>
    <sheetView workbookViewId="0">
      <selection activeCell="F1" sqref="F1:H19"/>
    </sheetView>
  </sheetViews>
  <sheetFormatPr defaultRowHeight="15.6"/>
  <cols>
    <col min="2" max="4" width="0" hidden="1" customWidth="1"/>
  </cols>
  <sheetData>
    <row r="1" spans="1:14">
      <c r="A1">
        <v>-2.5030000000000001</v>
      </c>
      <c r="B1">
        <f>A13</f>
        <v>-2.5430000000000001</v>
      </c>
      <c r="C1">
        <f t="shared" ref="C1:D1" si="0">B13</f>
        <v>-2.512</v>
      </c>
      <c r="D1">
        <f t="shared" si="0"/>
        <v>0</v>
      </c>
      <c r="E1" s="27">
        <v>1.1000000000000001</v>
      </c>
      <c r="F1">
        <f>-A1</f>
        <v>2.5030000000000001</v>
      </c>
      <c r="G1">
        <f>-B1</f>
        <v>2.5430000000000001</v>
      </c>
      <c r="H1">
        <f>-C1</f>
        <v>2.512</v>
      </c>
      <c r="I1">
        <f>-D1</f>
        <v>0</v>
      </c>
      <c r="J1">
        <v>8.1</v>
      </c>
      <c r="K1" s="46">
        <v>46.372999999999998</v>
      </c>
      <c r="L1" s="46">
        <f>K6</f>
        <v>45.73</v>
      </c>
      <c r="M1" s="46">
        <f t="shared" ref="M1:N1" si="1">L6</f>
        <v>45.884</v>
      </c>
      <c r="N1" s="46">
        <f t="shared" si="1"/>
        <v>0</v>
      </c>
    </row>
    <row r="2" spans="1:14">
      <c r="A2">
        <v>2.5579999999999998</v>
      </c>
      <c r="B2">
        <f t="shared" ref="B2:D48" si="2">A14</f>
        <v>2.52</v>
      </c>
      <c r="C2">
        <f t="shared" si="2"/>
        <v>2.556</v>
      </c>
      <c r="D2">
        <f t="shared" si="2"/>
        <v>0</v>
      </c>
      <c r="E2" s="27">
        <v>1.2</v>
      </c>
      <c r="F2">
        <f>A2</f>
        <v>2.5579999999999998</v>
      </c>
      <c r="G2">
        <f>B2</f>
        <v>2.52</v>
      </c>
      <c r="H2">
        <f>C2</f>
        <v>2.556</v>
      </c>
      <c r="I2">
        <f>D2</f>
        <v>0</v>
      </c>
      <c r="J2">
        <v>10</v>
      </c>
      <c r="K2">
        <v>9.9269999999999996</v>
      </c>
      <c r="L2">
        <f t="shared" ref="L2:N20" si="3">K7</f>
        <v>9.9309999999999992</v>
      </c>
      <c r="M2">
        <f t="shared" si="3"/>
        <v>9.94</v>
      </c>
      <c r="N2">
        <f t="shared" si="3"/>
        <v>0</v>
      </c>
    </row>
    <row r="3" spans="1:14">
      <c r="A3">
        <v>-5.8179999999999996</v>
      </c>
      <c r="B3">
        <f t="shared" si="2"/>
        <v>-5.8570000000000002</v>
      </c>
      <c r="C3">
        <f t="shared" si="2"/>
        <v>-5.8540000000000001</v>
      </c>
      <c r="D3">
        <f t="shared" si="2"/>
        <v>0</v>
      </c>
      <c r="E3" s="27">
        <v>2.1</v>
      </c>
      <c r="F3">
        <f>-A7</f>
        <v>3.9119999999999999</v>
      </c>
      <c r="G3">
        <f>-B7</f>
        <v>3.9630000000000001</v>
      </c>
      <c r="H3">
        <f>-C7</f>
        <v>3.9630000000000001</v>
      </c>
      <c r="I3">
        <f>-D7</f>
        <v>0</v>
      </c>
      <c r="J3">
        <v>6</v>
      </c>
      <c r="K3">
        <v>5.1470000000000002</v>
      </c>
      <c r="L3">
        <f t="shared" si="3"/>
        <v>5.0129999999999999</v>
      </c>
      <c r="M3">
        <f t="shared" si="3"/>
        <v>5.0739999999999998</v>
      </c>
      <c r="N3">
        <f t="shared" si="3"/>
        <v>0</v>
      </c>
    </row>
    <row r="4" spans="1:14">
      <c r="A4">
        <v>5.9160000000000004</v>
      </c>
      <c r="B4">
        <f t="shared" si="2"/>
        <v>5.8719999999999999</v>
      </c>
      <c r="C4">
        <f t="shared" si="2"/>
        <v>5.891</v>
      </c>
      <c r="D4">
        <f t="shared" si="2"/>
        <v>0</v>
      </c>
      <c r="E4" s="27">
        <v>2.2000000000000002</v>
      </c>
      <c r="F4">
        <f>A8</f>
        <v>4.0339999999999998</v>
      </c>
      <c r="G4">
        <f>B8</f>
        <v>3.9780000000000002</v>
      </c>
      <c r="H4">
        <f>C8</f>
        <v>4.024</v>
      </c>
      <c r="I4">
        <f>D8</f>
        <v>0</v>
      </c>
      <c r="J4">
        <v>9</v>
      </c>
      <c r="K4">
        <v>0.51200000000000001</v>
      </c>
      <c r="L4">
        <f t="shared" si="3"/>
        <v>0.49199999999999999</v>
      </c>
      <c r="M4">
        <f t="shared" si="3"/>
        <v>0.53200000000000003</v>
      </c>
      <c r="N4">
        <f t="shared" si="3"/>
        <v>0</v>
      </c>
    </row>
    <row r="5" spans="1:14">
      <c r="A5">
        <v>1.8460000000000001</v>
      </c>
      <c r="B5">
        <f t="shared" si="2"/>
        <v>1.8480000000000001</v>
      </c>
      <c r="C5">
        <f t="shared" si="2"/>
        <v>1.859</v>
      </c>
      <c r="D5">
        <f t="shared" si="2"/>
        <v>0</v>
      </c>
      <c r="E5" s="27">
        <v>3.1</v>
      </c>
      <c r="F5">
        <f>-A3</f>
        <v>5.8179999999999996</v>
      </c>
      <c r="G5">
        <f>-B3</f>
        <v>5.8570000000000002</v>
      </c>
      <c r="H5">
        <f>-C3</f>
        <v>5.8540000000000001</v>
      </c>
      <c r="I5">
        <f>-D3</f>
        <v>0</v>
      </c>
      <c r="J5">
        <v>7.1</v>
      </c>
      <c r="K5">
        <v>0.622</v>
      </c>
      <c r="L5">
        <f t="shared" si="3"/>
        <v>0.61599999999999999</v>
      </c>
      <c r="M5">
        <f t="shared" si="3"/>
        <v>0.63300000000000001</v>
      </c>
      <c r="N5">
        <f t="shared" si="3"/>
        <v>0</v>
      </c>
    </row>
    <row r="6" spans="1:14">
      <c r="A6">
        <v>1.8240000000000001</v>
      </c>
      <c r="B6">
        <f t="shared" si="2"/>
        <v>1.819</v>
      </c>
      <c r="C6">
        <f t="shared" si="2"/>
        <v>1.8220000000000001</v>
      </c>
      <c r="D6">
        <f t="shared" si="2"/>
        <v>0</v>
      </c>
      <c r="E6" s="27">
        <v>3.2</v>
      </c>
      <c r="F6">
        <f t="shared" ref="F6:I8" si="4">A4</f>
        <v>5.9160000000000004</v>
      </c>
      <c r="G6">
        <f t="shared" si="4"/>
        <v>5.8719999999999999</v>
      </c>
      <c r="H6">
        <f t="shared" si="4"/>
        <v>5.891</v>
      </c>
      <c r="I6">
        <f t="shared" si="4"/>
        <v>0</v>
      </c>
      <c r="K6">
        <v>45.73</v>
      </c>
      <c r="L6">
        <f t="shared" si="3"/>
        <v>45.884</v>
      </c>
      <c r="M6">
        <f t="shared" si="3"/>
        <v>0</v>
      </c>
      <c r="N6">
        <f t="shared" si="3"/>
        <v>4.8120000000000003</v>
      </c>
    </row>
    <row r="7" spans="1:14">
      <c r="A7">
        <v>-3.9119999999999999</v>
      </c>
      <c r="B7">
        <f t="shared" si="2"/>
        <v>-3.9630000000000001</v>
      </c>
      <c r="C7">
        <f t="shared" si="2"/>
        <v>-3.9630000000000001</v>
      </c>
      <c r="D7">
        <f t="shared" si="2"/>
        <v>0</v>
      </c>
      <c r="E7" s="27">
        <v>4.0999999999999996</v>
      </c>
      <c r="F7">
        <f t="shared" si="4"/>
        <v>1.8460000000000001</v>
      </c>
      <c r="G7">
        <f t="shared" si="4"/>
        <v>1.8480000000000001</v>
      </c>
      <c r="H7">
        <f t="shared" si="4"/>
        <v>1.859</v>
      </c>
      <c r="I7">
        <f t="shared" si="4"/>
        <v>0</v>
      </c>
      <c r="K7">
        <v>9.9309999999999992</v>
      </c>
      <c r="L7">
        <f t="shared" si="3"/>
        <v>9.94</v>
      </c>
      <c r="M7">
        <f t="shared" si="3"/>
        <v>0</v>
      </c>
      <c r="N7">
        <f t="shared" si="3"/>
        <v>43.753</v>
      </c>
    </row>
    <row r="8" spans="1:14">
      <c r="A8">
        <v>4.0339999999999998</v>
      </c>
      <c r="B8">
        <f t="shared" si="2"/>
        <v>3.9780000000000002</v>
      </c>
      <c r="C8">
        <f t="shared" si="2"/>
        <v>4.024</v>
      </c>
      <c r="D8">
        <f t="shared" si="2"/>
        <v>0</v>
      </c>
      <c r="E8" s="27">
        <v>4.2</v>
      </c>
      <c r="F8">
        <f t="shared" si="4"/>
        <v>1.8240000000000001</v>
      </c>
      <c r="G8">
        <f t="shared" si="4"/>
        <v>1.819</v>
      </c>
      <c r="H8">
        <f t="shared" si="4"/>
        <v>1.8220000000000001</v>
      </c>
      <c r="I8">
        <f t="shared" si="4"/>
        <v>0</v>
      </c>
      <c r="K8">
        <v>5.0129999999999999</v>
      </c>
      <c r="L8">
        <f t="shared" si="3"/>
        <v>5.0739999999999998</v>
      </c>
      <c r="M8">
        <f t="shared" si="3"/>
        <v>0</v>
      </c>
      <c r="N8">
        <f t="shared" si="3"/>
        <v>0.65100000000000002</v>
      </c>
    </row>
    <row r="9" spans="1:14">
      <c r="A9">
        <v>0.223</v>
      </c>
      <c r="B9">
        <f t="shared" si="2"/>
        <v>0.215</v>
      </c>
      <c r="C9">
        <f t="shared" si="2"/>
        <v>0.219</v>
      </c>
      <c r="D9">
        <f t="shared" si="2"/>
        <v>0</v>
      </c>
      <c r="E9" s="27">
        <v>5.0999999999999996</v>
      </c>
      <c r="F9">
        <f t="shared" ref="F9:I10" si="5">A9</f>
        <v>0.223</v>
      </c>
      <c r="G9">
        <f t="shared" si="5"/>
        <v>0.215</v>
      </c>
      <c r="H9">
        <f t="shared" si="5"/>
        <v>0.219</v>
      </c>
      <c r="I9">
        <f t="shared" si="5"/>
        <v>0</v>
      </c>
      <c r="K9">
        <v>0.49199999999999999</v>
      </c>
      <c r="L9">
        <f t="shared" si="3"/>
        <v>0.53200000000000003</v>
      </c>
      <c r="M9">
        <f t="shared" si="3"/>
        <v>0</v>
      </c>
      <c r="N9">
        <f t="shared" si="3"/>
        <v>0.52</v>
      </c>
    </row>
    <row r="10" spans="1:14">
      <c r="A10">
        <v>0.25900000000000001</v>
      </c>
      <c r="B10">
        <f t="shared" si="2"/>
        <v>0.26700000000000002</v>
      </c>
      <c r="C10">
        <f t="shared" si="2"/>
        <v>0.36099999999999999</v>
      </c>
      <c r="D10">
        <f t="shared" si="2"/>
        <v>0</v>
      </c>
      <c r="E10" s="27">
        <v>5.2</v>
      </c>
      <c r="F10">
        <f t="shared" si="5"/>
        <v>0.25900000000000001</v>
      </c>
      <c r="G10">
        <f t="shared" si="5"/>
        <v>0.26700000000000002</v>
      </c>
      <c r="H10">
        <f t="shared" si="5"/>
        <v>0.36099999999999999</v>
      </c>
      <c r="I10">
        <f t="shared" si="5"/>
        <v>0</v>
      </c>
      <c r="K10">
        <v>0.61599999999999999</v>
      </c>
      <c r="L10">
        <f t="shared" si="3"/>
        <v>0.63300000000000001</v>
      </c>
      <c r="M10">
        <f t="shared" si="3"/>
        <v>0</v>
      </c>
      <c r="N10">
        <f t="shared" si="3"/>
        <v>9.9920000000000009</v>
      </c>
    </row>
    <row r="11" spans="1:14">
      <c r="A11">
        <v>90.134</v>
      </c>
      <c r="B11">
        <f t="shared" si="2"/>
        <v>90.088999999999999</v>
      </c>
      <c r="C11">
        <f t="shared" si="2"/>
        <v>90.091999999999999</v>
      </c>
      <c r="D11">
        <f t="shared" si="2"/>
        <v>0</v>
      </c>
      <c r="E11" s="27">
        <v>6</v>
      </c>
      <c r="F11">
        <f>K3</f>
        <v>5.1470000000000002</v>
      </c>
      <c r="G11">
        <f t="shared" ref="G11:I11" si="6">L3</f>
        <v>5.0129999999999999</v>
      </c>
      <c r="H11">
        <f t="shared" si="6"/>
        <v>5.0739999999999998</v>
      </c>
      <c r="I11">
        <f t="shared" si="6"/>
        <v>0</v>
      </c>
      <c r="K11">
        <v>45.884</v>
      </c>
      <c r="L11">
        <f t="shared" si="3"/>
        <v>0</v>
      </c>
      <c r="M11">
        <f t="shared" si="3"/>
        <v>4.8120000000000003</v>
      </c>
      <c r="N11">
        <f t="shared" si="3"/>
        <v>4.8840000000000003</v>
      </c>
    </row>
    <row r="12" spans="1:14">
      <c r="A12">
        <v>0.217</v>
      </c>
      <c r="B12">
        <f t="shared" si="2"/>
        <v>0.13800000000000001</v>
      </c>
      <c r="C12">
        <f t="shared" si="2"/>
        <v>1.2E-2</v>
      </c>
      <c r="D12">
        <f t="shared" si="2"/>
        <v>0</v>
      </c>
      <c r="E12" s="27">
        <v>7.1</v>
      </c>
      <c r="F12">
        <f>K5</f>
        <v>0.622</v>
      </c>
      <c r="G12">
        <f t="shared" ref="G12:I12" si="7">L5</f>
        <v>0.61599999999999999</v>
      </c>
      <c r="H12">
        <f t="shared" si="7"/>
        <v>0.63300000000000001</v>
      </c>
      <c r="I12">
        <f t="shared" si="7"/>
        <v>0</v>
      </c>
      <c r="K12">
        <v>9.94</v>
      </c>
      <c r="L12">
        <f t="shared" si="3"/>
        <v>0</v>
      </c>
      <c r="M12">
        <f t="shared" si="3"/>
        <v>43.753</v>
      </c>
      <c r="N12">
        <f t="shared" si="3"/>
        <v>44.008000000000003</v>
      </c>
    </row>
    <row r="13" spans="1:14">
      <c r="A13">
        <v>-2.5430000000000001</v>
      </c>
      <c r="B13">
        <f t="shared" si="2"/>
        <v>-2.512</v>
      </c>
      <c r="C13">
        <f t="shared" si="2"/>
        <v>0</v>
      </c>
      <c r="D13">
        <f t="shared" si="2"/>
        <v>0</v>
      </c>
      <c r="E13" s="27">
        <v>7.2</v>
      </c>
      <c r="F13">
        <f>K23</f>
        <v>0.65100000000000002</v>
      </c>
      <c r="G13">
        <f t="shared" ref="G13:I13" si="8">L23</f>
        <v>0.67700000000000005</v>
      </c>
      <c r="H13">
        <f t="shared" si="8"/>
        <v>0.63900000000000001</v>
      </c>
      <c r="I13">
        <f t="shared" si="8"/>
        <v>0</v>
      </c>
      <c r="K13">
        <v>5.0739999999999998</v>
      </c>
      <c r="L13">
        <f t="shared" si="3"/>
        <v>0</v>
      </c>
      <c r="M13">
        <f t="shared" si="3"/>
        <v>0.65100000000000002</v>
      </c>
      <c r="N13">
        <f t="shared" si="3"/>
        <v>0.67700000000000005</v>
      </c>
    </row>
    <row r="14" spans="1:14">
      <c r="A14">
        <v>2.52</v>
      </c>
      <c r="B14">
        <f t="shared" si="2"/>
        <v>2.556</v>
      </c>
      <c r="C14">
        <f t="shared" si="2"/>
        <v>0</v>
      </c>
      <c r="D14">
        <f t="shared" si="2"/>
        <v>0</v>
      </c>
      <c r="E14" s="27">
        <v>8.1</v>
      </c>
      <c r="F14">
        <f>K1</f>
        <v>46.372999999999998</v>
      </c>
      <c r="G14">
        <f t="shared" ref="G14:I14" si="9">L1</f>
        <v>45.73</v>
      </c>
      <c r="H14">
        <f t="shared" si="9"/>
        <v>45.884</v>
      </c>
      <c r="I14">
        <f t="shared" si="9"/>
        <v>0</v>
      </c>
      <c r="K14">
        <v>0.53200000000000003</v>
      </c>
      <c r="L14">
        <f t="shared" si="3"/>
        <v>0</v>
      </c>
      <c r="M14">
        <f t="shared" si="3"/>
        <v>0.52</v>
      </c>
      <c r="N14">
        <f t="shared" si="3"/>
        <v>0.56599999999999995</v>
      </c>
    </row>
    <row r="15" spans="1:14">
      <c r="A15">
        <v>-5.8570000000000002</v>
      </c>
      <c r="B15">
        <f t="shared" si="2"/>
        <v>-5.8540000000000001</v>
      </c>
      <c r="C15">
        <f t="shared" si="2"/>
        <v>0</v>
      </c>
      <c r="D15">
        <f t="shared" si="2"/>
        <v>0</v>
      </c>
      <c r="E15" s="27">
        <v>8.1999999999999993</v>
      </c>
      <c r="F15">
        <f>K22</f>
        <v>43.753</v>
      </c>
      <c r="G15">
        <f t="shared" ref="G15:I15" si="10">L22</f>
        <v>44.008000000000003</v>
      </c>
      <c r="H15">
        <f t="shared" si="10"/>
        <v>43.845999999999997</v>
      </c>
      <c r="I15">
        <f t="shared" si="10"/>
        <v>0</v>
      </c>
      <c r="K15">
        <v>0.63300000000000001</v>
      </c>
      <c r="L15">
        <f t="shared" si="3"/>
        <v>0</v>
      </c>
      <c r="M15">
        <f t="shared" si="3"/>
        <v>9.9920000000000009</v>
      </c>
      <c r="N15">
        <f t="shared" si="3"/>
        <v>10.005000000000001</v>
      </c>
    </row>
    <row r="16" spans="1:14">
      <c r="A16">
        <v>5.8719999999999999</v>
      </c>
      <c r="B16">
        <f t="shared" si="2"/>
        <v>5.891</v>
      </c>
      <c r="C16">
        <f t="shared" si="2"/>
        <v>0</v>
      </c>
      <c r="D16">
        <f t="shared" si="2"/>
        <v>0</v>
      </c>
      <c r="E16" s="27">
        <v>9</v>
      </c>
      <c r="F16">
        <f>K4</f>
        <v>0.51200000000000001</v>
      </c>
      <c r="G16">
        <f t="shared" ref="G16:I16" si="11">L4</f>
        <v>0.49199999999999999</v>
      </c>
      <c r="H16">
        <f t="shared" si="11"/>
        <v>0.53200000000000003</v>
      </c>
      <c r="I16">
        <f t="shared" si="11"/>
        <v>0</v>
      </c>
      <c r="L16">
        <f t="shared" si="3"/>
        <v>4.8120000000000003</v>
      </c>
      <c r="M16">
        <f t="shared" si="3"/>
        <v>4.8840000000000003</v>
      </c>
      <c r="N16">
        <f t="shared" si="3"/>
        <v>4.9089999999999998</v>
      </c>
    </row>
    <row r="17" spans="1:14">
      <c r="A17">
        <v>1.8480000000000001</v>
      </c>
      <c r="B17">
        <f t="shared" si="2"/>
        <v>1.859</v>
      </c>
      <c r="C17">
        <f t="shared" si="2"/>
        <v>0</v>
      </c>
      <c r="D17">
        <f t="shared" si="2"/>
        <v>0</v>
      </c>
      <c r="E17" s="27">
        <v>10</v>
      </c>
      <c r="F17">
        <f>K2</f>
        <v>9.9269999999999996</v>
      </c>
      <c r="G17">
        <f t="shared" ref="G17:I17" si="12">L2</f>
        <v>9.9309999999999992</v>
      </c>
      <c r="H17">
        <f t="shared" si="12"/>
        <v>9.94</v>
      </c>
      <c r="I17">
        <f t="shared" si="12"/>
        <v>0</v>
      </c>
      <c r="L17">
        <f t="shared" si="3"/>
        <v>43.753</v>
      </c>
      <c r="M17">
        <f t="shared" si="3"/>
        <v>44.008000000000003</v>
      </c>
      <c r="N17">
        <f t="shared" si="3"/>
        <v>43.845999999999997</v>
      </c>
    </row>
    <row r="18" spans="1:14">
      <c r="A18">
        <v>1.819</v>
      </c>
      <c r="B18">
        <f t="shared" si="2"/>
        <v>1.8220000000000001</v>
      </c>
      <c r="C18">
        <f t="shared" si="2"/>
        <v>0</v>
      </c>
      <c r="D18">
        <f t="shared" si="2"/>
        <v>0</v>
      </c>
      <c r="F18">
        <f t="shared" ref="F18:I19" si="13">A11</f>
        <v>90.134</v>
      </c>
      <c r="G18">
        <f t="shared" si="13"/>
        <v>90.088999999999999</v>
      </c>
      <c r="H18">
        <f t="shared" si="13"/>
        <v>90.091999999999999</v>
      </c>
      <c r="I18">
        <f t="shared" si="13"/>
        <v>0</v>
      </c>
      <c r="L18">
        <f t="shared" si="3"/>
        <v>0.65100000000000002</v>
      </c>
      <c r="M18">
        <f t="shared" si="3"/>
        <v>0.67700000000000005</v>
      </c>
      <c r="N18">
        <f t="shared" si="3"/>
        <v>0.63900000000000001</v>
      </c>
    </row>
    <row r="19" spans="1:14">
      <c r="A19">
        <v>-3.9630000000000001</v>
      </c>
      <c r="B19">
        <f t="shared" si="2"/>
        <v>-3.9630000000000001</v>
      </c>
      <c r="C19">
        <f t="shared" si="2"/>
        <v>0</v>
      </c>
      <c r="D19">
        <f t="shared" si="2"/>
        <v>0</v>
      </c>
      <c r="F19">
        <f t="shared" si="13"/>
        <v>0.217</v>
      </c>
      <c r="G19">
        <f t="shared" si="13"/>
        <v>0.13800000000000001</v>
      </c>
      <c r="H19">
        <f t="shared" si="13"/>
        <v>1.2E-2</v>
      </c>
      <c r="I19">
        <f t="shared" si="13"/>
        <v>0</v>
      </c>
      <c r="L19">
        <f t="shared" si="3"/>
        <v>0.52</v>
      </c>
      <c r="M19">
        <f t="shared" si="3"/>
        <v>0.56599999999999995</v>
      </c>
      <c r="N19">
        <f t="shared" si="3"/>
        <v>0.54500000000000004</v>
      </c>
    </row>
    <row r="20" spans="1:14">
      <c r="A20">
        <v>3.9780000000000002</v>
      </c>
      <c r="B20">
        <f t="shared" si="2"/>
        <v>4.024</v>
      </c>
      <c r="C20">
        <f t="shared" si="2"/>
        <v>0</v>
      </c>
      <c r="D20">
        <f t="shared" si="2"/>
        <v>0</v>
      </c>
      <c r="L20">
        <f t="shared" si="3"/>
        <v>9.9920000000000009</v>
      </c>
      <c r="M20">
        <f t="shared" si="3"/>
        <v>10.005000000000001</v>
      </c>
      <c r="N20">
        <f t="shared" si="3"/>
        <v>10.012</v>
      </c>
    </row>
    <row r="21" spans="1:14">
      <c r="A21">
        <v>0.215</v>
      </c>
      <c r="B21">
        <f t="shared" si="2"/>
        <v>0.219</v>
      </c>
      <c r="C21">
        <f t="shared" si="2"/>
        <v>0</v>
      </c>
      <c r="D21">
        <f t="shared" si="2"/>
        <v>0</v>
      </c>
      <c r="J21">
        <v>6</v>
      </c>
      <c r="K21" s="46">
        <v>4.8120000000000003</v>
      </c>
      <c r="L21" s="46">
        <f>K26</f>
        <v>4.8840000000000003</v>
      </c>
      <c r="M21" s="46">
        <f t="shared" ref="M21:N21" si="14">L26</f>
        <v>4.9089999999999998</v>
      </c>
      <c r="N21" s="46">
        <f t="shared" si="14"/>
        <v>0</v>
      </c>
    </row>
    <row r="22" spans="1:14">
      <c r="A22">
        <v>0.26700000000000002</v>
      </c>
      <c r="B22">
        <f t="shared" si="2"/>
        <v>0.36099999999999999</v>
      </c>
      <c r="C22">
        <f t="shared" si="2"/>
        <v>0</v>
      </c>
      <c r="D22">
        <f t="shared" si="2"/>
        <v>0</v>
      </c>
      <c r="J22">
        <v>8.1999999999999993</v>
      </c>
      <c r="K22">
        <v>43.753</v>
      </c>
      <c r="L22">
        <f>K27</f>
        <v>44.008000000000003</v>
      </c>
      <c r="M22">
        <f t="shared" ref="M22:N22" si="15">L27</f>
        <v>43.845999999999997</v>
      </c>
      <c r="N22">
        <f t="shared" si="15"/>
        <v>0</v>
      </c>
    </row>
    <row r="23" spans="1:14">
      <c r="A23">
        <v>90.088999999999999</v>
      </c>
      <c r="B23">
        <f t="shared" si="2"/>
        <v>90.091999999999999</v>
      </c>
      <c r="C23">
        <f t="shared" si="2"/>
        <v>0</v>
      </c>
      <c r="D23">
        <f t="shared" si="2"/>
        <v>0</v>
      </c>
      <c r="J23">
        <v>7.2</v>
      </c>
      <c r="K23">
        <v>0.65100000000000002</v>
      </c>
      <c r="L23">
        <f t="shared" ref="L23:N40" si="16">K28</f>
        <v>0.67700000000000005</v>
      </c>
      <c r="M23">
        <f t="shared" si="16"/>
        <v>0.63900000000000001</v>
      </c>
      <c r="N23">
        <f t="shared" si="16"/>
        <v>0</v>
      </c>
    </row>
    <row r="24" spans="1:14">
      <c r="A24">
        <v>0.13800000000000001</v>
      </c>
      <c r="B24">
        <f t="shared" si="2"/>
        <v>1.2E-2</v>
      </c>
      <c r="C24">
        <f t="shared" si="2"/>
        <v>0</v>
      </c>
      <c r="D24">
        <f t="shared" si="2"/>
        <v>0</v>
      </c>
      <c r="J24">
        <v>9</v>
      </c>
      <c r="K24">
        <v>0.52</v>
      </c>
      <c r="L24">
        <f t="shared" si="16"/>
        <v>0.56599999999999995</v>
      </c>
      <c r="M24">
        <f t="shared" si="16"/>
        <v>0.54500000000000004</v>
      </c>
      <c r="N24">
        <f t="shared" si="16"/>
        <v>0</v>
      </c>
    </row>
    <row r="25" spans="1:14">
      <c r="A25">
        <v>-2.512</v>
      </c>
      <c r="B25">
        <f t="shared" si="2"/>
        <v>0</v>
      </c>
      <c r="C25">
        <f t="shared" si="2"/>
        <v>0</v>
      </c>
      <c r="D25">
        <f t="shared" si="2"/>
        <v>0</v>
      </c>
      <c r="J25">
        <v>10</v>
      </c>
      <c r="K25">
        <v>9.9920000000000009</v>
      </c>
      <c r="L25">
        <f t="shared" si="16"/>
        <v>10.005000000000001</v>
      </c>
      <c r="M25">
        <f t="shared" si="16"/>
        <v>10.012</v>
      </c>
      <c r="N25">
        <f t="shared" si="16"/>
        <v>0</v>
      </c>
    </row>
    <row r="26" spans="1:14">
      <c r="A26">
        <v>2.556</v>
      </c>
      <c r="B26">
        <f t="shared" si="2"/>
        <v>0</v>
      </c>
      <c r="C26">
        <f t="shared" si="2"/>
        <v>0</v>
      </c>
      <c r="D26">
        <f t="shared" si="2"/>
        <v>0</v>
      </c>
      <c r="K26">
        <v>4.8840000000000003</v>
      </c>
      <c r="L26">
        <f t="shared" si="16"/>
        <v>4.9089999999999998</v>
      </c>
      <c r="M26">
        <f t="shared" si="16"/>
        <v>0</v>
      </c>
      <c r="N26">
        <f t="shared" si="16"/>
        <v>0</v>
      </c>
    </row>
    <row r="27" spans="1:14">
      <c r="A27">
        <v>-5.8540000000000001</v>
      </c>
      <c r="B27">
        <f t="shared" si="2"/>
        <v>0</v>
      </c>
      <c r="C27">
        <f t="shared" si="2"/>
        <v>0</v>
      </c>
      <c r="D27">
        <f t="shared" si="2"/>
        <v>0</v>
      </c>
      <c r="K27">
        <v>44.008000000000003</v>
      </c>
      <c r="L27">
        <f t="shared" si="16"/>
        <v>43.845999999999997</v>
      </c>
      <c r="M27">
        <f t="shared" si="16"/>
        <v>0</v>
      </c>
      <c r="N27">
        <f t="shared" si="16"/>
        <v>0</v>
      </c>
    </row>
    <row r="28" spans="1:14">
      <c r="A28">
        <v>5.891</v>
      </c>
      <c r="B28">
        <f t="shared" si="2"/>
        <v>0</v>
      </c>
      <c r="C28">
        <f t="shared" si="2"/>
        <v>0</v>
      </c>
      <c r="D28">
        <f t="shared" si="2"/>
        <v>0</v>
      </c>
      <c r="K28">
        <v>0.67700000000000005</v>
      </c>
      <c r="L28">
        <f t="shared" si="16"/>
        <v>0.63900000000000001</v>
      </c>
      <c r="M28">
        <f t="shared" si="16"/>
        <v>0</v>
      </c>
      <c r="N28">
        <f t="shared" si="16"/>
        <v>0</v>
      </c>
    </row>
    <row r="29" spans="1:14">
      <c r="A29">
        <v>1.859</v>
      </c>
      <c r="B29">
        <f t="shared" si="2"/>
        <v>0</v>
      </c>
      <c r="C29">
        <f t="shared" si="2"/>
        <v>0</v>
      </c>
      <c r="D29">
        <f t="shared" si="2"/>
        <v>0</v>
      </c>
      <c r="K29">
        <v>0.56599999999999995</v>
      </c>
      <c r="L29">
        <f t="shared" si="16"/>
        <v>0.54500000000000004</v>
      </c>
      <c r="M29">
        <f t="shared" si="16"/>
        <v>0</v>
      </c>
      <c r="N29">
        <f t="shared" si="16"/>
        <v>0</v>
      </c>
    </row>
    <row r="30" spans="1:14">
      <c r="A30">
        <v>1.8220000000000001</v>
      </c>
      <c r="B30">
        <f t="shared" si="2"/>
        <v>0</v>
      </c>
      <c r="C30">
        <f t="shared" si="2"/>
        <v>0</v>
      </c>
      <c r="D30">
        <f t="shared" si="2"/>
        <v>0</v>
      </c>
      <c r="K30">
        <v>10.005000000000001</v>
      </c>
      <c r="L30">
        <f t="shared" si="16"/>
        <v>10.012</v>
      </c>
      <c r="M30">
        <f t="shared" si="16"/>
        <v>0</v>
      </c>
      <c r="N30">
        <f t="shared" si="16"/>
        <v>0</v>
      </c>
    </row>
    <row r="31" spans="1:14">
      <c r="A31">
        <v>-3.9630000000000001</v>
      </c>
      <c r="B31">
        <f t="shared" si="2"/>
        <v>0</v>
      </c>
      <c r="C31">
        <f t="shared" si="2"/>
        <v>0</v>
      </c>
      <c r="D31">
        <f t="shared" si="2"/>
        <v>0</v>
      </c>
      <c r="K31">
        <v>4.9089999999999998</v>
      </c>
      <c r="L31">
        <f t="shared" si="16"/>
        <v>0</v>
      </c>
      <c r="M31">
        <f t="shared" si="16"/>
        <v>0</v>
      </c>
      <c r="N31">
        <f t="shared" si="16"/>
        <v>0</v>
      </c>
    </row>
    <row r="32" spans="1:14">
      <c r="A32">
        <v>4.024</v>
      </c>
      <c r="B32">
        <f t="shared" si="2"/>
        <v>0</v>
      </c>
      <c r="C32">
        <f t="shared" si="2"/>
        <v>0</v>
      </c>
      <c r="D32">
        <f t="shared" si="2"/>
        <v>0</v>
      </c>
      <c r="K32">
        <v>43.845999999999997</v>
      </c>
      <c r="L32">
        <f t="shared" si="16"/>
        <v>0</v>
      </c>
      <c r="M32">
        <f t="shared" si="16"/>
        <v>0</v>
      </c>
      <c r="N32">
        <f t="shared" si="16"/>
        <v>0</v>
      </c>
    </row>
    <row r="33" spans="1:14">
      <c r="A33">
        <v>0.219</v>
      </c>
      <c r="B33">
        <f t="shared" si="2"/>
        <v>0</v>
      </c>
      <c r="C33">
        <f t="shared" si="2"/>
        <v>0</v>
      </c>
      <c r="D33">
        <f t="shared" si="2"/>
        <v>0</v>
      </c>
      <c r="K33">
        <v>0.63900000000000001</v>
      </c>
      <c r="L33">
        <f t="shared" si="16"/>
        <v>0</v>
      </c>
      <c r="M33">
        <f t="shared" si="16"/>
        <v>0</v>
      </c>
      <c r="N33">
        <f t="shared" si="16"/>
        <v>0</v>
      </c>
    </row>
    <row r="34" spans="1:14">
      <c r="A34">
        <v>0.36099999999999999</v>
      </c>
      <c r="B34">
        <f t="shared" si="2"/>
        <v>0</v>
      </c>
      <c r="C34">
        <f t="shared" si="2"/>
        <v>0</v>
      </c>
      <c r="D34">
        <f t="shared" si="2"/>
        <v>0</v>
      </c>
      <c r="K34">
        <v>0.54500000000000004</v>
      </c>
      <c r="L34">
        <f t="shared" si="16"/>
        <v>0</v>
      </c>
      <c r="M34">
        <f t="shared" si="16"/>
        <v>0</v>
      </c>
      <c r="N34">
        <f t="shared" si="16"/>
        <v>0</v>
      </c>
    </row>
    <row r="35" spans="1:14">
      <c r="A35">
        <v>90.091999999999999</v>
      </c>
      <c r="B35">
        <f t="shared" si="2"/>
        <v>0</v>
      </c>
      <c r="C35">
        <f t="shared" si="2"/>
        <v>0</v>
      </c>
      <c r="D35">
        <f t="shared" si="2"/>
        <v>0</v>
      </c>
      <c r="K35">
        <v>10.012</v>
      </c>
      <c r="L35">
        <f t="shared" si="16"/>
        <v>0</v>
      </c>
      <c r="M35">
        <f t="shared" si="16"/>
        <v>0</v>
      </c>
      <c r="N35">
        <f t="shared" si="16"/>
        <v>0</v>
      </c>
    </row>
    <row r="36" spans="1:14">
      <c r="A36">
        <v>1.2E-2</v>
      </c>
      <c r="B36">
        <f t="shared" si="2"/>
        <v>0</v>
      </c>
      <c r="C36">
        <f t="shared" si="2"/>
        <v>0</v>
      </c>
      <c r="D36">
        <f t="shared" si="2"/>
        <v>0</v>
      </c>
      <c r="L36">
        <f t="shared" si="16"/>
        <v>0</v>
      </c>
      <c r="M36">
        <f t="shared" si="16"/>
        <v>0</v>
      </c>
      <c r="N36">
        <f t="shared" si="16"/>
        <v>0</v>
      </c>
    </row>
    <row r="37" spans="1:14">
      <c r="B37">
        <f t="shared" si="2"/>
        <v>0</v>
      </c>
      <c r="C37">
        <f t="shared" si="2"/>
        <v>0</v>
      </c>
      <c r="D37">
        <f t="shared" si="2"/>
        <v>0</v>
      </c>
      <c r="L37">
        <f t="shared" si="16"/>
        <v>0</v>
      </c>
      <c r="M37">
        <f t="shared" si="16"/>
        <v>0</v>
      </c>
      <c r="N37">
        <f t="shared" si="16"/>
        <v>0</v>
      </c>
    </row>
    <row r="38" spans="1:14">
      <c r="B38">
        <f t="shared" si="2"/>
        <v>0</v>
      </c>
      <c r="C38">
        <f t="shared" si="2"/>
        <v>0</v>
      </c>
      <c r="D38">
        <f t="shared" si="2"/>
        <v>0</v>
      </c>
      <c r="L38">
        <f t="shared" si="16"/>
        <v>0</v>
      </c>
      <c r="M38">
        <f t="shared" si="16"/>
        <v>0</v>
      </c>
      <c r="N38">
        <f t="shared" si="16"/>
        <v>0</v>
      </c>
    </row>
    <row r="39" spans="1:14">
      <c r="B39">
        <f t="shared" si="2"/>
        <v>0</v>
      </c>
      <c r="C39">
        <f t="shared" si="2"/>
        <v>0</v>
      </c>
      <c r="D39">
        <f t="shared" si="2"/>
        <v>0</v>
      </c>
      <c r="L39">
        <f t="shared" si="16"/>
        <v>0</v>
      </c>
      <c r="M39">
        <f t="shared" si="16"/>
        <v>0</v>
      </c>
      <c r="N39">
        <f t="shared" si="16"/>
        <v>0</v>
      </c>
    </row>
    <row r="40" spans="1:14">
      <c r="B40">
        <f t="shared" si="2"/>
        <v>0</v>
      </c>
      <c r="C40">
        <f t="shared" si="2"/>
        <v>0</v>
      </c>
      <c r="D40">
        <f t="shared" si="2"/>
        <v>0</v>
      </c>
      <c r="L40">
        <f t="shared" si="16"/>
        <v>0</v>
      </c>
      <c r="M40">
        <f t="shared" si="16"/>
        <v>0</v>
      </c>
      <c r="N40">
        <f t="shared" si="16"/>
        <v>0</v>
      </c>
    </row>
    <row r="41" spans="1:14">
      <c r="B41">
        <f t="shared" si="2"/>
        <v>0</v>
      </c>
      <c r="C41">
        <f t="shared" si="2"/>
        <v>0</v>
      </c>
      <c r="D41">
        <f t="shared" si="2"/>
        <v>0</v>
      </c>
    </row>
    <row r="42" spans="1:14">
      <c r="B42">
        <f t="shared" si="2"/>
        <v>0</v>
      </c>
      <c r="C42">
        <f t="shared" si="2"/>
        <v>0</v>
      </c>
      <c r="D42">
        <f t="shared" si="2"/>
        <v>0</v>
      </c>
    </row>
    <row r="43" spans="1:14">
      <c r="B43">
        <f t="shared" si="2"/>
        <v>0</v>
      </c>
      <c r="C43">
        <f t="shared" si="2"/>
        <v>0</v>
      </c>
      <c r="D43">
        <f t="shared" si="2"/>
        <v>0</v>
      </c>
    </row>
    <row r="44" spans="1:14">
      <c r="B44">
        <f t="shared" si="2"/>
        <v>0</v>
      </c>
      <c r="C44">
        <f t="shared" si="2"/>
        <v>0</v>
      </c>
      <c r="D44">
        <f t="shared" si="2"/>
        <v>0</v>
      </c>
    </row>
    <row r="45" spans="1:14">
      <c r="B45">
        <f t="shared" si="2"/>
        <v>0</v>
      </c>
      <c r="C45">
        <f t="shared" si="2"/>
        <v>0</v>
      </c>
      <c r="D45">
        <f t="shared" si="2"/>
        <v>0</v>
      </c>
    </row>
    <row r="46" spans="1:14">
      <c r="B46">
        <f t="shared" si="2"/>
        <v>0</v>
      </c>
      <c r="C46">
        <f t="shared" si="2"/>
        <v>0</v>
      </c>
      <c r="D46">
        <f t="shared" si="2"/>
        <v>0</v>
      </c>
    </row>
    <row r="47" spans="1:14">
      <c r="B47">
        <f t="shared" si="2"/>
        <v>0</v>
      </c>
      <c r="C47">
        <f t="shared" si="2"/>
        <v>0</v>
      </c>
      <c r="D47">
        <f t="shared" si="2"/>
        <v>0</v>
      </c>
    </row>
    <row r="48" spans="1:14">
      <c r="B48">
        <f t="shared" si="2"/>
        <v>0</v>
      </c>
      <c r="C48">
        <f t="shared" si="2"/>
        <v>0</v>
      </c>
      <c r="D48">
        <f t="shared" si="2"/>
        <v>0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G229"/>
  <sheetViews>
    <sheetView showGridLines="0" topLeftCell="Q1" workbookViewId="0">
      <selection activeCell="AE6" sqref="AE1:AG6"/>
    </sheetView>
  </sheetViews>
  <sheetFormatPr defaultColWidth="9" defaultRowHeight="15" customHeight="1"/>
  <cols>
    <col min="1" max="1" width="11.59765625" style="49" bestFit="1" customWidth="1"/>
    <col min="2" max="7" width="9" style="50"/>
    <col min="8" max="8" width="6.5" style="50" customWidth="1"/>
    <col min="9" max="9" width="10.5" style="50" bestFit="1" customWidth="1"/>
    <col min="10" max="10" width="10.5" style="51" bestFit="1" customWidth="1"/>
    <col min="11" max="15" width="9" style="51"/>
    <col min="16" max="16" width="8.69921875"/>
    <col min="17" max="17" width="6.8984375" style="49" bestFit="1" customWidth="1"/>
    <col min="18" max="18" width="9" style="50"/>
    <col min="19" max="19" width="9.5" style="51" bestFit="1" customWidth="1"/>
    <col min="20" max="20" width="9" style="50"/>
    <col min="21" max="21" width="5.5" style="50" customWidth="1"/>
    <col min="22" max="24" width="7.59765625" style="51" customWidth="1"/>
    <col min="25" max="16384" width="9" style="51"/>
  </cols>
  <sheetData>
    <row r="1" spans="1:33" ht="15" customHeight="1">
      <c r="B1" s="50" t="s">
        <v>294</v>
      </c>
      <c r="C1" s="50" t="s">
        <v>295</v>
      </c>
      <c r="D1" s="50" t="s">
        <v>296</v>
      </c>
      <c r="E1" s="50" t="s">
        <v>347</v>
      </c>
      <c r="F1" s="50" t="s">
        <v>348</v>
      </c>
      <c r="G1" s="50" t="s">
        <v>349</v>
      </c>
      <c r="J1" s="50" t="s">
        <v>294</v>
      </c>
      <c r="K1" s="50" t="s">
        <v>295</v>
      </c>
      <c r="L1" s="50" t="s">
        <v>296</v>
      </c>
      <c r="M1" s="50" t="s">
        <v>347</v>
      </c>
      <c r="N1" s="50" t="s">
        <v>348</v>
      </c>
      <c r="O1" s="50" t="s">
        <v>349</v>
      </c>
      <c r="R1" s="50" t="s">
        <v>294</v>
      </c>
      <c r="S1" s="50" t="s">
        <v>295</v>
      </c>
      <c r="T1" s="50" t="s">
        <v>296</v>
      </c>
      <c r="V1" s="50" t="s">
        <v>294</v>
      </c>
      <c r="W1" s="50" t="s">
        <v>295</v>
      </c>
      <c r="X1" s="50" t="s">
        <v>296</v>
      </c>
      <c r="AA1" s="64">
        <v>0.25600000000000001</v>
      </c>
      <c r="AB1" s="64">
        <v>0.27500000000000002</v>
      </c>
      <c r="AC1" s="64">
        <v>0.26300000000000001</v>
      </c>
      <c r="AE1" s="51">
        <f ca="1">ROUND(AA1+RAND()*0.01-0.002,3)</f>
        <v>0.25600000000000001</v>
      </c>
      <c r="AF1" s="51">
        <f t="shared" ref="AF1:AG8" ca="1" si="0">ROUND(AB1+RAND()*0.01-0.002,3)</f>
        <v>0.27400000000000002</v>
      </c>
      <c r="AG1" s="51">
        <f t="shared" ca="1" si="0"/>
        <v>0.26300000000000001</v>
      </c>
    </row>
    <row r="2" spans="1:33" ht="15" customHeight="1">
      <c r="A2" s="49" t="s">
        <v>361</v>
      </c>
      <c r="B2" s="50">
        <v>1</v>
      </c>
      <c r="C2" s="50">
        <v>1</v>
      </c>
      <c r="E2" s="50">
        <v>1</v>
      </c>
      <c r="F2" s="50">
        <v>1</v>
      </c>
      <c r="I2" s="52" t="s">
        <v>297</v>
      </c>
      <c r="J2" s="55">
        <v>6.6699999999999995E-2</v>
      </c>
      <c r="K2" s="56">
        <v>5.2999999999999999E-2</v>
      </c>
      <c r="L2" s="56"/>
      <c r="M2" s="56">
        <v>6.4100000000000004E-2</v>
      </c>
      <c r="N2" s="56">
        <v>5.2400000000000002E-2</v>
      </c>
      <c r="O2" s="57"/>
      <c r="Q2" s="27">
        <v>1.1000000000000001</v>
      </c>
      <c r="R2" s="50">
        <f>B46</f>
        <v>44.776000000000003</v>
      </c>
      <c r="S2" s="50">
        <f t="shared" ref="S2:T2" si="1">C46</f>
        <v>44.768999999999998</v>
      </c>
      <c r="T2" s="50">
        <f t="shared" si="1"/>
        <v>0</v>
      </c>
      <c r="U2" s="27">
        <v>1.1000000000000001</v>
      </c>
      <c r="V2" s="50">
        <f t="shared" ref="V2:X4" si="2">E46</f>
        <v>44.768999999999998</v>
      </c>
      <c r="W2" s="50">
        <f t="shared" si="2"/>
        <v>44.762999999999998</v>
      </c>
      <c r="X2" s="50">
        <f t="shared" si="2"/>
        <v>0</v>
      </c>
      <c r="Y2" s="50"/>
      <c r="AA2" s="64">
        <v>0.23300000000000001</v>
      </c>
      <c r="AB2" s="64">
        <v>0.26</v>
      </c>
      <c r="AC2" s="64">
        <v>0.223</v>
      </c>
      <c r="AE2" s="51">
        <f t="shared" ref="AE2:AE8" ca="1" si="3">ROUND(AA2+RAND()*0.01-0.002,3)</f>
        <v>0.23300000000000001</v>
      </c>
      <c r="AF2" s="51">
        <f t="shared" ca="1" si="0"/>
        <v>0.26100000000000001</v>
      </c>
      <c r="AG2" s="51">
        <f t="shared" ca="1" si="0"/>
        <v>0.223</v>
      </c>
    </row>
    <row r="3" spans="1:33" ht="15" customHeight="1">
      <c r="A3" s="49" t="s">
        <v>362</v>
      </c>
      <c r="B3" s="50">
        <v>1.01</v>
      </c>
      <c r="C3" s="50">
        <v>1.0089999999999999</v>
      </c>
      <c r="E3" s="50">
        <v>1.01</v>
      </c>
      <c r="F3" s="50">
        <v>1.0109999999999999</v>
      </c>
      <c r="I3" s="52" t="s">
        <v>298</v>
      </c>
      <c r="J3" s="58">
        <v>46.027000000000001</v>
      </c>
      <c r="K3" s="59">
        <v>46.010100000000001</v>
      </c>
      <c r="L3" s="59"/>
      <c r="M3" s="59">
        <v>46.041200000000003</v>
      </c>
      <c r="N3" s="59">
        <v>46.022199999999998</v>
      </c>
      <c r="O3" s="60"/>
      <c r="Q3" s="27">
        <v>1.2</v>
      </c>
      <c r="R3" s="50">
        <f>B47</f>
        <v>44.771999999999998</v>
      </c>
      <c r="S3" s="50">
        <f t="shared" ref="S3:T3" si="4">C47</f>
        <v>44.761000000000003</v>
      </c>
      <c r="T3" s="50">
        <f t="shared" si="4"/>
        <v>0</v>
      </c>
      <c r="U3" s="27">
        <v>1.2</v>
      </c>
      <c r="V3" s="50">
        <f t="shared" si="2"/>
        <v>44.756</v>
      </c>
      <c r="W3" s="50">
        <f t="shared" si="2"/>
        <v>44.75</v>
      </c>
      <c r="X3" s="50">
        <f t="shared" si="2"/>
        <v>0</v>
      </c>
      <c r="Y3" s="50"/>
      <c r="AA3" s="64">
        <v>0.246</v>
      </c>
      <c r="AB3" s="64">
        <v>0.24299999999999999</v>
      </c>
      <c r="AC3" s="64">
        <v>0.25</v>
      </c>
      <c r="AE3" s="51">
        <f t="shared" ca="1" si="3"/>
        <v>0.245</v>
      </c>
      <c r="AF3" s="51">
        <f t="shared" ca="1" si="0"/>
        <v>0.24299999999999999</v>
      </c>
      <c r="AG3" s="51">
        <f t="shared" ca="1" si="0"/>
        <v>0.255</v>
      </c>
    </row>
    <row r="4" spans="1:33" ht="15" customHeight="1">
      <c r="A4" s="49" t="s">
        <v>214</v>
      </c>
      <c r="B4" s="50">
        <v>2.9620000000000002</v>
      </c>
      <c r="C4" s="50">
        <v>2.9609999999999999</v>
      </c>
      <c r="E4" s="50">
        <v>2.99</v>
      </c>
      <c r="F4" s="50">
        <v>2.9860000000000002</v>
      </c>
      <c r="I4" s="52" t="s">
        <v>299</v>
      </c>
      <c r="J4" s="58">
        <v>46.010800000000003</v>
      </c>
      <c r="K4" s="59">
        <v>45.993099999999998</v>
      </c>
      <c r="L4" s="59"/>
      <c r="M4" s="59">
        <v>46.033499999999997</v>
      </c>
      <c r="N4" s="59">
        <v>46.016300000000001</v>
      </c>
      <c r="O4" s="60"/>
      <c r="Q4" s="27">
        <v>1.3</v>
      </c>
      <c r="R4" s="50">
        <f>B48</f>
        <v>44.774999999999999</v>
      </c>
      <c r="S4" s="50">
        <f t="shared" ref="S4:T4" si="5">C48</f>
        <v>44.768999999999998</v>
      </c>
      <c r="T4" s="50">
        <f t="shared" si="5"/>
        <v>0</v>
      </c>
      <c r="U4" s="27">
        <v>1.3</v>
      </c>
      <c r="V4" s="50">
        <f t="shared" si="2"/>
        <v>44.759</v>
      </c>
      <c r="W4" s="50">
        <f t="shared" si="2"/>
        <v>44.755000000000003</v>
      </c>
      <c r="X4" s="50">
        <f t="shared" si="2"/>
        <v>0</v>
      </c>
      <c r="Y4" s="50"/>
      <c r="AA4" s="64">
        <v>0.24099999999999999</v>
      </c>
      <c r="AB4" s="64">
        <v>0.23200000000000001</v>
      </c>
      <c r="AC4" s="64">
        <v>0.26300000000000001</v>
      </c>
      <c r="AE4" s="51">
        <f t="shared" ca="1" si="3"/>
        <v>0.24</v>
      </c>
      <c r="AF4" s="51">
        <f t="shared" ca="1" si="0"/>
        <v>0.23300000000000001</v>
      </c>
      <c r="AG4" s="51">
        <f t="shared" ca="1" si="0"/>
        <v>0.26900000000000002</v>
      </c>
    </row>
    <row r="5" spans="1:33" ht="15" customHeight="1">
      <c r="A5" s="49" t="s">
        <v>215</v>
      </c>
      <c r="B5" s="50">
        <v>2.9750000000000001</v>
      </c>
      <c r="C5" s="50">
        <v>2.9750000000000001</v>
      </c>
      <c r="E5" s="50">
        <v>2.9620000000000002</v>
      </c>
      <c r="F5" s="50">
        <v>2.9609999999999999</v>
      </c>
      <c r="I5" s="52" t="s">
        <v>300</v>
      </c>
      <c r="J5" s="58">
        <v>45.993400000000001</v>
      </c>
      <c r="K5" s="59">
        <v>45.986800000000002</v>
      </c>
      <c r="L5" s="59"/>
      <c r="M5" s="59">
        <v>46.0184</v>
      </c>
      <c r="N5" s="59">
        <v>46.007599999999996</v>
      </c>
      <c r="O5" s="60"/>
      <c r="Q5" s="27">
        <v>2.1</v>
      </c>
      <c r="R5" s="50">
        <f>B44</f>
        <v>42.204999999999998</v>
      </c>
      <c r="S5" s="50">
        <f t="shared" ref="S5:T5" si="6">C44</f>
        <v>42.2</v>
      </c>
      <c r="T5" s="50">
        <f t="shared" si="6"/>
        <v>0</v>
      </c>
      <c r="U5" s="27">
        <v>2.1</v>
      </c>
      <c r="V5" s="50">
        <f t="shared" ref="V5:X6" si="7">E44</f>
        <v>42.215000000000003</v>
      </c>
      <c r="W5" s="50">
        <f t="shared" si="7"/>
        <v>42.201999999999998</v>
      </c>
      <c r="X5" s="50">
        <f t="shared" si="7"/>
        <v>0</v>
      </c>
      <c r="Y5" s="50"/>
      <c r="AA5" s="64">
        <v>0.23499999999999999</v>
      </c>
      <c r="AB5" s="64">
        <v>0.245</v>
      </c>
      <c r="AC5" s="64">
        <v>0.23599999999999999</v>
      </c>
      <c r="AE5" s="51">
        <f t="shared" ca="1" si="3"/>
        <v>0.24299999999999999</v>
      </c>
      <c r="AF5" s="51">
        <f t="shared" ca="1" si="0"/>
        <v>0.249</v>
      </c>
      <c r="AG5" s="51">
        <f t="shared" ca="1" si="0"/>
        <v>0.23899999999999999</v>
      </c>
    </row>
    <row r="6" spans="1:33" ht="15" customHeight="1">
      <c r="A6" s="49" t="s">
        <v>216</v>
      </c>
      <c r="B6" s="50">
        <v>9.9979999999999993</v>
      </c>
      <c r="C6" s="50">
        <v>9.9969999999999999</v>
      </c>
      <c r="E6" s="50">
        <v>10.016</v>
      </c>
      <c r="F6" s="50">
        <v>10.016999999999999</v>
      </c>
      <c r="I6" s="52" t="s">
        <v>301</v>
      </c>
      <c r="J6" s="58">
        <v>43.436900000000001</v>
      </c>
      <c r="K6" s="59">
        <v>43.452300000000001</v>
      </c>
      <c r="L6" s="59"/>
      <c r="M6" s="59">
        <v>43.450800000000001</v>
      </c>
      <c r="N6" s="59">
        <v>43.454000000000001</v>
      </c>
      <c r="O6" s="60"/>
      <c r="Q6" s="27">
        <v>2.2000000000000002</v>
      </c>
      <c r="R6" s="50">
        <f>B45</f>
        <v>42.204999999999998</v>
      </c>
      <c r="S6" s="50">
        <f t="shared" ref="S6:T6" si="8">C45</f>
        <v>42.198999999999998</v>
      </c>
      <c r="T6" s="50">
        <f t="shared" si="8"/>
        <v>0</v>
      </c>
      <c r="U6" s="27">
        <v>2.2000000000000002</v>
      </c>
      <c r="V6" s="50">
        <f t="shared" si="7"/>
        <v>42.207000000000001</v>
      </c>
      <c r="W6" s="50">
        <f t="shared" si="7"/>
        <v>42.198999999999998</v>
      </c>
      <c r="X6" s="50">
        <f t="shared" si="7"/>
        <v>0</v>
      </c>
      <c r="Y6" s="50"/>
      <c r="AA6" s="64">
        <v>0.246</v>
      </c>
      <c r="AB6" s="64">
        <v>0.23499999999999999</v>
      </c>
      <c r="AC6" s="64">
        <v>0.24099999999999999</v>
      </c>
      <c r="AE6" s="51">
        <f t="shared" ca="1" si="3"/>
        <v>0.246</v>
      </c>
      <c r="AF6" s="51">
        <f t="shared" ca="1" si="0"/>
        <v>0.24099999999999999</v>
      </c>
      <c r="AG6" s="51">
        <f t="shared" ca="1" si="0"/>
        <v>0.24399999999999999</v>
      </c>
    </row>
    <row r="7" spans="1:33" ht="15" customHeight="1">
      <c r="A7" s="49" t="s">
        <v>217</v>
      </c>
      <c r="B7" s="50">
        <v>10.016999999999999</v>
      </c>
      <c r="C7" s="50">
        <v>10.015000000000001</v>
      </c>
      <c r="E7" s="50">
        <v>9.9819999999999993</v>
      </c>
      <c r="F7" s="50">
        <v>9.9819999999999993</v>
      </c>
      <c r="I7" s="52" t="s">
        <v>302</v>
      </c>
      <c r="J7" s="58">
        <v>43.423000000000002</v>
      </c>
      <c r="K7" s="59">
        <v>43.427100000000003</v>
      </c>
      <c r="L7" s="59"/>
      <c r="M7" s="59">
        <v>43.470500000000001</v>
      </c>
      <c r="N7" s="59">
        <v>43.463099999999997</v>
      </c>
      <c r="O7" s="60"/>
      <c r="Q7" s="27">
        <v>3.3</v>
      </c>
      <c r="R7" s="50">
        <f>B14</f>
        <v>0.55500000000000005</v>
      </c>
      <c r="S7" s="50">
        <f t="shared" ref="S7:T7" si="9">C14</f>
        <v>0.55300000000000005</v>
      </c>
      <c r="T7" s="50">
        <f t="shared" si="9"/>
        <v>0</v>
      </c>
      <c r="U7" s="27">
        <v>3.3</v>
      </c>
      <c r="V7" s="50">
        <f>E14</f>
        <v>0.55300000000000005</v>
      </c>
      <c r="W7" s="50">
        <f>F14</f>
        <v>0.55800000000000005</v>
      </c>
      <c r="X7" s="50">
        <f>G14</f>
        <v>0</v>
      </c>
      <c r="Y7" s="50"/>
      <c r="AA7" s="64">
        <v>16.541</v>
      </c>
      <c r="AB7" s="64">
        <v>15.204000000000001</v>
      </c>
      <c r="AC7" s="64">
        <v>19.727</v>
      </c>
      <c r="AE7" s="51">
        <f t="shared" ca="1" si="3"/>
        <v>16.548999999999999</v>
      </c>
      <c r="AF7" s="51">
        <f t="shared" ca="1" si="0"/>
        <v>15.206</v>
      </c>
      <c r="AG7" s="51">
        <f t="shared" ca="1" si="0"/>
        <v>19.728999999999999</v>
      </c>
    </row>
    <row r="8" spans="1:33" ht="15" customHeight="1">
      <c r="A8" s="49" t="s">
        <v>381</v>
      </c>
      <c r="B8" s="50">
        <v>0.55900000000000005</v>
      </c>
      <c r="C8" s="50">
        <v>0.55800000000000005</v>
      </c>
      <c r="E8" s="50">
        <v>0.55400000000000005</v>
      </c>
      <c r="F8" s="50">
        <v>0.55100000000000005</v>
      </c>
      <c r="I8" s="52" t="s">
        <v>350</v>
      </c>
      <c r="J8" s="58">
        <v>8.1453000000000007</v>
      </c>
      <c r="K8" s="59">
        <v>8.1562000000000001</v>
      </c>
      <c r="L8" s="59"/>
      <c r="M8" s="59">
        <v>8.1288</v>
      </c>
      <c r="N8" s="59">
        <v>8.1418999999999997</v>
      </c>
      <c r="O8" s="60"/>
      <c r="Q8" s="27">
        <v>3.4</v>
      </c>
      <c r="R8" s="50">
        <f>B20</f>
        <v>0.54900000000000004</v>
      </c>
      <c r="S8" s="50">
        <f t="shared" ref="S8:T8" si="10">C20</f>
        <v>0.54800000000000004</v>
      </c>
      <c r="T8" s="50">
        <f t="shared" si="10"/>
        <v>0</v>
      </c>
      <c r="U8" s="27">
        <v>3.4</v>
      </c>
      <c r="V8" s="50">
        <f>E20</f>
        <v>0.55300000000000005</v>
      </c>
      <c r="W8" s="50">
        <f>F20</f>
        <v>0.55200000000000005</v>
      </c>
      <c r="X8" s="50">
        <f>G20</f>
        <v>0</v>
      </c>
      <c r="Y8" s="50"/>
      <c r="AA8" s="64">
        <v>19.492000000000001</v>
      </c>
      <c r="AB8" s="64">
        <v>11.224</v>
      </c>
      <c r="AC8" s="64">
        <v>18.509</v>
      </c>
      <c r="AE8" s="51">
        <f t="shared" ca="1" si="3"/>
        <v>19.494</v>
      </c>
      <c r="AF8" s="51">
        <f t="shared" ca="1" si="0"/>
        <v>11.23</v>
      </c>
      <c r="AG8" s="51">
        <f t="shared" ca="1" si="0"/>
        <v>18.515000000000001</v>
      </c>
    </row>
    <row r="9" spans="1:33" ht="15" customHeight="1">
      <c r="A9" s="49" t="s">
        <v>382</v>
      </c>
      <c r="B9" s="50">
        <v>0.97099999999999997</v>
      </c>
      <c r="C9" s="50">
        <v>0.97</v>
      </c>
      <c r="E9" s="50">
        <v>0.96699999999999997</v>
      </c>
      <c r="F9" s="50">
        <v>0.96699999999999997</v>
      </c>
      <c r="I9" s="52" t="s">
        <v>351</v>
      </c>
      <c r="J9" s="58">
        <v>4.2839999999999998</v>
      </c>
      <c r="K9" s="59">
        <v>4.2823000000000002</v>
      </c>
      <c r="L9" s="59"/>
      <c r="M9" s="59">
        <v>4.2834000000000003</v>
      </c>
      <c r="N9" s="59">
        <v>4.2805999999999997</v>
      </c>
      <c r="O9" s="60"/>
      <c r="Q9" s="27">
        <v>3.5</v>
      </c>
      <c r="R9" s="50">
        <f>B26</f>
        <v>0.55700000000000005</v>
      </c>
      <c r="S9" s="50">
        <f t="shared" ref="S9:T9" si="11">C26</f>
        <v>0.55600000000000005</v>
      </c>
      <c r="T9" s="50">
        <f t="shared" si="11"/>
        <v>0</v>
      </c>
      <c r="U9" s="27">
        <v>3.5</v>
      </c>
      <c r="V9" s="50">
        <f>E26</f>
        <v>0.56100000000000005</v>
      </c>
      <c r="W9" s="50">
        <f>F26</f>
        <v>0.55900000000000005</v>
      </c>
      <c r="X9" s="50">
        <f>G26</f>
        <v>0</v>
      </c>
      <c r="Y9" s="50"/>
      <c r="AA9" s="64">
        <v>16.852</v>
      </c>
      <c r="AB9" s="64">
        <v>19.082999999999998</v>
      </c>
      <c r="AC9" s="64">
        <v>11.679</v>
      </c>
      <c r="AE9" s="51">
        <f ca="1">ROUND(AA9+RAND()*0.01-0.002,3)</f>
        <v>16.853000000000002</v>
      </c>
      <c r="AF9" s="51">
        <f t="shared" ref="AF9:AF12" ca="1" si="12">ROUND(AB9+RAND()*0.01-0.002,3)</f>
        <v>19.088000000000001</v>
      </c>
      <c r="AG9" s="51">
        <f t="shared" ref="AG9:AG12" ca="1" si="13">ROUND(AC9+RAND()*0.01-0.002,3)</f>
        <v>11.683999999999999</v>
      </c>
    </row>
    <row r="10" spans="1:33" ht="15" customHeight="1">
      <c r="A10" s="49" t="s">
        <v>379</v>
      </c>
      <c r="B10" s="50">
        <v>0.25900000000000001</v>
      </c>
      <c r="C10" s="50">
        <v>0.25600000000000001</v>
      </c>
      <c r="E10" s="50">
        <v>0.27600000000000002</v>
      </c>
      <c r="F10" s="50">
        <v>0.27900000000000003</v>
      </c>
      <c r="I10" s="52" t="s">
        <v>352</v>
      </c>
      <c r="J10" s="58">
        <v>4.2884000000000002</v>
      </c>
      <c r="K10" s="59">
        <v>4.2854999999999999</v>
      </c>
      <c r="L10" s="59"/>
      <c r="M10" s="59">
        <v>4.2864000000000004</v>
      </c>
      <c r="N10" s="59">
        <v>4.2854000000000001</v>
      </c>
      <c r="O10" s="60"/>
      <c r="Q10" s="27" t="s">
        <v>59</v>
      </c>
      <c r="R10" s="50">
        <f>B32</f>
        <v>0.56000000000000005</v>
      </c>
      <c r="S10" s="50">
        <f t="shared" ref="S10:T10" si="14">C32</f>
        <v>0.55800000000000005</v>
      </c>
      <c r="T10" s="50">
        <f t="shared" si="14"/>
        <v>0</v>
      </c>
      <c r="U10" s="27" t="s">
        <v>59</v>
      </c>
      <c r="V10" s="50">
        <f>E32</f>
        <v>0.55400000000000005</v>
      </c>
      <c r="W10" s="50">
        <f>F32</f>
        <v>0.55400000000000005</v>
      </c>
      <c r="X10" s="50">
        <f>G32</f>
        <v>0</v>
      </c>
      <c r="Y10" s="50"/>
      <c r="AA10" s="64">
        <v>19.390999999999998</v>
      </c>
      <c r="AB10" s="64">
        <v>11.801</v>
      </c>
      <c r="AC10" s="64">
        <v>18.87</v>
      </c>
      <c r="AE10" s="51">
        <f t="shared" ref="AE10:AE12" ca="1" si="15">ROUND(AA10+RAND()*0.01-0.002,3)</f>
        <v>19.393999999999998</v>
      </c>
      <c r="AF10" s="51">
        <f t="shared" ca="1" si="12"/>
        <v>11.805</v>
      </c>
      <c r="AG10" s="51">
        <f t="shared" ca="1" si="13"/>
        <v>18.876000000000001</v>
      </c>
    </row>
    <row r="11" spans="1:33" ht="15" customHeight="1">
      <c r="A11" s="49" t="s">
        <v>380</v>
      </c>
      <c r="B11" s="50">
        <v>0.26500000000000001</v>
      </c>
      <c r="C11" s="50">
        <v>0.26400000000000001</v>
      </c>
      <c r="E11" s="50">
        <v>0.27</v>
      </c>
      <c r="F11" s="50">
        <v>0.26800000000000002</v>
      </c>
      <c r="I11" s="52" t="s">
        <v>353</v>
      </c>
      <c r="J11" s="58">
        <v>29.217500000000001</v>
      </c>
      <c r="K11" s="59">
        <v>29.215599999999998</v>
      </c>
      <c r="L11" s="59"/>
      <c r="M11" s="59">
        <v>29.218800000000002</v>
      </c>
      <c r="N11" s="59">
        <v>29.212199999999999</v>
      </c>
      <c r="O11" s="60"/>
      <c r="Q11" s="27">
        <v>3.11</v>
      </c>
      <c r="R11" s="50">
        <f>B38</f>
        <v>0.55700000000000005</v>
      </c>
      <c r="S11" s="50">
        <f t="shared" ref="S11:T11" si="16">C38</f>
        <v>0.55900000000000005</v>
      </c>
      <c r="T11" s="50">
        <f t="shared" si="16"/>
        <v>0</v>
      </c>
      <c r="U11" s="27">
        <v>3.11</v>
      </c>
      <c r="V11" s="50">
        <f>E38</f>
        <v>0.55600000000000005</v>
      </c>
      <c r="W11" s="50">
        <f>F38</f>
        <v>0.55300000000000005</v>
      </c>
      <c r="X11" s="50">
        <f>G38</f>
        <v>0</v>
      </c>
      <c r="Y11" s="50"/>
      <c r="AA11" s="64">
        <v>15.827</v>
      </c>
      <c r="AB11" s="64">
        <v>18.768000000000001</v>
      </c>
      <c r="AC11" s="64">
        <v>16.04</v>
      </c>
      <c r="AE11" s="51">
        <f t="shared" ca="1" si="15"/>
        <v>15.829000000000001</v>
      </c>
      <c r="AF11" s="51">
        <f t="shared" ca="1" si="12"/>
        <v>18.771999999999998</v>
      </c>
      <c r="AG11" s="51">
        <f t="shared" ca="1" si="13"/>
        <v>16.045999999999999</v>
      </c>
    </row>
    <row r="12" spans="1:33" ht="15" customHeight="1">
      <c r="A12" s="49" t="s">
        <v>383</v>
      </c>
      <c r="B12" s="50">
        <v>0.68200000000000005</v>
      </c>
      <c r="C12" s="50">
        <v>0.68600000000000005</v>
      </c>
      <c r="E12" s="50">
        <v>0.69099999999999995</v>
      </c>
      <c r="F12" s="50">
        <v>0.69399999999999995</v>
      </c>
      <c r="I12" s="52" t="s">
        <v>354</v>
      </c>
      <c r="J12" s="58">
        <v>29.155999999999999</v>
      </c>
      <c r="K12" s="59">
        <v>29.15</v>
      </c>
      <c r="L12" s="59"/>
      <c r="M12" s="59">
        <v>29.1813</v>
      </c>
      <c r="N12" s="59">
        <v>29.1693</v>
      </c>
      <c r="O12" s="60"/>
      <c r="Q12" s="27">
        <v>3.12</v>
      </c>
      <c r="R12" s="50">
        <f>B8</f>
        <v>0.55900000000000005</v>
      </c>
      <c r="S12" s="50">
        <f t="shared" ref="S12:T12" si="17">C8</f>
        <v>0.55800000000000005</v>
      </c>
      <c r="T12" s="50">
        <f t="shared" si="17"/>
        <v>0</v>
      </c>
      <c r="U12" s="27">
        <v>3.12</v>
      </c>
      <c r="V12" s="50">
        <f>E8</f>
        <v>0.55400000000000005</v>
      </c>
      <c r="W12" s="50">
        <f>F8</f>
        <v>0.55100000000000005</v>
      </c>
      <c r="X12" s="50">
        <f>G8</f>
        <v>0</v>
      </c>
      <c r="Y12" s="50"/>
      <c r="AA12" s="64">
        <v>11.292</v>
      </c>
      <c r="AB12" s="64">
        <v>15.807</v>
      </c>
      <c r="AC12" s="64">
        <v>17.745999999999999</v>
      </c>
      <c r="AE12" s="51">
        <f t="shared" ca="1" si="15"/>
        <v>11.298999999999999</v>
      </c>
      <c r="AF12" s="51">
        <f t="shared" ca="1" si="12"/>
        <v>15.808</v>
      </c>
      <c r="AG12" s="51">
        <f t="shared" ca="1" si="13"/>
        <v>17.744</v>
      </c>
    </row>
    <row r="13" spans="1:33" ht="15" customHeight="1">
      <c r="A13" s="49" t="s">
        <v>384</v>
      </c>
      <c r="B13" s="50">
        <v>0.54700000000000004</v>
      </c>
      <c r="C13" s="50">
        <v>0.54700000000000004</v>
      </c>
      <c r="E13" s="50">
        <v>0.53500000000000003</v>
      </c>
      <c r="F13" s="50">
        <v>0.53500000000000003</v>
      </c>
      <c r="I13" s="52" t="s">
        <v>355</v>
      </c>
      <c r="J13" s="58">
        <v>15.2408</v>
      </c>
      <c r="K13" s="59">
        <v>15.2395</v>
      </c>
      <c r="L13" s="59"/>
      <c r="M13" s="59">
        <v>15.241899999999999</v>
      </c>
      <c r="N13" s="59">
        <v>15.237399999999999</v>
      </c>
      <c r="O13" s="60"/>
      <c r="Q13" s="27">
        <v>4.3</v>
      </c>
      <c r="R13" s="50">
        <f>B15</f>
        <v>0.97399999999999998</v>
      </c>
      <c r="S13" s="50">
        <f t="shared" ref="S13:T13" si="18">C15</f>
        <v>0.97199999999999998</v>
      </c>
      <c r="T13" s="50">
        <f t="shared" si="18"/>
        <v>0</v>
      </c>
      <c r="U13" s="27">
        <v>4.3</v>
      </c>
      <c r="V13" s="50">
        <f>E15</f>
        <v>0.96399999999999997</v>
      </c>
      <c r="W13" s="50">
        <f>F15</f>
        <v>0.96599999999999997</v>
      </c>
      <c r="X13" s="50">
        <f>G15</f>
        <v>0</v>
      </c>
      <c r="Y13" s="50"/>
      <c r="AA13" s="64"/>
      <c r="AB13" s="64"/>
      <c r="AC13" s="64"/>
    </row>
    <row r="14" spans="1:33" ht="15" customHeight="1">
      <c r="A14" s="49" t="s">
        <v>369</v>
      </c>
      <c r="B14" s="50">
        <v>0.55500000000000005</v>
      </c>
      <c r="C14" s="50">
        <v>0.55300000000000005</v>
      </c>
      <c r="E14" s="50">
        <v>0.55300000000000005</v>
      </c>
      <c r="F14" s="50">
        <v>0.55800000000000005</v>
      </c>
      <c r="I14" s="52" t="s">
        <v>303</v>
      </c>
      <c r="J14" s="58">
        <v>15.173400000000001</v>
      </c>
      <c r="K14" s="59">
        <v>15.174799999999999</v>
      </c>
      <c r="L14" s="59"/>
      <c r="M14" s="59">
        <v>15.1843</v>
      </c>
      <c r="N14" s="59">
        <v>15.1791</v>
      </c>
      <c r="O14" s="60"/>
      <c r="Q14" s="27">
        <v>4.4000000000000004</v>
      </c>
      <c r="R14" s="50">
        <f>B21</f>
        <v>0.97299999999999998</v>
      </c>
      <c r="S14" s="50">
        <f t="shared" ref="S14:T14" si="19">C21</f>
        <v>0.97</v>
      </c>
      <c r="T14" s="50">
        <f t="shared" si="19"/>
        <v>0</v>
      </c>
      <c r="U14" s="27">
        <v>4.4000000000000004</v>
      </c>
      <c r="V14" s="50">
        <f>E21</f>
        <v>0.96799999999999997</v>
      </c>
      <c r="W14" s="50">
        <f>F21</f>
        <v>0.96799999999999997</v>
      </c>
      <c r="X14" s="50">
        <f>G21</f>
        <v>0</v>
      </c>
      <c r="Y14" s="50"/>
    </row>
    <row r="15" spans="1:33" ht="15" customHeight="1">
      <c r="A15" s="49" t="s">
        <v>218</v>
      </c>
      <c r="B15" s="50">
        <v>0.97399999999999998</v>
      </c>
      <c r="C15" s="50">
        <v>0.97199999999999998</v>
      </c>
      <c r="E15" s="50">
        <v>0.96399999999999997</v>
      </c>
      <c r="F15" s="50">
        <v>0.96599999999999997</v>
      </c>
      <c r="I15" s="52" t="s">
        <v>356</v>
      </c>
      <c r="J15" s="58">
        <v>4.8041</v>
      </c>
      <c r="K15" s="59">
        <v>4.8075999999999999</v>
      </c>
      <c r="L15" s="59"/>
      <c r="M15" s="59">
        <v>4.8055000000000003</v>
      </c>
      <c r="N15" s="59">
        <v>4.8028000000000004</v>
      </c>
      <c r="O15" s="60"/>
      <c r="Q15" s="27">
        <v>4.5</v>
      </c>
      <c r="R15" s="50">
        <f>B27</f>
        <v>0.96899999999999997</v>
      </c>
      <c r="S15" s="50">
        <f t="shared" ref="S15:T15" si="20">C27</f>
        <v>0.96699999999999997</v>
      </c>
      <c r="T15" s="50">
        <f t="shared" si="20"/>
        <v>0</v>
      </c>
      <c r="U15" s="27">
        <v>4.5</v>
      </c>
      <c r="V15" s="50">
        <f>E27</f>
        <v>0.96299999999999997</v>
      </c>
      <c r="W15" s="50">
        <f>F27</f>
        <v>0.96099999999999997</v>
      </c>
      <c r="X15" s="50">
        <f>G27</f>
        <v>0</v>
      </c>
      <c r="Y15" s="50"/>
    </row>
    <row r="16" spans="1:33" ht="15" customHeight="1">
      <c r="A16" s="49" t="s">
        <v>370</v>
      </c>
      <c r="B16" s="50">
        <v>0.26600000000000001</v>
      </c>
      <c r="C16" s="50">
        <v>0.26600000000000001</v>
      </c>
      <c r="E16" s="50">
        <v>0.28000000000000003</v>
      </c>
      <c r="F16" s="50">
        <v>0.27500000000000002</v>
      </c>
      <c r="I16" s="52" t="s">
        <v>356</v>
      </c>
      <c r="J16" s="58">
        <v>4.7366000000000001</v>
      </c>
      <c r="K16" s="59">
        <v>4.7335000000000003</v>
      </c>
      <c r="L16" s="59"/>
      <c r="M16" s="59">
        <v>4.7560000000000002</v>
      </c>
      <c r="N16" s="59">
        <v>4.7484999999999999</v>
      </c>
      <c r="O16" s="60"/>
      <c r="Q16" s="48" t="s">
        <v>60</v>
      </c>
      <c r="R16" s="50">
        <f>B33</f>
        <v>0.97099999999999997</v>
      </c>
      <c r="S16" s="50">
        <f t="shared" ref="S16:T16" si="21">C33</f>
        <v>0.97099999999999997</v>
      </c>
      <c r="T16" s="50">
        <f t="shared" si="21"/>
        <v>0</v>
      </c>
      <c r="U16" s="48" t="s">
        <v>60</v>
      </c>
      <c r="V16" s="50">
        <f>E33</f>
        <v>0.96899999999999997</v>
      </c>
      <c r="W16" s="50">
        <f>F33</f>
        <v>0.96799999999999997</v>
      </c>
      <c r="X16" s="50">
        <f>G33</f>
        <v>0</v>
      </c>
      <c r="Y16" s="50"/>
    </row>
    <row r="17" spans="1:25" ht="15" customHeight="1">
      <c r="A17" s="49" t="s">
        <v>371</v>
      </c>
      <c r="B17" s="50">
        <v>0.26400000000000001</v>
      </c>
      <c r="C17" s="50">
        <v>0.26800000000000002</v>
      </c>
      <c r="E17" s="50">
        <v>0.27800000000000002</v>
      </c>
      <c r="F17" s="50">
        <v>0.27400000000000002</v>
      </c>
      <c r="I17" s="52" t="s">
        <v>304</v>
      </c>
      <c r="J17" s="58">
        <v>1.5800000000000002E-2</v>
      </c>
      <c r="K17" s="59">
        <v>2.8400000000000002E-2</v>
      </c>
      <c r="L17" s="59"/>
      <c r="M17" s="59">
        <v>8.0000000000000004E-4</v>
      </c>
      <c r="N17" s="59">
        <v>8.6E-3</v>
      </c>
      <c r="O17" s="60"/>
      <c r="Q17" s="48" t="s">
        <v>61</v>
      </c>
      <c r="R17" s="50">
        <f>B39</f>
        <v>0.97199999999999998</v>
      </c>
      <c r="S17" s="50">
        <f t="shared" ref="S17:T17" si="22">C39</f>
        <v>0.97099999999999997</v>
      </c>
      <c r="T17" s="50">
        <f t="shared" si="22"/>
        <v>0</v>
      </c>
      <c r="U17" s="48" t="s">
        <v>61</v>
      </c>
      <c r="V17" s="50">
        <f>E39</f>
        <v>0.97</v>
      </c>
      <c r="W17" s="50">
        <f>F39</f>
        <v>0.96799999999999997</v>
      </c>
      <c r="X17" s="50">
        <f>G39</f>
        <v>0</v>
      </c>
      <c r="Y17" s="50"/>
    </row>
    <row r="18" spans="1:25" ht="15" customHeight="1">
      <c r="A18" s="49" t="s">
        <v>219</v>
      </c>
      <c r="B18" s="50">
        <v>0.68899999999999995</v>
      </c>
      <c r="C18" s="50">
        <v>0.68600000000000005</v>
      </c>
      <c r="E18" s="50">
        <v>0.67500000000000004</v>
      </c>
      <c r="F18" s="50">
        <v>0.67900000000000005</v>
      </c>
      <c r="I18" s="52" t="s">
        <v>305</v>
      </c>
      <c r="J18" s="58">
        <v>9.9000000000000008E-3</v>
      </c>
      <c r="K18" s="59">
        <v>1.0699999999999999E-2</v>
      </c>
      <c r="L18" s="59"/>
      <c r="M18" s="59">
        <v>5.0700000000000002E-2</v>
      </c>
      <c r="N18" s="59">
        <v>4.7899999999999998E-2</v>
      </c>
      <c r="O18" s="60"/>
      <c r="Q18" s="48" t="s">
        <v>62</v>
      </c>
      <c r="R18" s="50">
        <f>B9</f>
        <v>0.97099999999999997</v>
      </c>
      <c r="S18" s="50">
        <f t="shared" ref="S18:T18" si="23">C9</f>
        <v>0.97</v>
      </c>
      <c r="T18" s="50">
        <f t="shared" si="23"/>
        <v>0</v>
      </c>
      <c r="U18" s="48" t="s">
        <v>62</v>
      </c>
      <c r="V18" s="50">
        <f>E9</f>
        <v>0.96699999999999997</v>
      </c>
      <c r="W18" s="50">
        <f>F9</f>
        <v>0.96699999999999997</v>
      </c>
      <c r="X18" s="50">
        <f>G9</f>
        <v>0</v>
      </c>
      <c r="Y18" s="50"/>
    </row>
    <row r="19" spans="1:25" ht="15" customHeight="1">
      <c r="A19" s="49" t="s">
        <v>220</v>
      </c>
      <c r="B19" s="50">
        <v>0.54500000000000004</v>
      </c>
      <c r="C19" s="50">
        <v>0.54900000000000004</v>
      </c>
      <c r="E19" s="50">
        <v>0.55300000000000005</v>
      </c>
      <c r="F19" s="50">
        <v>0.55200000000000005</v>
      </c>
      <c r="I19" s="52" t="s">
        <v>357</v>
      </c>
      <c r="J19" s="58">
        <v>9.1000000000000004E-3</v>
      </c>
      <c r="K19" s="59">
        <v>2.3699999999999999E-2</v>
      </c>
      <c r="L19" s="59"/>
      <c r="M19" s="59">
        <v>8.6E-3</v>
      </c>
      <c r="N19" s="59">
        <v>1.54E-2</v>
      </c>
      <c r="O19" s="60"/>
      <c r="Q19" s="27" t="s">
        <v>63</v>
      </c>
      <c r="R19" s="50">
        <f>B16</f>
        <v>0.26600000000000001</v>
      </c>
      <c r="S19" s="50">
        <f t="shared" ref="S19:T19" si="24">C16</f>
        <v>0.26600000000000001</v>
      </c>
      <c r="T19" s="50">
        <f t="shared" si="24"/>
        <v>0</v>
      </c>
      <c r="U19" s="27" t="s">
        <v>63</v>
      </c>
      <c r="V19" s="50">
        <f>E16</f>
        <v>0.28000000000000003</v>
      </c>
      <c r="W19" s="50">
        <f>F16</f>
        <v>0.27500000000000002</v>
      </c>
      <c r="X19" s="50">
        <f>G16</f>
        <v>0</v>
      </c>
      <c r="Y19" s="50"/>
    </row>
    <row r="20" spans="1:25" ht="15" customHeight="1">
      <c r="A20" s="49" t="s">
        <v>221</v>
      </c>
      <c r="B20" s="50">
        <v>0.54900000000000004</v>
      </c>
      <c r="C20" s="50">
        <v>0.54800000000000004</v>
      </c>
      <c r="E20" s="50">
        <v>0.55300000000000005</v>
      </c>
      <c r="F20" s="50">
        <v>0.55200000000000005</v>
      </c>
      <c r="I20" s="52" t="s">
        <v>358</v>
      </c>
      <c r="J20" s="58">
        <v>4.0000000000000001E-3</v>
      </c>
      <c r="K20" s="59">
        <v>6.4999999999999997E-3</v>
      </c>
      <c r="L20" s="59"/>
      <c r="M20" s="59">
        <v>4.7500000000000001E-2</v>
      </c>
      <c r="N20" s="59">
        <v>4.7399999999999998E-2</v>
      </c>
      <c r="O20" s="60"/>
      <c r="Q20" s="27" t="s">
        <v>64</v>
      </c>
      <c r="R20" s="50">
        <f>B22</f>
        <v>0.26600000000000001</v>
      </c>
      <c r="S20" s="50">
        <f t="shared" ref="S20:T20" si="25">C22</f>
        <v>0.26400000000000001</v>
      </c>
      <c r="T20" s="50">
        <f t="shared" si="25"/>
        <v>0</v>
      </c>
      <c r="U20" s="27" t="s">
        <v>64</v>
      </c>
      <c r="V20" s="50">
        <f>E22</f>
        <v>0.27800000000000002</v>
      </c>
      <c r="W20" s="50">
        <f>F22</f>
        <v>0.27600000000000002</v>
      </c>
      <c r="X20" s="50">
        <f>G22</f>
        <v>0</v>
      </c>
      <c r="Y20" s="50"/>
    </row>
    <row r="21" spans="1:25" ht="15" customHeight="1">
      <c r="A21" s="49" t="s">
        <v>222</v>
      </c>
      <c r="B21" s="50">
        <v>0.97299999999999998</v>
      </c>
      <c r="C21" s="50">
        <v>0.97</v>
      </c>
      <c r="E21" s="50">
        <v>0.96799999999999997</v>
      </c>
      <c r="F21" s="50">
        <v>0.96799999999999997</v>
      </c>
      <c r="I21" s="52" t="s">
        <v>359</v>
      </c>
      <c r="J21" s="58">
        <v>1.06E-2</v>
      </c>
      <c r="K21" s="59">
        <v>1.9699999999999999E-2</v>
      </c>
      <c r="L21" s="59"/>
      <c r="M21" s="59">
        <v>6.7999999999999996E-3</v>
      </c>
      <c r="N21" s="59">
        <v>1.49E-2</v>
      </c>
      <c r="O21" s="60"/>
      <c r="Q21" s="27" t="s">
        <v>65</v>
      </c>
      <c r="R21" s="50">
        <f>B28</f>
        <v>0.26700000000000002</v>
      </c>
      <c r="S21" s="50">
        <f t="shared" ref="S21:T21" si="26">C28</f>
        <v>0.26400000000000001</v>
      </c>
      <c r="T21" s="50">
        <f t="shared" si="26"/>
        <v>0</v>
      </c>
      <c r="U21" s="27" t="s">
        <v>65</v>
      </c>
      <c r="V21" s="50">
        <f>E28</f>
        <v>0.27700000000000002</v>
      </c>
      <c r="W21" s="50">
        <f>F28</f>
        <v>0.27800000000000002</v>
      </c>
      <c r="X21" s="50">
        <f>G28</f>
        <v>0</v>
      </c>
      <c r="Y21" s="50"/>
    </row>
    <row r="22" spans="1:25" ht="15" customHeight="1">
      <c r="A22" s="49" t="s">
        <v>372</v>
      </c>
      <c r="B22" s="50">
        <v>0.26600000000000001</v>
      </c>
      <c r="C22" s="50">
        <v>0.26400000000000001</v>
      </c>
      <c r="E22" s="50">
        <v>0.27800000000000002</v>
      </c>
      <c r="F22" s="50">
        <v>0.27600000000000002</v>
      </c>
      <c r="I22" s="52" t="s">
        <v>360</v>
      </c>
      <c r="J22" s="61">
        <v>8.9999999999999993E-3</v>
      </c>
      <c r="K22" s="62">
        <v>1.01E-2</v>
      </c>
      <c r="L22" s="62"/>
      <c r="M22" s="62">
        <v>5.2499999999999998E-2</v>
      </c>
      <c r="N22" s="62">
        <v>5.2499999999999998E-2</v>
      </c>
      <c r="O22" s="63"/>
      <c r="Q22" s="27" t="s">
        <v>66</v>
      </c>
      <c r="R22" s="50">
        <f>B34</f>
        <v>0.26700000000000002</v>
      </c>
      <c r="S22" s="50">
        <f t="shared" ref="S22:T22" si="27">C34</f>
        <v>0.26600000000000001</v>
      </c>
      <c r="T22" s="50">
        <f t="shared" si="27"/>
        <v>0</v>
      </c>
      <c r="U22" s="27" t="s">
        <v>66</v>
      </c>
      <c r="V22" s="50">
        <f>E34</f>
        <v>0.27900000000000003</v>
      </c>
      <c r="W22" s="50">
        <f>F34</f>
        <v>0.28000000000000003</v>
      </c>
      <c r="X22" s="50">
        <f>G34</f>
        <v>0</v>
      </c>
      <c r="Y22" s="50"/>
    </row>
    <row r="23" spans="1:25" ht="15" customHeight="1">
      <c r="A23" s="49" t="s">
        <v>373</v>
      </c>
      <c r="B23" s="50">
        <v>0.26100000000000001</v>
      </c>
      <c r="C23" s="50">
        <v>0.26800000000000002</v>
      </c>
      <c r="E23" s="50">
        <v>0.27300000000000002</v>
      </c>
      <c r="F23" s="50">
        <v>0.27</v>
      </c>
      <c r="Q23" s="27" t="s">
        <v>67</v>
      </c>
      <c r="R23" s="50">
        <f>B40</f>
        <v>0.26500000000000001</v>
      </c>
      <c r="S23" s="50">
        <f t="shared" ref="S23:T23" si="28">C40</f>
        <v>0.26500000000000001</v>
      </c>
      <c r="T23" s="50">
        <f t="shared" si="28"/>
        <v>0</v>
      </c>
      <c r="U23" s="27" t="s">
        <v>67</v>
      </c>
      <c r="V23" s="50">
        <f>E40</f>
        <v>0.3</v>
      </c>
      <c r="W23" s="50">
        <f>F40</f>
        <v>0.29699999999999999</v>
      </c>
      <c r="X23" s="50">
        <f>G40</f>
        <v>0</v>
      </c>
      <c r="Y23" s="50"/>
    </row>
    <row r="24" spans="1:25" ht="15" customHeight="1">
      <c r="A24" s="49" t="s">
        <v>223</v>
      </c>
      <c r="B24" s="50">
        <v>0.69099999999999995</v>
      </c>
      <c r="C24" s="50">
        <v>0.69399999999999995</v>
      </c>
      <c r="E24" s="50">
        <v>0.68200000000000005</v>
      </c>
      <c r="F24" s="50">
        <v>0.68100000000000005</v>
      </c>
      <c r="Q24" s="27" t="s">
        <v>68</v>
      </c>
      <c r="R24" s="50">
        <f>B10</f>
        <v>0.25900000000000001</v>
      </c>
      <c r="S24" s="50">
        <f t="shared" ref="S24:T24" si="29">C10</f>
        <v>0.25600000000000001</v>
      </c>
      <c r="T24" s="50">
        <f t="shared" si="29"/>
        <v>0</v>
      </c>
      <c r="U24" s="27" t="s">
        <v>68</v>
      </c>
      <c r="V24" s="50">
        <f>E10</f>
        <v>0.27600000000000002</v>
      </c>
      <c r="W24" s="50">
        <f>F10</f>
        <v>0.27900000000000003</v>
      </c>
      <c r="X24" s="50">
        <f>G10</f>
        <v>0</v>
      </c>
      <c r="Y24" s="50"/>
    </row>
    <row r="25" spans="1:25" ht="15" customHeight="1">
      <c r="A25" s="49" t="s">
        <v>224</v>
      </c>
      <c r="B25" s="50">
        <v>0.55400000000000005</v>
      </c>
      <c r="C25" s="50">
        <v>0.55600000000000005</v>
      </c>
      <c r="E25" s="50">
        <v>0.55300000000000005</v>
      </c>
      <c r="F25" s="50">
        <v>0.55600000000000005</v>
      </c>
      <c r="Q25" s="27" t="s">
        <v>69</v>
      </c>
      <c r="R25" s="50">
        <f>B17</f>
        <v>0.26400000000000001</v>
      </c>
      <c r="S25" s="50">
        <f t="shared" ref="S25:T25" si="30">C17</f>
        <v>0.26800000000000002</v>
      </c>
      <c r="T25" s="50">
        <f t="shared" si="30"/>
        <v>0</v>
      </c>
      <c r="U25" s="27" t="s">
        <v>69</v>
      </c>
      <c r="V25" s="50">
        <f>E17</f>
        <v>0.27800000000000002</v>
      </c>
      <c r="W25" s="50">
        <f>F17</f>
        <v>0.27400000000000002</v>
      </c>
      <c r="X25" s="50">
        <f>G17</f>
        <v>0</v>
      </c>
      <c r="Y25" s="50"/>
    </row>
    <row r="26" spans="1:25" ht="15" customHeight="1">
      <c r="A26" s="49" t="s">
        <v>225</v>
      </c>
      <c r="B26" s="50">
        <v>0.55700000000000005</v>
      </c>
      <c r="C26" s="50">
        <v>0.55600000000000005</v>
      </c>
      <c r="E26" s="50">
        <v>0.56100000000000005</v>
      </c>
      <c r="F26" s="50">
        <v>0.55900000000000005</v>
      </c>
      <c r="Q26" s="27" t="s">
        <v>70</v>
      </c>
      <c r="R26" s="50">
        <f>B23</f>
        <v>0.26100000000000001</v>
      </c>
      <c r="S26" s="50">
        <f t="shared" ref="S26:T26" si="31">C23</f>
        <v>0.26800000000000002</v>
      </c>
      <c r="T26" s="50">
        <f t="shared" si="31"/>
        <v>0</v>
      </c>
      <c r="U26" s="27" t="s">
        <v>70</v>
      </c>
      <c r="V26" s="50">
        <f>E23</f>
        <v>0.27300000000000002</v>
      </c>
      <c r="W26" s="50">
        <f>F23</f>
        <v>0.27</v>
      </c>
      <c r="X26" s="50">
        <f>G23</f>
        <v>0</v>
      </c>
      <c r="Y26" s="50"/>
    </row>
    <row r="27" spans="1:25" ht="15" customHeight="1">
      <c r="A27" s="49" t="s">
        <v>226</v>
      </c>
      <c r="B27" s="50">
        <v>0.96899999999999997</v>
      </c>
      <c r="C27" s="50">
        <v>0.96699999999999997</v>
      </c>
      <c r="E27" s="50">
        <v>0.96299999999999997</v>
      </c>
      <c r="F27" s="50">
        <v>0.96099999999999997</v>
      </c>
      <c r="Q27" s="27" t="s">
        <v>71</v>
      </c>
      <c r="R27" s="50">
        <f>B29</f>
        <v>0.26100000000000001</v>
      </c>
      <c r="S27" s="50">
        <f t="shared" ref="S27:T27" si="32">C29</f>
        <v>0.26800000000000002</v>
      </c>
      <c r="T27" s="50">
        <f t="shared" si="32"/>
        <v>0</v>
      </c>
      <c r="U27" s="27" t="s">
        <v>71</v>
      </c>
      <c r="V27" s="50">
        <f>E29</f>
        <v>0.27400000000000002</v>
      </c>
      <c r="W27" s="50">
        <f>F29</f>
        <v>0.27400000000000002</v>
      </c>
      <c r="X27" s="50">
        <f>G29</f>
        <v>0</v>
      </c>
      <c r="Y27" s="50"/>
    </row>
    <row r="28" spans="1:25" ht="15" customHeight="1">
      <c r="A28" s="49" t="s">
        <v>374</v>
      </c>
      <c r="B28" s="50">
        <v>0.26700000000000002</v>
      </c>
      <c r="C28" s="50">
        <v>0.26400000000000001</v>
      </c>
      <c r="E28" s="50">
        <v>0.27700000000000002</v>
      </c>
      <c r="F28" s="50">
        <v>0.27800000000000002</v>
      </c>
      <c r="Q28" s="27" t="s">
        <v>72</v>
      </c>
      <c r="R28" s="50">
        <f>B35</f>
        <v>0.26100000000000001</v>
      </c>
      <c r="S28" s="50">
        <f t="shared" ref="S28:T28" si="33">C35</f>
        <v>0.25600000000000001</v>
      </c>
      <c r="T28" s="50">
        <f t="shared" si="33"/>
        <v>0</v>
      </c>
      <c r="U28" s="27" t="s">
        <v>72</v>
      </c>
      <c r="V28" s="50">
        <f>E35</f>
        <v>0.26800000000000002</v>
      </c>
      <c r="W28" s="50">
        <f>F35</f>
        <v>0.26900000000000002</v>
      </c>
      <c r="X28" s="50">
        <f>G35</f>
        <v>0</v>
      </c>
      <c r="Y28" s="50"/>
    </row>
    <row r="29" spans="1:25" ht="15" customHeight="1">
      <c r="A29" s="49" t="s">
        <v>375</v>
      </c>
      <c r="B29" s="50">
        <v>0.26100000000000001</v>
      </c>
      <c r="C29" s="50">
        <v>0.26800000000000002</v>
      </c>
      <c r="E29" s="50">
        <v>0.27400000000000002</v>
      </c>
      <c r="F29" s="50">
        <v>0.27400000000000002</v>
      </c>
      <c r="Q29" s="27" t="s">
        <v>73</v>
      </c>
      <c r="R29" s="50">
        <f>B41</f>
        <v>0.26700000000000002</v>
      </c>
      <c r="S29" s="50">
        <f t="shared" ref="S29:T29" si="34">C41</f>
        <v>0.28899999999999998</v>
      </c>
      <c r="T29" s="50">
        <f t="shared" si="34"/>
        <v>0</v>
      </c>
      <c r="U29" s="27" t="s">
        <v>73</v>
      </c>
      <c r="V29" s="50">
        <f>E41</f>
        <v>0.26900000000000002</v>
      </c>
      <c r="W29" s="50">
        <f>F41</f>
        <v>0.26400000000000001</v>
      </c>
      <c r="X29" s="50">
        <f>G41</f>
        <v>0</v>
      </c>
      <c r="Y29" s="50"/>
    </row>
    <row r="30" spans="1:25" ht="15" customHeight="1">
      <c r="A30" s="49" t="s">
        <v>227</v>
      </c>
      <c r="B30" s="50">
        <v>0.69</v>
      </c>
      <c r="C30" s="50">
        <v>0.68600000000000005</v>
      </c>
      <c r="E30" s="50">
        <v>0.68100000000000005</v>
      </c>
      <c r="F30" s="50">
        <v>0.68400000000000005</v>
      </c>
      <c r="Q30" s="27" t="s">
        <v>74</v>
      </c>
      <c r="R30" s="50">
        <f>B11</f>
        <v>0.26500000000000001</v>
      </c>
      <c r="S30" s="50">
        <f t="shared" ref="S30:T30" si="35">C11</f>
        <v>0.26400000000000001</v>
      </c>
      <c r="T30" s="50">
        <f t="shared" si="35"/>
        <v>0</v>
      </c>
      <c r="U30" s="27" t="s">
        <v>74</v>
      </c>
      <c r="V30" s="50">
        <f>E11</f>
        <v>0.27</v>
      </c>
      <c r="W30" s="50">
        <f>F11</f>
        <v>0.26800000000000002</v>
      </c>
      <c r="X30" s="50">
        <f>G11</f>
        <v>0</v>
      </c>
      <c r="Y30" s="50"/>
    </row>
    <row r="31" spans="1:25" ht="15" customHeight="1">
      <c r="A31" s="49" t="s">
        <v>228</v>
      </c>
      <c r="B31" s="50">
        <v>0.55300000000000005</v>
      </c>
      <c r="C31" s="50">
        <v>0.55400000000000005</v>
      </c>
      <c r="E31" s="50">
        <v>0.55500000000000005</v>
      </c>
      <c r="F31" s="50">
        <v>0.55500000000000005</v>
      </c>
      <c r="Q31" s="27" t="s">
        <v>75</v>
      </c>
      <c r="S31" s="50"/>
      <c r="U31" s="27" t="s">
        <v>75</v>
      </c>
      <c r="V31" s="50"/>
      <c r="W31" s="50"/>
      <c r="X31" s="50"/>
      <c r="Y31" s="50"/>
    </row>
    <row r="32" spans="1:25" ht="15" customHeight="1">
      <c r="A32" s="49" t="s">
        <v>376</v>
      </c>
      <c r="B32" s="50">
        <v>0.56000000000000005</v>
      </c>
      <c r="C32" s="50">
        <v>0.55800000000000005</v>
      </c>
      <c r="E32" s="50">
        <v>0.55400000000000005</v>
      </c>
      <c r="F32" s="50">
        <v>0.55400000000000005</v>
      </c>
      <c r="Q32" s="27" t="s">
        <v>76</v>
      </c>
      <c r="S32" s="50"/>
      <c r="U32" s="27" t="s">
        <v>76</v>
      </c>
      <c r="V32" s="50"/>
      <c r="W32" s="50"/>
      <c r="X32" s="50"/>
      <c r="Y32" s="50"/>
    </row>
    <row r="33" spans="1:25" ht="15" customHeight="1">
      <c r="A33" s="49" t="s">
        <v>229</v>
      </c>
      <c r="B33" s="50">
        <v>0.97099999999999997</v>
      </c>
      <c r="C33" s="50">
        <v>0.97099999999999997</v>
      </c>
      <c r="E33" s="50">
        <v>0.96899999999999997</v>
      </c>
      <c r="F33" s="50">
        <v>0.96799999999999997</v>
      </c>
      <c r="Q33" s="27" t="s">
        <v>77</v>
      </c>
      <c r="S33" s="50"/>
      <c r="U33" s="27" t="s">
        <v>77</v>
      </c>
      <c r="V33" s="50"/>
      <c r="W33" s="50"/>
      <c r="X33" s="50"/>
      <c r="Y33" s="50"/>
    </row>
    <row r="34" spans="1:25" ht="15" customHeight="1">
      <c r="A34" s="49" t="s">
        <v>377</v>
      </c>
      <c r="B34" s="50">
        <v>0.26700000000000002</v>
      </c>
      <c r="C34" s="50">
        <v>0.26600000000000001</v>
      </c>
      <c r="E34" s="50">
        <v>0.27900000000000003</v>
      </c>
      <c r="F34" s="50">
        <v>0.28000000000000003</v>
      </c>
      <c r="Q34" s="27" t="s">
        <v>78</v>
      </c>
      <c r="S34" s="50"/>
      <c r="U34" s="27" t="s">
        <v>78</v>
      </c>
      <c r="V34" s="50"/>
      <c r="W34" s="50"/>
      <c r="X34" s="50"/>
      <c r="Y34" s="50"/>
    </row>
    <row r="35" spans="1:25" ht="15" customHeight="1">
      <c r="A35" s="49" t="s">
        <v>378</v>
      </c>
      <c r="B35" s="50">
        <v>0.26100000000000001</v>
      </c>
      <c r="C35" s="50">
        <v>0.25600000000000001</v>
      </c>
      <c r="E35" s="50">
        <v>0.26800000000000002</v>
      </c>
      <c r="F35" s="50">
        <v>0.26900000000000002</v>
      </c>
      <c r="Q35" s="27" t="s">
        <v>79</v>
      </c>
      <c r="S35" s="50"/>
      <c r="U35" s="27" t="s">
        <v>79</v>
      </c>
      <c r="V35" s="50"/>
      <c r="W35" s="50"/>
      <c r="X35" s="50"/>
      <c r="Y35" s="50"/>
    </row>
    <row r="36" spans="1:25" ht="15" customHeight="1">
      <c r="A36" s="49" t="s">
        <v>230</v>
      </c>
      <c r="B36" s="50">
        <v>0.69799999999999995</v>
      </c>
      <c r="C36" s="50">
        <v>0.69599999999999995</v>
      </c>
      <c r="E36" s="50">
        <v>0.69399999999999995</v>
      </c>
      <c r="F36" s="50">
        <v>0.69599999999999995</v>
      </c>
      <c r="Q36" s="27" t="s">
        <v>80</v>
      </c>
      <c r="S36" s="50"/>
      <c r="U36" s="27" t="s">
        <v>80</v>
      </c>
      <c r="V36" s="50"/>
      <c r="W36" s="50"/>
      <c r="X36" s="50"/>
      <c r="Y36" s="50"/>
    </row>
    <row r="37" spans="1:25" ht="15" customHeight="1">
      <c r="A37" s="49" t="s">
        <v>231</v>
      </c>
      <c r="B37" s="50">
        <v>0.55000000000000004</v>
      </c>
      <c r="C37" s="50">
        <v>0.54900000000000004</v>
      </c>
      <c r="E37" s="50">
        <v>0.55300000000000005</v>
      </c>
      <c r="F37" s="50">
        <v>0.54500000000000004</v>
      </c>
      <c r="Q37" s="27" t="s">
        <v>81</v>
      </c>
      <c r="S37" s="50"/>
      <c r="U37" s="27" t="s">
        <v>81</v>
      </c>
      <c r="V37" s="50"/>
      <c r="W37" s="50"/>
      <c r="X37" s="50"/>
      <c r="Y37" s="50"/>
    </row>
    <row r="38" spans="1:25" ht="15" customHeight="1">
      <c r="A38" s="49" t="s">
        <v>363</v>
      </c>
      <c r="B38" s="50">
        <v>0.55700000000000005</v>
      </c>
      <c r="C38" s="50">
        <v>0.55900000000000005</v>
      </c>
      <c r="E38" s="50">
        <v>0.55600000000000005</v>
      </c>
      <c r="F38" s="50">
        <v>0.55300000000000005</v>
      </c>
      <c r="Q38" s="27" t="s">
        <v>82</v>
      </c>
      <c r="S38" s="50"/>
      <c r="U38" s="27" t="s">
        <v>82</v>
      </c>
      <c r="V38" s="50"/>
      <c r="W38" s="50"/>
      <c r="X38" s="50"/>
      <c r="Y38" s="50"/>
    </row>
    <row r="39" spans="1:25" ht="15" customHeight="1">
      <c r="A39" s="49" t="s">
        <v>364</v>
      </c>
      <c r="B39" s="50">
        <v>0.97199999999999998</v>
      </c>
      <c r="C39" s="50">
        <v>0.97099999999999997</v>
      </c>
      <c r="E39" s="50">
        <v>0.97</v>
      </c>
      <c r="F39" s="50">
        <v>0.96799999999999997</v>
      </c>
      <c r="Q39" s="27" t="s">
        <v>83</v>
      </c>
      <c r="S39" s="50"/>
      <c r="U39" s="27" t="s">
        <v>83</v>
      </c>
      <c r="V39" s="50"/>
      <c r="W39" s="50"/>
      <c r="X39" s="50"/>
      <c r="Y39" s="50"/>
    </row>
    <row r="40" spans="1:25" ht="15" customHeight="1">
      <c r="A40" s="49" t="s">
        <v>365</v>
      </c>
      <c r="B40" s="50">
        <v>0.26500000000000001</v>
      </c>
      <c r="C40" s="50">
        <v>0.26500000000000001</v>
      </c>
      <c r="E40" s="50">
        <v>0.3</v>
      </c>
      <c r="F40" s="50">
        <v>0.29699999999999999</v>
      </c>
      <c r="Q40" s="27" t="s">
        <v>84</v>
      </c>
      <c r="S40" s="50"/>
      <c r="U40" s="27" t="s">
        <v>84</v>
      </c>
      <c r="V40" s="50"/>
      <c r="W40" s="50"/>
      <c r="X40" s="50"/>
      <c r="Y40" s="50"/>
    </row>
    <row r="41" spans="1:25" ht="15" customHeight="1">
      <c r="A41" s="49" t="s">
        <v>366</v>
      </c>
      <c r="B41" s="50">
        <v>0.26700000000000002</v>
      </c>
      <c r="C41" s="50">
        <v>0.28899999999999998</v>
      </c>
      <c r="E41" s="50">
        <v>0.26900000000000002</v>
      </c>
      <c r="F41" s="50">
        <v>0.26400000000000001</v>
      </c>
      <c r="Q41" s="27" t="s">
        <v>85</v>
      </c>
      <c r="S41" s="50"/>
      <c r="U41" s="27" t="s">
        <v>85</v>
      </c>
      <c r="V41" s="50"/>
      <c r="W41" s="50"/>
      <c r="X41" s="50"/>
      <c r="Y41" s="50"/>
    </row>
    <row r="42" spans="1:25" ht="15" customHeight="1">
      <c r="A42" s="49" t="s">
        <v>367</v>
      </c>
      <c r="B42" s="50">
        <v>0.69699999999999995</v>
      </c>
      <c r="C42" s="50">
        <v>0.69499999999999995</v>
      </c>
      <c r="E42" s="50">
        <v>0.69499999999999995</v>
      </c>
      <c r="F42" s="50">
        <v>0.7</v>
      </c>
      <c r="Q42" s="27" t="s">
        <v>86</v>
      </c>
      <c r="S42" s="50"/>
      <c r="U42" s="27" t="s">
        <v>86</v>
      </c>
      <c r="V42" s="50"/>
      <c r="W42" s="50"/>
      <c r="X42" s="50"/>
      <c r="Y42" s="50"/>
    </row>
    <row r="43" spans="1:25" ht="15" customHeight="1">
      <c r="A43" s="49" t="s">
        <v>368</v>
      </c>
      <c r="B43" s="50">
        <v>0.54800000000000004</v>
      </c>
      <c r="C43" s="50">
        <v>0.56599999999999995</v>
      </c>
      <c r="E43" s="50">
        <v>0.53600000000000003</v>
      </c>
      <c r="F43" s="50">
        <v>0.56899999999999995</v>
      </c>
      <c r="Q43" s="27" t="s">
        <v>87</v>
      </c>
      <c r="S43" s="50"/>
      <c r="U43" s="27" t="s">
        <v>87</v>
      </c>
      <c r="V43" s="50"/>
      <c r="W43" s="50"/>
      <c r="X43" s="50"/>
      <c r="Y43" s="50"/>
    </row>
    <row r="44" spans="1:25" ht="15" customHeight="1">
      <c r="A44" s="49" t="s">
        <v>232</v>
      </c>
      <c r="B44" s="50">
        <v>42.204999999999998</v>
      </c>
      <c r="C44" s="50">
        <v>42.2</v>
      </c>
      <c r="E44" s="50">
        <v>42.215000000000003</v>
      </c>
      <c r="F44" s="50">
        <v>42.201999999999998</v>
      </c>
      <c r="Q44" s="27" t="s">
        <v>88</v>
      </c>
      <c r="S44" s="50"/>
      <c r="U44" s="27" t="s">
        <v>88</v>
      </c>
      <c r="V44" s="50"/>
      <c r="W44" s="50"/>
      <c r="X44" s="50"/>
      <c r="Y44" s="50"/>
    </row>
    <row r="45" spans="1:25" ht="15" customHeight="1">
      <c r="A45" s="49" t="s">
        <v>233</v>
      </c>
      <c r="B45" s="50">
        <v>42.204999999999998</v>
      </c>
      <c r="C45" s="50">
        <v>42.198999999999998</v>
      </c>
      <c r="E45" s="50">
        <v>42.207000000000001</v>
      </c>
      <c r="F45" s="50">
        <v>42.198999999999998</v>
      </c>
      <c r="Q45" s="27" t="s">
        <v>89</v>
      </c>
      <c r="S45" s="50"/>
      <c r="U45" s="27" t="s">
        <v>89</v>
      </c>
      <c r="V45" s="50"/>
      <c r="W45" s="50"/>
      <c r="X45" s="50"/>
      <c r="Y45" s="50"/>
    </row>
    <row r="46" spans="1:25" ht="15" customHeight="1">
      <c r="A46" s="49" t="s">
        <v>234</v>
      </c>
      <c r="B46" s="50">
        <v>44.776000000000003</v>
      </c>
      <c r="C46" s="50">
        <v>44.768999999999998</v>
      </c>
      <c r="E46" s="50">
        <v>44.768999999999998</v>
      </c>
      <c r="F46" s="50">
        <v>44.762999999999998</v>
      </c>
      <c r="Q46" s="27" t="s">
        <v>90</v>
      </c>
      <c r="S46" s="50"/>
      <c r="U46" s="27" t="s">
        <v>90</v>
      </c>
      <c r="V46" s="50"/>
      <c r="W46" s="50"/>
      <c r="X46" s="50"/>
      <c r="Y46" s="50"/>
    </row>
    <row r="47" spans="1:25" ht="15" customHeight="1">
      <c r="A47" s="49" t="s">
        <v>235</v>
      </c>
      <c r="B47" s="50">
        <v>44.771999999999998</v>
      </c>
      <c r="C47" s="50">
        <v>44.761000000000003</v>
      </c>
      <c r="E47" s="50">
        <v>44.756</v>
      </c>
      <c r="F47" s="50">
        <v>44.75</v>
      </c>
      <c r="Q47" s="27" t="s">
        <v>91</v>
      </c>
      <c r="S47" s="50"/>
      <c r="U47" s="27" t="s">
        <v>91</v>
      </c>
      <c r="V47" s="50"/>
      <c r="W47" s="50"/>
      <c r="X47" s="50"/>
      <c r="Y47" s="50"/>
    </row>
    <row r="48" spans="1:25" ht="15" customHeight="1">
      <c r="A48" s="49" t="s">
        <v>236</v>
      </c>
      <c r="B48" s="50">
        <v>44.774999999999999</v>
      </c>
      <c r="C48" s="50">
        <v>44.768999999999998</v>
      </c>
      <c r="E48" s="50">
        <v>44.759</v>
      </c>
      <c r="F48" s="50">
        <v>44.755000000000003</v>
      </c>
      <c r="Q48" s="27" t="s">
        <v>92</v>
      </c>
      <c r="S48" s="50"/>
      <c r="U48" s="27" t="s">
        <v>92</v>
      </c>
      <c r="V48" s="50"/>
      <c r="W48" s="50"/>
      <c r="X48" s="50"/>
      <c r="Y48" s="50"/>
    </row>
    <row r="49" spans="1:25" ht="15" customHeight="1">
      <c r="A49" s="49" t="s">
        <v>385</v>
      </c>
      <c r="B49" s="50">
        <v>0.57899999999999996</v>
      </c>
      <c r="C49" s="50">
        <v>0.57799999999999996</v>
      </c>
      <c r="Q49" s="27" t="s">
        <v>93</v>
      </c>
      <c r="S49" s="50"/>
      <c r="U49" s="27" t="s">
        <v>93</v>
      </c>
      <c r="V49" s="50"/>
      <c r="W49" s="50"/>
      <c r="X49" s="50"/>
      <c r="Y49" s="50"/>
    </row>
    <row r="50" spans="1:25" ht="15" customHeight="1">
      <c r="A50" s="49" t="s">
        <v>237</v>
      </c>
      <c r="B50" s="50">
        <v>0.57699999999999996</v>
      </c>
      <c r="C50" s="50">
        <v>0.57599999999999996</v>
      </c>
      <c r="Q50" s="27" t="s">
        <v>94</v>
      </c>
      <c r="S50" s="50"/>
      <c r="U50" s="27" t="s">
        <v>94</v>
      </c>
      <c r="V50" s="50"/>
      <c r="W50" s="50"/>
      <c r="X50" s="50"/>
      <c r="Y50" s="50"/>
    </row>
    <row r="51" spans="1:25" ht="15" customHeight="1">
      <c r="A51" s="49" t="s">
        <v>238</v>
      </c>
      <c r="B51" s="50">
        <v>0.57699999999999996</v>
      </c>
      <c r="C51" s="50">
        <v>0.57699999999999996</v>
      </c>
      <c r="Q51" s="27" t="s">
        <v>95</v>
      </c>
      <c r="S51" s="50"/>
      <c r="U51" s="27" t="s">
        <v>95</v>
      </c>
      <c r="V51" s="50"/>
      <c r="W51" s="50"/>
      <c r="X51" s="50"/>
      <c r="Y51" s="50"/>
    </row>
    <row r="52" spans="1:25" ht="15" customHeight="1">
      <c r="A52" s="49" t="s">
        <v>239</v>
      </c>
      <c r="B52" s="50">
        <v>0.58299999999999996</v>
      </c>
      <c r="C52" s="50">
        <v>0.58199999999999996</v>
      </c>
      <c r="Q52" s="27" t="s">
        <v>96</v>
      </c>
      <c r="S52" s="50"/>
      <c r="U52" s="27" t="s">
        <v>96</v>
      </c>
      <c r="V52" s="50"/>
      <c r="W52" s="50"/>
      <c r="X52" s="50"/>
      <c r="Y52" s="50"/>
    </row>
    <row r="53" spans="1:25" ht="15" customHeight="1">
      <c r="A53" s="49" t="s">
        <v>240</v>
      </c>
      <c r="B53" s="50">
        <v>0.58199999999999996</v>
      </c>
      <c r="C53" s="50">
        <v>0.57999999999999996</v>
      </c>
      <c r="Q53" s="27" t="s">
        <v>97</v>
      </c>
      <c r="S53" s="50"/>
      <c r="U53" s="27" t="s">
        <v>97</v>
      </c>
      <c r="V53" s="50"/>
      <c r="W53" s="50"/>
      <c r="X53" s="50"/>
      <c r="Y53" s="50"/>
    </row>
    <row r="54" spans="1:25" ht="15" customHeight="1">
      <c r="A54" s="49" t="s">
        <v>241</v>
      </c>
      <c r="B54" s="50">
        <v>0.57999999999999996</v>
      </c>
      <c r="C54" s="50">
        <v>0.57899999999999996</v>
      </c>
      <c r="Q54" s="27" t="s">
        <v>98</v>
      </c>
      <c r="S54" s="50"/>
      <c r="U54" s="27" t="s">
        <v>98</v>
      </c>
      <c r="V54" s="50"/>
      <c r="W54" s="50"/>
      <c r="X54" s="50"/>
      <c r="Y54" s="50"/>
    </row>
    <row r="55" spans="1:25" ht="15" customHeight="1">
      <c r="A55" s="49" t="s">
        <v>242</v>
      </c>
      <c r="B55" s="50">
        <v>0.57699999999999996</v>
      </c>
      <c r="C55" s="50">
        <v>0.57899999999999996</v>
      </c>
      <c r="Q55" s="48" t="s">
        <v>99</v>
      </c>
      <c r="S55" s="50"/>
      <c r="U55" s="48" t="s">
        <v>99</v>
      </c>
      <c r="V55" s="50"/>
      <c r="W55" s="50"/>
      <c r="X55" s="50"/>
      <c r="Y55" s="50"/>
    </row>
    <row r="56" spans="1:25" ht="15" customHeight="1">
      <c r="A56" s="49" t="s">
        <v>243</v>
      </c>
      <c r="B56" s="50">
        <v>0.57999999999999996</v>
      </c>
      <c r="C56" s="50">
        <v>0.57999999999999996</v>
      </c>
      <c r="Q56" s="48" t="s">
        <v>100</v>
      </c>
      <c r="S56" s="50"/>
      <c r="U56" s="48" t="s">
        <v>100</v>
      </c>
      <c r="V56" s="50"/>
      <c r="W56" s="50"/>
      <c r="X56" s="50"/>
      <c r="Y56" s="50"/>
    </row>
    <row r="57" spans="1:25" ht="15" customHeight="1">
      <c r="A57" s="49" t="s">
        <v>244</v>
      </c>
      <c r="B57" s="50">
        <v>12.821</v>
      </c>
      <c r="C57" s="50">
        <v>12.818</v>
      </c>
      <c r="E57" s="50">
        <v>12.849</v>
      </c>
      <c r="F57" s="50">
        <v>12.845000000000001</v>
      </c>
      <c r="Q57" s="48" t="s">
        <v>101</v>
      </c>
      <c r="S57" s="50"/>
      <c r="U57" s="48" t="s">
        <v>101</v>
      </c>
      <c r="V57" s="50"/>
      <c r="W57" s="50"/>
      <c r="X57" s="50"/>
      <c r="Y57" s="50"/>
    </row>
    <row r="58" spans="1:25" ht="15" customHeight="1">
      <c r="A58" s="49" t="s">
        <v>245</v>
      </c>
      <c r="B58" s="50">
        <v>3.1139999999999999</v>
      </c>
      <c r="C58" s="50">
        <v>3.1120000000000001</v>
      </c>
      <c r="E58" s="50">
        <v>3.113</v>
      </c>
      <c r="F58" s="50">
        <v>3.1120000000000001</v>
      </c>
      <c r="Q58" s="48" t="s">
        <v>102</v>
      </c>
      <c r="S58" s="50"/>
      <c r="U58" s="48" t="s">
        <v>102</v>
      </c>
      <c r="V58" s="50"/>
      <c r="W58" s="50"/>
      <c r="X58" s="50"/>
      <c r="Y58" s="50"/>
    </row>
    <row r="59" spans="1:25" ht="15" customHeight="1">
      <c r="A59" s="49" t="s">
        <v>246</v>
      </c>
      <c r="B59" s="50">
        <v>3.1549999999999998</v>
      </c>
      <c r="C59" s="50">
        <v>3.1539999999999999</v>
      </c>
      <c r="E59" s="50">
        <v>3.1579999999999999</v>
      </c>
      <c r="F59" s="50">
        <v>3.1539999999999999</v>
      </c>
      <c r="Q59" s="48" t="s">
        <v>103</v>
      </c>
      <c r="S59" s="50"/>
      <c r="U59" s="48" t="s">
        <v>103</v>
      </c>
      <c r="V59" s="50"/>
      <c r="W59" s="50"/>
      <c r="X59" s="50"/>
      <c r="Y59" s="50"/>
    </row>
    <row r="60" spans="1:25" ht="15" customHeight="1">
      <c r="A60" s="49" t="s">
        <v>247</v>
      </c>
      <c r="B60" s="50">
        <v>10.048</v>
      </c>
      <c r="C60" s="50">
        <v>10.051</v>
      </c>
      <c r="E60" s="50">
        <v>10.047000000000001</v>
      </c>
      <c r="F60" s="50">
        <v>10.045</v>
      </c>
      <c r="Q60" s="48" t="s">
        <v>104</v>
      </c>
      <c r="S60" s="50"/>
      <c r="U60" s="48" t="s">
        <v>104</v>
      </c>
      <c r="V60" s="50"/>
      <c r="W60" s="50"/>
      <c r="X60" s="50"/>
      <c r="Y60" s="50"/>
    </row>
    <row r="61" spans="1:25" ht="15" customHeight="1">
      <c r="A61" s="49" t="s">
        <v>248</v>
      </c>
      <c r="B61" s="50">
        <v>12.837</v>
      </c>
      <c r="C61" s="50">
        <v>12.832000000000001</v>
      </c>
      <c r="E61" s="50">
        <v>12.862</v>
      </c>
      <c r="F61" s="50">
        <v>12.86</v>
      </c>
      <c r="Q61" s="48" t="s">
        <v>105</v>
      </c>
      <c r="S61" s="50"/>
      <c r="U61" s="48" t="s">
        <v>105</v>
      </c>
      <c r="V61" s="50"/>
      <c r="W61" s="50"/>
      <c r="X61" s="50"/>
      <c r="Y61" s="50"/>
    </row>
    <row r="62" spans="1:25" ht="15" customHeight="1">
      <c r="A62" s="49" t="s">
        <v>249</v>
      </c>
      <c r="B62" s="50">
        <v>33.823</v>
      </c>
      <c r="C62" s="50">
        <v>33.817999999999998</v>
      </c>
      <c r="E62" s="50">
        <v>33.86</v>
      </c>
      <c r="F62" s="50">
        <v>33.856999999999999</v>
      </c>
      <c r="Q62" s="48" t="s">
        <v>106</v>
      </c>
      <c r="S62" s="50"/>
      <c r="U62" s="48" t="s">
        <v>106</v>
      </c>
      <c r="V62" s="50"/>
      <c r="W62" s="50"/>
      <c r="X62" s="50"/>
      <c r="Y62" s="50"/>
    </row>
    <row r="63" spans="1:25" ht="15" customHeight="1">
      <c r="A63" s="49" t="s">
        <v>250</v>
      </c>
      <c r="B63" s="50">
        <v>33.831000000000003</v>
      </c>
      <c r="C63" s="50">
        <v>33.813000000000002</v>
      </c>
      <c r="E63" s="50">
        <v>33.845999999999997</v>
      </c>
      <c r="F63" s="50">
        <v>33.845999999999997</v>
      </c>
      <c r="Q63" s="48" t="s">
        <v>107</v>
      </c>
      <c r="S63" s="50"/>
      <c r="U63" s="48" t="s">
        <v>107</v>
      </c>
      <c r="V63" s="50"/>
      <c r="W63" s="50"/>
      <c r="X63" s="50"/>
      <c r="Y63" s="50"/>
    </row>
    <row r="64" spans="1:25" ht="15" customHeight="1">
      <c r="A64" s="49" t="s">
        <v>251</v>
      </c>
      <c r="B64" s="50">
        <v>4.2190000000000003</v>
      </c>
      <c r="C64" s="50">
        <v>4.2210000000000001</v>
      </c>
      <c r="E64" s="50">
        <v>4.2</v>
      </c>
      <c r="F64" s="50">
        <v>4.194</v>
      </c>
      <c r="Q64" s="48" t="s">
        <v>108</v>
      </c>
      <c r="S64" s="50"/>
      <c r="U64" s="48" t="s">
        <v>108</v>
      </c>
      <c r="V64" s="50"/>
      <c r="W64" s="50"/>
      <c r="X64" s="50"/>
      <c r="Y64" s="50"/>
    </row>
    <row r="65" spans="1:25" ht="15" customHeight="1">
      <c r="A65" s="49" t="s">
        <v>252</v>
      </c>
      <c r="B65" s="50">
        <v>4.2320000000000002</v>
      </c>
      <c r="C65" s="50">
        <v>4.2320000000000002</v>
      </c>
      <c r="E65" s="50">
        <v>4.1970000000000001</v>
      </c>
      <c r="F65" s="50">
        <v>4.2</v>
      </c>
      <c r="Q65" s="48" t="s">
        <v>109</v>
      </c>
      <c r="S65" s="50"/>
      <c r="U65" s="48" t="s">
        <v>109</v>
      </c>
      <c r="V65" s="50"/>
      <c r="W65" s="50"/>
      <c r="X65" s="50"/>
      <c r="Y65" s="50"/>
    </row>
    <row r="66" spans="1:25" ht="15" customHeight="1">
      <c r="A66" s="49" t="s">
        <v>253</v>
      </c>
      <c r="B66" s="50">
        <v>4.234</v>
      </c>
      <c r="C66" s="50">
        <v>4.2350000000000003</v>
      </c>
      <c r="E66" s="50">
        <v>4.202</v>
      </c>
      <c r="F66" s="50">
        <v>4.1950000000000003</v>
      </c>
      <c r="Q66" s="48" t="s">
        <v>110</v>
      </c>
      <c r="S66" s="50"/>
      <c r="U66" s="48" t="s">
        <v>110</v>
      </c>
      <c r="V66" s="50"/>
      <c r="W66" s="50"/>
      <c r="X66" s="50"/>
      <c r="Y66" s="50"/>
    </row>
    <row r="67" spans="1:25" ht="15" customHeight="1">
      <c r="A67" s="49" t="s">
        <v>254</v>
      </c>
      <c r="B67" s="50">
        <v>4.2270000000000003</v>
      </c>
      <c r="C67" s="50">
        <v>4.2300000000000004</v>
      </c>
      <c r="E67" s="50">
        <v>4.2069999999999999</v>
      </c>
      <c r="F67" s="50">
        <v>4.1989999999999998</v>
      </c>
      <c r="Q67" s="48" t="s">
        <v>111</v>
      </c>
      <c r="R67" s="50">
        <f t="shared" ref="R67:R74" si="36">B49</f>
        <v>0.57899999999999996</v>
      </c>
      <c r="S67" s="50">
        <f t="shared" ref="S67:T67" si="37">C49</f>
        <v>0.57799999999999996</v>
      </c>
      <c r="T67" s="50">
        <f t="shared" si="37"/>
        <v>0</v>
      </c>
      <c r="U67" s="27">
        <v>13.1</v>
      </c>
      <c r="V67" s="51">
        <f t="shared" ref="V67:X68" si="38">M13</f>
        <v>15.241899999999999</v>
      </c>
      <c r="W67" s="51">
        <f t="shared" si="38"/>
        <v>15.237399999999999</v>
      </c>
      <c r="X67" s="51">
        <f t="shared" si="38"/>
        <v>0</v>
      </c>
      <c r="Y67" s="50"/>
    </row>
    <row r="68" spans="1:25" ht="15" customHeight="1">
      <c r="A68" s="49" t="s">
        <v>255</v>
      </c>
      <c r="B68" s="50">
        <v>14.577999999999999</v>
      </c>
      <c r="C68" s="50">
        <v>14.577</v>
      </c>
      <c r="E68" s="50">
        <v>14.577</v>
      </c>
      <c r="F68" s="50">
        <v>14.574999999999999</v>
      </c>
      <c r="Q68" s="48" t="s">
        <v>112</v>
      </c>
      <c r="R68" s="50">
        <f t="shared" si="36"/>
        <v>0.57699999999999996</v>
      </c>
      <c r="S68" s="50">
        <f t="shared" ref="S68:T68" si="39">C50</f>
        <v>0.57599999999999996</v>
      </c>
      <c r="T68" s="50">
        <f t="shared" si="39"/>
        <v>0</v>
      </c>
      <c r="U68" s="27">
        <v>13.2</v>
      </c>
      <c r="V68" s="51">
        <f t="shared" si="38"/>
        <v>15.1843</v>
      </c>
      <c r="W68" s="51">
        <f t="shared" si="38"/>
        <v>15.1791</v>
      </c>
      <c r="X68" s="51">
        <f t="shared" si="38"/>
        <v>0</v>
      </c>
      <c r="Y68" s="50"/>
    </row>
    <row r="69" spans="1:25" ht="15" customHeight="1">
      <c r="A69" s="49" t="s">
        <v>256</v>
      </c>
      <c r="B69" s="50">
        <v>14.54</v>
      </c>
      <c r="C69" s="50">
        <v>14.54</v>
      </c>
      <c r="E69" s="50">
        <v>14.573</v>
      </c>
      <c r="F69" s="50">
        <v>14.561</v>
      </c>
      <c r="Q69" s="48" t="s">
        <v>113</v>
      </c>
      <c r="R69" s="50">
        <f t="shared" si="36"/>
        <v>0.57699999999999996</v>
      </c>
      <c r="S69" s="50">
        <f t="shared" ref="S69:T69" si="40">C51</f>
        <v>0.57699999999999996</v>
      </c>
      <c r="T69" s="50">
        <f t="shared" si="40"/>
        <v>0</v>
      </c>
      <c r="U69" s="27">
        <v>14.1</v>
      </c>
      <c r="V69" s="51">
        <f t="shared" ref="V69:X70" si="41">M11</f>
        <v>29.218800000000002</v>
      </c>
      <c r="W69" s="51">
        <f t="shared" si="41"/>
        <v>29.212199999999999</v>
      </c>
      <c r="X69" s="51">
        <f t="shared" si="41"/>
        <v>0</v>
      </c>
      <c r="Y69" s="50"/>
    </row>
    <row r="70" spans="1:25" ht="15" customHeight="1">
      <c r="A70" s="49" t="s">
        <v>257</v>
      </c>
      <c r="B70" s="50">
        <v>14.555</v>
      </c>
      <c r="C70" s="50">
        <v>14.554</v>
      </c>
      <c r="E70" s="50">
        <v>14.584</v>
      </c>
      <c r="F70" s="50">
        <v>14.582000000000001</v>
      </c>
      <c r="Q70" s="48" t="s">
        <v>114</v>
      </c>
      <c r="R70" s="50">
        <f t="shared" si="36"/>
        <v>0.58299999999999996</v>
      </c>
      <c r="S70" s="50">
        <f t="shared" ref="S70:T70" si="42">C52</f>
        <v>0.58199999999999996</v>
      </c>
      <c r="T70" s="50">
        <f t="shared" si="42"/>
        <v>0</v>
      </c>
      <c r="U70" s="27">
        <v>14.2</v>
      </c>
      <c r="V70" s="51">
        <f t="shared" si="41"/>
        <v>29.1813</v>
      </c>
      <c r="W70" s="51">
        <f t="shared" si="41"/>
        <v>29.1693</v>
      </c>
      <c r="X70" s="51">
        <f t="shared" si="41"/>
        <v>0</v>
      </c>
      <c r="Y70" s="50"/>
    </row>
    <row r="71" spans="1:25" ht="15" customHeight="1">
      <c r="A71" s="49" t="s">
        <v>258</v>
      </c>
      <c r="B71" s="50">
        <v>14.571</v>
      </c>
      <c r="C71" s="50">
        <v>14.57</v>
      </c>
      <c r="E71" s="50">
        <v>14.558</v>
      </c>
      <c r="F71" s="50">
        <v>14.557</v>
      </c>
      <c r="Q71" s="48" t="s">
        <v>115</v>
      </c>
      <c r="R71" s="50">
        <f t="shared" si="36"/>
        <v>0.58199999999999996</v>
      </c>
      <c r="S71" s="50">
        <f t="shared" ref="S71:T71" si="43">C53</f>
        <v>0.57999999999999996</v>
      </c>
      <c r="T71" s="50">
        <f t="shared" si="43"/>
        <v>0</v>
      </c>
      <c r="U71" s="27">
        <v>15.1</v>
      </c>
      <c r="V71" s="51">
        <f t="shared" ref="V71:X72" si="44">M15</f>
        <v>4.8055000000000003</v>
      </c>
      <c r="W71" s="51">
        <f t="shared" si="44"/>
        <v>4.8028000000000004</v>
      </c>
      <c r="X71" s="51">
        <f t="shared" si="44"/>
        <v>0</v>
      </c>
      <c r="Y71" s="50"/>
    </row>
    <row r="72" spans="1:25" ht="15" customHeight="1">
      <c r="A72" s="49" t="s">
        <v>259</v>
      </c>
      <c r="B72" s="50">
        <v>27.681000000000001</v>
      </c>
      <c r="C72" s="50">
        <v>27.677</v>
      </c>
      <c r="E72" s="50">
        <v>27.672999999999998</v>
      </c>
      <c r="F72" s="50">
        <v>27.683</v>
      </c>
      <c r="Q72" s="48" t="s">
        <v>116</v>
      </c>
      <c r="R72" s="50">
        <f t="shared" si="36"/>
        <v>0.57999999999999996</v>
      </c>
      <c r="S72" s="50">
        <f t="shared" ref="S72:T72" si="45">C54</f>
        <v>0.57899999999999996</v>
      </c>
      <c r="T72" s="50">
        <f t="shared" si="45"/>
        <v>0</v>
      </c>
      <c r="U72" s="27">
        <v>15.2</v>
      </c>
      <c r="V72" s="51">
        <f t="shared" si="44"/>
        <v>4.7560000000000002</v>
      </c>
      <c r="W72" s="51">
        <f t="shared" si="44"/>
        <v>4.7484999999999999</v>
      </c>
      <c r="X72" s="51">
        <f t="shared" si="44"/>
        <v>0</v>
      </c>
      <c r="Y72" s="50"/>
    </row>
    <row r="73" spans="1:25" ht="15" customHeight="1">
      <c r="A73" s="49" t="s">
        <v>260</v>
      </c>
      <c r="B73" s="50">
        <v>27.016999999999999</v>
      </c>
      <c r="C73" s="50">
        <v>27.016999999999999</v>
      </c>
      <c r="E73" s="50">
        <v>27.007999999999999</v>
      </c>
      <c r="F73" s="50">
        <v>26.995000000000001</v>
      </c>
      <c r="Q73" s="48" t="s">
        <v>117</v>
      </c>
      <c r="R73" s="50">
        <f t="shared" si="36"/>
        <v>0.57699999999999996</v>
      </c>
      <c r="S73" s="50">
        <f t="shared" ref="S73:T73" si="46">C55</f>
        <v>0.57899999999999996</v>
      </c>
      <c r="T73" s="50">
        <f t="shared" si="46"/>
        <v>0</v>
      </c>
      <c r="U73" s="48" t="s">
        <v>135</v>
      </c>
      <c r="V73" s="51">
        <f t="shared" ref="V73:X77" si="47">M3</f>
        <v>46.041200000000003</v>
      </c>
      <c r="W73" s="51">
        <f t="shared" si="47"/>
        <v>46.022199999999998</v>
      </c>
      <c r="X73" s="51">
        <f t="shared" si="47"/>
        <v>0</v>
      </c>
      <c r="Y73" s="50"/>
    </row>
    <row r="74" spans="1:25" ht="15" customHeight="1">
      <c r="A74" s="49" t="s">
        <v>261</v>
      </c>
      <c r="B74" s="50">
        <v>28.853000000000002</v>
      </c>
      <c r="C74" s="50">
        <v>28.850999999999999</v>
      </c>
      <c r="E74" s="50">
        <v>28.89</v>
      </c>
      <c r="F74" s="50">
        <v>28.867000000000001</v>
      </c>
      <c r="Q74" s="48" t="s">
        <v>118</v>
      </c>
      <c r="R74" s="50">
        <f t="shared" si="36"/>
        <v>0.57999999999999996</v>
      </c>
      <c r="S74" s="50">
        <f t="shared" ref="S74:T74" si="48">C56</f>
        <v>0.57999999999999996</v>
      </c>
      <c r="T74" s="50">
        <f t="shared" si="48"/>
        <v>0</v>
      </c>
      <c r="U74" s="48" t="s">
        <v>136</v>
      </c>
      <c r="V74" s="51">
        <f t="shared" si="47"/>
        <v>46.033499999999997</v>
      </c>
      <c r="W74" s="51">
        <f t="shared" si="47"/>
        <v>46.016300000000001</v>
      </c>
      <c r="X74" s="51">
        <f t="shared" si="47"/>
        <v>0</v>
      </c>
      <c r="Y74" s="50"/>
    </row>
    <row r="75" spans="1:25" ht="15" customHeight="1">
      <c r="A75" s="49" t="s">
        <v>288</v>
      </c>
      <c r="B75" s="50">
        <v>1.7000000000000001E-2</v>
      </c>
      <c r="C75" s="50">
        <v>1.2999999999999999E-2</v>
      </c>
      <c r="E75" s="50">
        <v>1.2E-2</v>
      </c>
      <c r="F75" s="50">
        <v>1E-3</v>
      </c>
      <c r="Q75" s="48" t="s">
        <v>119</v>
      </c>
      <c r="S75" s="50"/>
      <c r="U75" s="48" t="s">
        <v>137</v>
      </c>
      <c r="V75" s="51">
        <f t="shared" si="47"/>
        <v>46.0184</v>
      </c>
      <c r="W75" s="51">
        <f t="shared" si="47"/>
        <v>46.007599999999996</v>
      </c>
      <c r="X75" s="51">
        <f t="shared" si="47"/>
        <v>0</v>
      </c>
      <c r="Y75" s="50"/>
    </row>
    <row r="76" spans="1:25" ht="15" customHeight="1">
      <c r="A76" s="49" t="s">
        <v>289</v>
      </c>
      <c r="B76" s="50">
        <v>5.0000000000000001E-3</v>
      </c>
      <c r="C76" s="50">
        <v>1.2E-2</v>
      </c>
      <c r="E76" s="50">
        <v>0</v>
      </c>
      <c r="F76" s="50">
        <v>2.1999999999999999E-2</v>
      </c>
      <c r="Q76" s="48" t="s">
        <v>120</v>
      </c>
      <c r="S76" s="50"/>
      <c r="U76" s="48" t="s">
        <v>138</v>
      </c>
      <c r="V76" s="51">
        <f t="shared" si="47"/>
        <v>43.450800000000001</v>
      </c>
      <c r="W76" s="51">
        <f t="shared" si="47"/>
        <v>43.454000000000001</v>
      </c>
      <c r="X76" s="51">
        <f t="shared" si="47"/>
        <v>0</v>
      </c>
      <c r="Y76" s="50"/>
    </row>
    <row r="77" spans="1:25" ht="15" customHeight="1">
      <c r="A77" s="49" t="s">
        <v>262</v>
      </c>
      <c r="B77" s="50">
        <v>1.35</v>
      </c>
      <c r="C77" s="50">
        <v>1.35</v>
      </c>
      <c r="E77" s="50">
        <v>1.337</v>
      </c>
      <c r="F77" s="50">
        <v>1.3380000000000001</v>
      </c>
      <c r="Q77" s="48" t="s">
        <v>121</v>
      </c>
      <c r="S77" s="50"/>
      <c r="U77" s="48" t="s">
        <v>139</v>
      </c>
      <c r="V77" s="51">
        <f t="shared" si="47"/>
        <v>43.470500000000001</v>
      </c>
      <c r="W77" s="51">
        <f t="shared" si="47"/>
        <v>43.463099999999997</v>
      </c>
      <c r="X77" s="51">
        <f t="shared" si="47"/>
        <v>0</v>
      </c>
      <c r="Y77" s="50"/>
    </row>
    <row r="78" spans="1:25" ht="15" customHeight="1">
      <c r="A78" s="49" t="s">
        <v>263</v>
      </c>
      <c r="B78" s="50">
        <v>3.9460000000000002</v>
      </c>
      <c r="C78" s="50">
        <v>3.9460000000000002</v>
      </c>
      <c r="E78" s="50">
        <v>3.9470000000000001</v>
      </c>
      <c r="F78" s="50">
        <v>3.9470000000000001</v>
      </c>
      <c r="Q78" s="48" t="s">
        <v>122</v>
      </c>
      <c r="S78" s="50"/>
      <c r="U78" s="27">
        <v>19.100000000000001</v>
      </c>
      <c r="V78" s="50"/>
      <c r="W78" s="50"/>
      <c r="X78" s="50"/>
      <c r="Y78" s="50"/>
    </row>
    <row r="79" spans="1:25" ht="15" customHeight="1">
      <c r="A79" s="49" t="s">
        <v>264</v>
      </c>
      <c r="B79" s="50">
        <v>5.7080000000000002</v>
      </c>
      <c r="C79" s="50">
        <v>5.6890000000000001</v>
      </c>
      <c r="E79" s="50">
        <v>5.7080000000000002</v>
      </c>
      <c r="F79" s="50">
        <v>5.7039999999999997</v>
      </c>
      <c r="Q79" s="48" t="s">
        <v>123</v>
      </c>
      <c r="S79" s="50"/>
      <c r="U79" s="27">
        <v>19.2</v>
      </c>
      <c r="V79" s="50"/>
      <c r="W79" s="50"/>
      <c r="X79" s="50"/>
      <c r="Y79" s="50"/>
    </row>
    <row r="80" spans="1:25" ht="15" customHeight="1">
      <c r="A80" s="49" t="s">
        <v>265</v>
      </c>
      <c r="B80" s="50">
        <v>0.999</v>
      </c>
      <c r="C80" s="50">
        <v>0.998</v>
      </c>
      <c r="E80" s="50">
        <v>1.006</v>
      </c>
      <c r="F80" s="50">
        <v>1.0049999999999999</v>
      </c>
      <c r="Q80" s="48" t="s">
        <v>124</v>
      </c>
      <c r="S80" s="50"/>
      <c r="U80" s="48" t="s">
        <v>140</v>
      </c>
      <c r="V80" s="50"/>
      <c r="W80" s="50"/>
      <c r="X80" s="50"/>
      <c r="Y80" s="50"/>
    </row>
    <row r="81" spans="1:26" ht="15" customHeight="1">
      <c r="A81" s="49" t="s">
        <v>266</v>
      </c>
      <c r="B81" s="50">
        <v>1</v>
      </c>
      <c r="C81" s="50">
        <v>0.998</v>
      </c>
      <c r="E81" s="50">
        <v>1.0009999999999999</v>
      </c>
      <c r="F81" s="50">
        <v>1</v>
      </c>
      <c r="Q81" s="48" t="s">
        <v>125</v>
      </c>
      <c r="S81" s="50"/>
      <c r="U81" s="48" t="s">
        <v>141</v>
      </c>
      <c r="V81" s="50"/>
      <c r="W81" s="50"/>
      <c r="X81" s="50"/>
      <c r="Y81" s="50"/>
    </row>
    <row r="82" spans="1:26" ht="15" customHeight="1">
      <c r="A82" s="49" t="s">
        <v>267</v>
      </c>
      <c r="B82" s="50">
        <v>0.99099999999999999</v>
      </c>
      <c r="C82" s="50">
        <v>0.99</v>
      </c>
      <c r="E82" s="50">
        <v>0.99099999999999999</v>
      </c>
      <c r="F82" s="50">
        <v>0.99099999999999999</v>
      </c>
      <c r="Q82" s="48" t="s">
        <v>126</v>
      </c>
      <c r="S82" s="50"/>
      <c r="U82" s="48" t="s">
        <v>142</v>
      </c>
      <c r="V82" s="50"/>
      <c r="W82" s="50"/>
      <c r="X82" s="50"/>
      <c r="Y82" s="50"/>
    </row>
    <row r="83" spans="1:26" ht="15" customHeight="1">
      <c r="A83" s="49" t="s">
        <v>268</v>
      </c>
      <c r="B83" s="50">
        <v>2.7930000000000001</v>
      </c>
      <c r="C83" s="50">
        <v>2.794</v>
      </c>
      <c r="E83" s="50">
        <v>2.8210000000000002</v>
      </c>
      <c r="F83" s="50">
        <v>2.8210000000000002</v>
      </c>
      <c r="Q83" s="48" t="s">
        <v>127</v>
      </c>
      <c r="S83" s="50"/>
      <c r="U83" s="48" t="s">
        <v>143</v>
      </c>
      <c r="V83" s="50"/>
      <c r="W83" s="50"/>
      <c r="X83" s="50"/>
      <c r="Y83" s="50"/>
    </row>
    <row r="84" spans="1:26" ht="15" customHeight="1">
      <c r="A84" s="49" t="s">
        <v>269</v>
      </c>
      <c r="B84" s="50">
        <v>2.8130000000000002</v>
      </c>
      <c r="C84" s="50">
        <v>2.8109999999999999</v>
      </c>
      <c r="E84" s="50">
        <v>2.8159999999999998</v>
      </c>
      <c r="F84" s="50">
        <v>2.8170000000000002</v>
      </c>
      <c r="Q84" s="48" t="s">
        <v>128</v>
      </c>
      <c r="S84" s="50"/>
      <c r="U84" s="48" t="s">
        <v>144</v>
      </c>
      <c r="V84" s="50"/>
      <c r="W84" s="50"/>
      <c r="X84" s="50"/>
      <c r="Y84" s="50"/>
    </row>
    <row r="85" spans="1:26" ht="15" customHeight="1">
      <c r="A85" s="49" t="s">
        <v>270</v>
      </c>
      <c r="B85" s="50">
        <v>0.99199999999999999</v>
      </c>
      <c r="C85" s="50">
        <v>0.99299999999999999</v>
      </c>
      <c r="E85" s="50">
        <v>1.022</v>
      </c>
      <c r="F85" s="50">
        <v>1.0209999999999999</v>
      </c>
      <c r="Q85" s="48" t="s">
        <v>129</v>
      </c>
      <c r="S85" s="50"/>
      <c r="U85" s="48" t="s">
        <v>145</v>
      </c>
      <c r="V85" s="50"/>
      <c r="W85" s="50"/>
      <c r="X85" s="50"/>
      <c r="Y85" s="50"/>
    </row>
    <row r="86" spans="1:26" ht="15" customHeight="1">
      <c r="A86" s="49" t="s">
        <v>271</v>
      </c>
      <c r="B86" s="50">
        <v>0.93200000000000005</v>
      </c>
      <c r="C86" s="50">
        <v>0.93100000000000005</v>
      </c>
      <c r="E86" s="50">
        <v>0.92900000000000005</v>
      </c>
      <c r="F86" s="50">
        <v>0.92600000000000005</v>
      </c>
      <c r="Q86" s="48" t="s">
        <v>130</v>
      </c>
      <c r="S86" s="50"/>
      <c r="U86" s="27">
        <v>22</v>
      </c>
      <c r="V86" s="50">
        <f t="shared" ref="V86:X89" si="49">E57</f>
        <v>12.849</v>
      </c>
      <c r="W86" s="50">
        <f t="shared" si="49"/>
        <v>12.845000000000001</v>
      </c>
      <c r="X86" s="50">
        <f t="shared" si="49"/>
        <v>0</v>
      </c>
      <c r="Y86" s="50"/>
    </row>
    <row r="87" spans="1:26" ht="15" customHeight="1">
      <c r="A87" s="49" t="s">
        <v>272</v>
      </c>
      <c r="B87" s="50">
        <v>0.99399999999999999</v>
      </c>
      <c r="C87" s="50">
        <v>0.99399999999999999</v>
      </c>
      <c r="E87" s="50">
        <v>1.0169999999999999</v>
      </c>
      <c r="F87" s="50">
        <v>1.0149999999999999</v>
      </c>
      <c r="Q87" s="48" t="s">
        <v>131</v>
      </c>
      <c r="S87" s="50"/>
      <c r="U87" s="27">
        <v>23</v>
      </c>
      <c r="V87" s="50">
        <f t="shared" si="49"/>
        <v>3.113</v>
      </c>
      <c r="W87" s="50">
        <f t="shared" si="49"/>
        <v>3.1120000000000001</v>
      </c>
      <c r="X87" s="50">
        <f t="shared" si="49"/>
        <v>0</v>
      </c>
      <c r="Y87" s="50"/>
    </row>
    <row r="88" spans="1:26" ht="15" customHeight="1">
      <c r="A88" s="49" t="s">
        <v>273</v>
      </c>
      <c r="B88" s="50">
        <v>0.92400000000000004</v>
      </c>
      <c r="C88" s="50">
        <v>0.92400000000000004</v>
      </c>
      <c r="E88" s="50">
        <v>0.91900000000000004</v>
      </c>
      <c r="F88" s="50">
        <v>0.91600000000000004</v>
      </c>
      <c r="Q88" s="48" t="s">
        <v>132</v>
      </c>
      <c r="S88" s="50"/>
      <c r="U88" s="27">
        <v>24</v>
      </c>
      <c r="V88" s="50">
        <f t="shared" si="49"/>
        <v>3.1579999999999999</v>
      </c>
      <c r="W88" s="50">
        <f t="shared" si="49"/>
        <v>3.1539999999999999</v>
      </c>
      <c r="X88" s="50">
        <f t="shared" si="49"/>
        <v>0</v>
      </c>
      <c r="Y88" s="50"/>
    </row>
    <row r="89" spans="1:26" ht="15" customHeight="1">
      <c r="A89" s="49" t="s">
        <v>274</v>
      </c>
      <c r="B89" s="50">
        <v>2.363</v>
      </c>
      <c r="C89" s="50">
        <v>2.3660000000000001</v>
      </c>
      <c r="E89" s="50">
        <v>2.379</v>
      </c>
      <c r="F89" s="50">
        <v>2.383</v>
      </c>
      <c r="Q89" s="48" t="s">
        <v>133</v>
      </c>
      <c r="S89" s="50"/>
      <c r="U89" s="27">
        <v>25</v>
      </c>
      <c r="V89" s="50">
        <f t="shared" si="49"/>
        <v>10.047000000000001</v>
      </c>
      <c r="W89" s="50">
        <f t="shared" si="49"/>
        <v>10.045</v>
      </c>
      <c r="X89" s="50">
        <f t="shared" si="49"/>
        <v>0</v>
      </c>
      <c r="Y89" s="50"/>
    </row>
    <row r="90" spans="1:26" ht="15" customHeight="1">
      <c r="A90" s="49" t="s">
        <v>275</v>
      </c>
      <c r="B90" s="50">
        <v>2.3570000000000002</v>
      </c>
      <c r="C90" s="50">
        <v>2.3559999999999999</v>
      </c>
      <c r="E90" s="50">
        <v>2.3260000000000001</v>
      </c>
      <c r="F90" s="50">
        <v>2.3929999999999998</v>
      </c>
      <c r="Q90" s="48" t="s">
        <v>134</v>
      </c>
      <c r="S90" s="50"/>
      <c r="U90" s="27">
        <v>26</v>
      </c>
      <c r="Y90" s="50"/>
      <c r="Z90" s="52"/>
    </row>
    <row r="91" spans="1:26" ht="15" customHeight="1">
      <c r="A91" s="49" t="s">
        <v>276</v>
      </c>
      <c r="B91" s="50">
        <v>0.55600000000000005</v>
      </c>
      <c r="C91" s="50">
        <v>0.56200000000000006</v>
      </c>
      <c r="E91" s="50">
        <v>0.57999999999999996</v>
      </c>
      <c r="F91" s="50">
        <v>0.57699999999999996</v>
      </c>
      <c r="Q91" s="27">
        <v>13.1</v>
      </c>
      <c r="R91" s="51">
        <f>J13</f>
        <v>15.2408</v>
      </c>
      <c r="S91" s="51">
        <f t="shared" ref="S91:T91" si="50">K13</f>
        <v>15.2395</v>
      </c>
      <c r="T91" s="51">
        <f t="shared" si="50"/>
        <v>0</v>
      </c>
      <c r="U91" s="48" t="s">
        <v>146</v>
      </c>
      <c r="V91" s="51">
        <f t="shared" ref="V91:X92" si="51">M19</f>
        <v>8.6E-3</v>
      </c>
      <c r="W91" s="51">
        <f t="shared" si="51"/>
        <v>1.54E-2</v>
      </c>
      <c r="X91" s="51">
        <f t="shared" si="51"/>
        <v>0</v>
      </c>
      <c r="Z91" s="52"/>
    </row>
    <row r="92" spans="1:26" ht="15" customHeight="1">
      <c r="A92" s="49" t="s">
        <v>277</v>
      </c>
      <c r="B92" s="50">
        <v>2.827</v>
      </c>
      <c r="C92" s="50">
        <v>2.8460000000000001</v>
      </c>
      <c r="E92" s="50">
        <v>2.8650000000000002</v>
      </c>
      <c r="F92" s="50">
        <v>2.8679999999999999</v>
      </c>
      <c r="Q92" s="27">
        <v>13.2</v>
      </c>
      <c r="R92" s="51">
        <f>J14</f>
        <v>15.173400000000001</v>
      </c>
      <c r="S92" s="51">
        <f t="shared" ref="S92:T92" si="52">K14</f>
        <v>15.174799999999999</v>
      </c>
      <c r="T92" s="51">
        <f t="shared" si="52"/>
        <v>0</v>
      </c>
      <c r="U92" s="48" t="s">
        <v>147</v>
      </c>
      <c r="V92" s="51">
        <f t="shared" si="51"/>
        <v>4.7500000000000001E-2</v>
      </c>
      <c r="W92" s="51">
        <f t="shared" si="51"/>
        <v>4.7399999999999998E-2</v>
      </c>
      <c r="X92" s="51">
        <f t="shared" si="51"/>
        <v>0</v>
      </c>
      <c r="Z92" s="52"/>
    </row>
    <row r="93" spans="1:26" ht="15" customHeight="1">
      <c r="A93" s="49" t="s">
        <v>278</v>
      </c>
      <c r="B93" s="50">
        <v>4.4580000000000002</v>
      </c>
      <c r="C93" s="50">
        <v>4.4660000000000002</v>
      </c>
      <c r="E93" s="50">
        <v>4.4850000000000003</v>
      </c>
      <c r="F93" s="50">
        <v>4.4829999999999997</v>
      </c>
      <c r="Q93" s="27">
        <v>14.1</v>
      </c>
      <c r="R93" s="51">
        <f>J11</f>
        <v>29.217500000000001</v>
      </c>
      <c r="S93" s="51">
        <f t="shared" ref="S93:T93" si="53">K11</f>
        <v>29.215599999999998</v>
      </c>
      <c r="T93" s="51">
        <f t="shared" si="53"/>
        <v>0</v>
      </c>
      <c r="U93" s="48" t="s">
        <v>148</v>
      </c>
      <c r="V93" s="51">
        <f t="shared" ref="V93:X94" si="54">M17</f>
        <v>8.0000000000000004E-4</v>
      </c>
      <c r="W93" s="51">
        <f t="shared" si="54"/>
        <v>8.6E-3</v>
      </c>
      <c r="X93" s="51">
        <f t="shared" si="54"/>
        <v>0</v>
      </c>
      <c r="Z93" s="52"/>
    </row>
    <row r="94" spans="1:26" ht="15" customHeight="1">
      <c r="A94" s="49" t="s">
        <v>279</v>
      </c>
      <c r="B94" s="50">
        <v>0.96199999999999997</v>
      </c>
      <c r="C94" s="50">
        <v>0.96699999999999997</v>
      </c>
      <c r="E94" s="50">
        <v>0.97399999999999998</v>
      </c>
      <c r="F94" s="50">
        <v>0.98399999999999999</v>
      </c>
      <c r="Q94" s="27">
        <v>14.2</v>
      </c>
      <c r="R94" s="51">
        <f>J12</f>
        <v>29.155999999999999</v>
      </c>
      <c r="S94" s="51">
        <f t="shared" ref="S94:T94" si="55">K12</f>
        <v>29.15</v>
      </c>
      <c r="T94" s="51">
        <f t="shared" si="55"/>
        <v>0</v>
      </c>
      <c r="U94" s="48" t="s">
        <v>149</v>
      </c>
      <c r="V94" s="51">
        <f t="shared" si="54"/>
        <v>5.0700000000000002E-2</v>
      </c>
      <c r="W94" s="51">
        <f t="shared" si="54"/>
        <v>4.7899999999999998E-2</v>
      </c>
      <c r="X94" s="51">
        <f t="shared" si="54"/>
        <v>0</v>
      </c>
    </row>
    <row r="95" spans="1:26" ht="15" customHeight="1">
      <c r="A95" s="49" t="s">
        <v>280</v>
      </c>
      <c r="B95" s="50">
        <v>1.008</v>
      </c>
      <c r="C95" s="50">
        <v>1.006</v>
      </c>
      <c r="E95" s="50">
        <v>1.0309999999999999</v>
      </c>
      <c r="F95" s="50">
        <v>1.03</v>
      </c>
      <c r="Q95" s="27">
        <v>15.1</v>
      </c>
      <c r="R95" s="51">
        <f>J15</f>
        <v>4.8041</v>
      </c>
      <c r="S95" s="51">
        <f t="shared" ref="S95:T95" si="56">K15</f>
        <v>4.8075999999999999</v>
      </c>
      <c r="T95" s="51">
        <f t="shared" si="56"/>
        <v>0</v>
      </c>
      <c r="U95" s="48" t="s">
        <v>150</v>
      </c>
      <c r="V95" s="51">
        <f t="shared" ref="V95:X96" si="57">M21</f>
        <v>6.7999999999999996E-3</v>
      </c>
      <c r="W95" s="51">
        <f t="shared" si="57"/>
        <v>1.49E-2</v>
      </c>
      <c r="X95" s="51">
        <f t="shared" si="57"/>
        <v>0</v>
      </c>
    </row>
    <row r="96" spans="1:26" ht="15" customHeight="1">
      <c r="A96" s="49" t="s">
        <v>281</v>
      </c>
      <c r="B96" s="50">
        <v>0.98299999999999998</v>
      </c>
      <c r="C96" s="50">
        <v>0.98199999999999998</v>
      </c>
      <c r="E96" s="50">
        <v>1.0129999999999999</v>
      </c>
      <c r="F96" s="50">
        <v>1.01</v>
      </c>
      <c r="Q96" s="27">
        <v>15.2</v>
      </c>
      <c r="R96" s="51">
        <f>J16</f>
        <v>4.7366000000000001</v>
      </c>
      <c r="S96" s="51">
        <f t="shared" ref="S96:T96" si="58">K16</f>
        <v>4.7335000000000003</v>
      </c>
      <c r="T96" s="51">
        <f t="shared" si="58"/>
        <v>0</v>
      </c>
      <c r="U96" s="48" t="s">
        <v>151</v>
      </c>
      <c r="V96" s="51">
        <f t="shared" si="57"/>
        <v>5.2499999999999998E-2</v>
      </c>
      <c r="W96" s="51">
        <f t="shared" si="57"/>
        <v>5.2499999999999998E-2</v>
      </c>
      <c r="X96" s="51">
        <f t="shared" si="57"/>
        <v>0</v>
      </c>
    </row>
    <row r="97" spans="1:26" ht="15" customHeight="1">
      <c r="A97" s="49" t="s">
        <v>282</v>
      </c>
      <c r="B97" s="50">
        <v>1.042</v>
      </c>
      <c r="C97" s="50">
        <v>1.0309999999999999</v>
      </c>
      <c r="E97" s="50">
        <v>1.0069999999999999</v>
      </c>
      <c r="F97" s="50">
        <v>1.0109999999999999</v>
      </c>
      <c r="Q97" s="48" t="s">
        <v>135</v>
      </c>
      <c r="R97" s="51">
        <f>J3</f>
        <v>46.027000000000001</v>
      </c>
      <c r="S97" s="51">
        <f t="shared" ref="S97:T97" si="59">K3</f>
        <v>46.010100000000001</v>
      </c>
      <c r="T97" s="51">
        <f t="shared" si="59"/>
        <v>0</v>
      </c>
      <c r="U97" s="48" t="s">
        <v>152</v>
      </c>
      <c r="V97" s="50">
        <f t="shared" ref="V97:V109" si="60">E62</f>
        <v>33.86</v>
      </c>
      <c r="W97" s="50">
        <f t="shared" ref="W97:W109" si="61">F62</f>
        <v>33.856999999999999</v>
      </c>
      <c r="X97" s="50">
        <f t="shared" ref="X97:X109" si="62">G62</f>
        <v>0</v>
      </c>
    </row>
    <row r="98" spans="1:26" ht="15" customHeight="1">
      <c r="A98" s="49" t="s">
        <v>283</v>
      </c>
      <c r="B98" s="50">
        <v>1.004</v>
      </c>
      <c r="C98" s="50">
        <v>1.012</v>
      </c>
      <c r="E98" s="50">
        <v>0.995</v>
      </c>
      <c r="F98" s="50">
        <v>0.997</v>
      </c>
      <c r="Q98" s="48" t="s">
        <v>136</v>
      </c>
      <c r="R98" s="51">
        <f>J4</f>
        <v>46.010800000000003</v>
      </c>
      <c r="S98" s="51">
        <f t="shared" ref="S98:T98" si="63">K4</f>
        <v>45.993099999999998</v>
      </c>
      <c r="T98" s="51">
        <f t="shared" si="63"/>
        <v>0</v>
      </c>
      <c r="U98" s="48" t="s">
        <v>153</v>
      </c>
      <c r="V98" s="50">
        <f t="shared" si="60"/>
        <v>33.845999999999997</v>
      </c>
      <c r="W98" s="50">
        <f t="shared" si="61"/>
        <v>33.845999999999997</v>
      </c>
      <c r="X98" s="50">
        <f t="shared" si="62"/>
        <v>0</v>
      </c>
      <c r="Z98" s="52"/>
    </row>
    <row r="99" spans="1:26" ht="15" customHeight="1">
      <c r="A99" s="49" t="s">
        <v>284</v>
      </c>
      <c r="B99" s="50">
        <v>1.06</v>
      </c>
      <c r="C99" s="50">
        <v>1.048</v>
      </c>
      <c r="E99" s="50">
        <v>1.022</v>
      </c>
      <c r="F99" s="50">
        <v>1.0189999999999999</v>
      </c>
      <c r="Q99" s="48" t="s">
        <v>137</v>
      </c>
      <c r="R99" s="51">
        <f>J5</f>
        <v>45.993400000000001</v>
      </c>
      <c r="S99" s="51">
        <f t="shared" ref="S99:T99" si="64">K5</f>
        <v>45.986800000000002</v>
      </c>
      <c r="T99" s="51">
        <f t="shared" si="64"/>
        <v>0</v>
      </c>
      <c r="U99" s="48" t="s">
        <v>154</v>
      </c>
      <c r="V99" s="50">
        <f t="shared" si="60"/>
        <v>4.2</v>
      </c>
      <c r="W99" s="50">
        <f t="shared" si="61"/>
        <v>4.194</v>
      </c>
      <c r="X99" s="50">
        <f t="shared" si="62"/>
        <v>0</v>
      </c>
      <c r="Z99" s="52"/>
    </row>
    <row r="100" spans="1:26" ht="15" customHeight="1">
      <c r="A100" s="49" t="s">
        <v>285</v>
      </c>
      <c r="B100" s="50">
        <v>1.0269999999999999</v>
      </c>
      <c r="C100" s="50">
        <v>1.0349999999999999</v>
      </c>
      <c r="E100" s="50">
        <v>1.022</v>
      </c>
      <c r="F100" s="50">
        <v>1.0189999999999999</v>
      </c>
      <c r="Q100" s="48" t="s">
        <v>138</v>
      </c>
      <c r="R100" s="51">
        <f>J6</f>
        <v>43.436900000000001</v>
      </c>
      <c r="S100" s="51">
        <f t="shared" ref="S100:T100" si="65">K6</f>
        <v>43.452300000000001</v>
      </c>
      <c r="T100" s="51">
        <f t="shared" si="65"/>
        <v>0</v>
      </c>
      <c r="U100" s="48" t="s">
        <v>155</v>
      </c>
      <c r="V100" s="50">
        <f t="shared" si="60"/>
        <v>4.1970000000000001</v>
      </c>
      <c r="W100" s="50">
        <f t="shared" si="61"/>
        <v>4.2</v>
      </c>
      <c r="X100" s="50">
        <f t="shared" si="62"/>
        <v>0</v>
      </c>
    </row>
    <row r="101" spans="1:26" ht="15" customHeight="1">
      <c r="A101" s="49" t="s">
        <v>286</v>
      </c>
      <c r="B101" s="50">
        <v>1.032</v>
      </c>
      <c r="C101" s="50">
        <v>1.044</v>
      </c>
      <c r="E101" s="50">
        <v>1.022</v>
      </c>
      <c r="F101" s="50">
        <v>1.02</v>
      </c>
      <c r="Q101" s="48" t="s">
        <v>139</v>
      </c>
      <c r="R101" s="51">
        <f>J7</f>
        <v>43.423000000000002</v>
      </c>
      <c r="S101" s="51">
        <f t="shared" ref="S101:T101" si="66">K7</f>
        <v>43.427100000000003</v>
      </c>
      <c r="T101" s="51">
        <f t="shared" si="66"/>
        <v>0</v>
      </c>
      <c r="U101" s="48" t="s">
        <v>156</v>
      </c>
      <c r="V101" s="50">
        <f t="shared" si="60"/>
        <v>4.202</v>
      </c>
      <c r="W101" s="50">
        <f t="shared" si="61"/>
        <v>4.1950000000000003</v>
      </c>
      <c r="X101" s="50">
        <f t="shared" si="62"/>
        <v>0</v>
      </c>
    </row>
    <row r="102" spans="1:26" ht="15" customHeight="1">
      <c r="A102" s="49" t="s">
        <v>287</v>
      </c>
      <c r="B102" s="50">
        <v>4.9690000000000003</v>
      </c>
      <c r="C102" s="50">
        <v>4.9720000000000004</v>
      </c>
      <c r="E102" s="50">
        <v>4.9610000000000003</v>
      </c>
      <c r="F102" s="50">
        <v>4.96</v>
      </c>
      <c r="Q102" s="27">
        <v>19.100000000000001</v>
      </c>
      <c r="S102" s="50"/>
      <c r="U102" s="48" t="s">
        <v>157</v>
      </c>
      <c r="V102" s="50">
        <f t="shared" si="60"/>
        <v>4.2069999999999999</v>
      </c>
      <c r="W102" s="50">
        <f t="shared" si="61"/>
        <v>4.1989999999999998</v>
      </c>
      <c r="X102" s="50">
        <f t="shared" si="62"/>
        <v>0</v>
      </c>
      <c r="Y102" s="50"/>
    </row>
    <row r="103" spans="1:26" ht="15" customHeight="1">
      <c r="A103" s="49" t="s">
        <v>386</v>
      </c>
      <c r="B103" s="50">
        <v>4.7149999999999999</v>
      </c>
      <c r="C103" s="50">
        <v>4.7130000000000001</v>
      </c>
      <c r="E103" s="50">
        <v>4.6970000000000001</v>
      </c>
      <c r="F103" s="50">
        <v>4.6980000000000004</v>
      </c>
      <c r="Q103" s="27">
        <v>19.2</v>
      </c>
      <c r="S103" s="50"/>
      <c r="U103" s="48" t="s">
        <v>158</v>
      </c>
      <c r="V103" s="50">
        <f t="shared" si="60"/>
        <v>14.577</v>
      </c>
      <c r="W103" s="50">
        <f t="shared" si="61"/>
        <v>14.574999999999999</v>
      </c>
      <c r="X103" s="50">
        <f t="shared" si="62"/>
        <v>0</v>
      </c>
      <c r="Y103" s="50"/>
    </row>
    <row r="104" spans="1:26" ht="15" customHeight="1">
      <c r="A104" s="49" t="s">
        <v>387</v>
      </c>
      <c r="B104" s="50">
        <v>4.718</v>
      </c>
      <c r="C104" s="50">
        <v>4.7130000000000001</v>
      </c>
      <c r="E104" s="50">
        <v>4.702</v>
      </c>
      <c r="F104" s="50">
        <v>4.7009999999999996</v>
      </c>
      <c r="Q104" s="48" t="s">
        <v>140</v>
      </c>
      <c r="S104" s="50"/>
      <c r="U104" s="48" t="s">
        <v>159</v>
      </c>
      <c r="V104" s="50">
        <f t="shared" si="60"/>
        <v>14.573</v>
      </c>
      <c r="W104" s="50">
        <f t="shared" si="61"/>
        <v>14.561</v>
      </c>
      <c r="X104" s="50">
        <f t="shared" si="62"/>
        <v>0</v>
      </c>
      <c r="Y104" s="50"/>
    </row>
    <row r="105" spans="1:26" ht="15" customHeight="1">
      <c r="A105" s="49" t="s">
        <v>388</v>
      </c>
      <c r="B105" s="50">
        <v>0.99199999999999999</v>
      </c>
      <c r="C105" s="50">
        <v>0.99199999999999999</v>
      </c>
      <c r="E105" s="50">
        <v>1.1890000000000001</v>
      </c>
      <c r="F105" s="50">
        <v>0.98199999999999998</v>
      </c>
      <c r="Q105" s="48" t="s">
        <v>141</v>
      </c>
      <c r="S105" s="50"/>
      <c r="U105" s="48" t="s">
        <v>160</v>
      </c>
      <c r="V105" s="50">
        <f t="shared" si="60"/>
        <v>14.584</v>
      </c>
      <c r="W105" s="50">
        <f t="shared" si="61"/>
        <v>14.582000000000001</v>
      </c>
      <c r="X105" s="50">
        <f t="shared" si="62"/>
        <v>0</v>
      </c>
      <c r="Y105" s="50"/>
    </row>
    <row r="106" spans="1:26" ht="15" customHeight="1">
      <c r="A106" s="49" t="s">
        <v>389</v>
      </c>
      <c r="B106" s="50">
        <v>0.99199999999999999</v>
      </c>
      <c r="C106" s="50">
        <v>0.995</v>
      </c>
      <c r="E106" s="50">
        <v>0.98399999999999999</v>
      </c>
      <c r="F106" s="50">
        <v>0.98399999999999999</v>
      </c>
      <c r="Q106" s="48" t="s">
        <v>142</v>
      </c>
      <c r="S106" s="50"/>
      <c r="U106" s="48" t="s">
        <v>161</v>
      </c>
      <c r="V106" s="50">
        <f t="shared" si="60"/>
        <v>14.558</v>
      </c>
      <c r="W106" s="50">
        <f t="shared" si="61"/>
        <v>14.557</v>
      </c>
      <c r="X106" s="50">
        <f t="shared" si="62"/>
        <v>0</v>
      </c>
      <c r="Y106" s="50"/>
    </row>
    <row r="107" spans="1:26" ht="15" customHeight="1">
      <c r="A107" s="49" t="s">
        <v>390</v>
      </c>
      <c r="B107" s="50">
        <v>4.45</v>
      </c>
      <c r="C107" s="50">
        <v>4.4509999999999996</v>
      </c>
      <c r="E107" s="50">
        <v>4.2450000000000001</v>
      </c>
      <c r="F107" s="50">
        <v>4.4509999999999996</v>
      </c>
      <c r="Q107" s="48" t="s">
        <v>143</v>
      </c>
      <c r="S107" s="50"/>
      <c r="U107" s="27">
        <v>33</v>
      </c>
      <c r="V107" s="50">
        <f t="shared" si="60"/>
        <v>27.672999999999998</v>
      </c>
      <c r="W107" s="50">
        <f t="shared" si="61"/>
        <v>27.683</v>
      </c>
      <c r="X107" s="50">
        <f t="shared" si="62"/>
        <v>0</v>
      </c>
      <c r="Y107" s="50"/>
    </row>
    <row r="108" spans="1:26" ht="15" customHeight="1">
      <c r="A108" s="49" t="s">
        <v>391</v>
      </c>
      <c r="B108" s="50">
        <v>4.4359999999999999</v>
      </c>
      <c r="C108" s="50">
        <v>4.4329999999999998</v>
      </c>
      <c r="E108" s="50">
        <v>4.4359999999999999</v>
      </c>
      <c r="F108" s="50">
        <v>4.4390000000000001</v>
      </c>
      <c r="Q108" s="48" t="s">
        <v>144</v>
      </c>
      <c r="S108" s="50"/>
      <c r="U108" s="27">
        <v>34</v>
      </c>
      <c r="V108" s="50">
        <f t="shared" si="60"/>
        <v>27.007999999999999</v>
      </c>
      <c r="W108" s="50">
        <f t="shared" si="61"/>
        <v>26.995000000000001</v>
      </c>
      <c r="X108" s="50">
        <f t="shared" si="62"/>
        <v>0</v>
      </c>
      <c r="Y108" s="50"/>
    </row>
    <row r="109" spans="1:26" ht="15" customHeight="1">
      <c r="A109" s="49" t="s">
        <v>392</v>
      </c>
      <c r="B109" s="50">
        <v>1.55</v>
      </c>
      <c r="C109" s="50">
        <v>1.546</v>
      </c>
      <c r="E109" s="50">
        <v>1.514</v>
      </c>
      <c r="F109" s="50">
        <v>1.5149999999999999</v>
      </c>
      <c r="Q109" s="48" t="s">
        <v>145</v>
      </c>
      <c r="S109" s="50"/>
      <c r="U109" s="27">
        <v>35</v>
      </c>
      <c r="V109" s="50">
        <f t="shared" si="60"/>
        <v>28.89</v>
      </c>
      <c r="W109" s="50">
        <f t="shared" si="61"/>
        <v>28.867000000000001</v>
      </c>
      <c r="X109" s="50">
        <f t="shared" si="62"/>
        <v>0</v>
      </c>
      <c r="Y109" s="50"/>
    </row>
    <row r="110" spans="1:26" ht="15" customHeight="1">
      <c r="A110" s="49" t="s">
        <v>393</v>
      </c>
      <c r="B110" s="50">
        <v>1.55</v>
      </c>
      <c r="C110" s="50">
        <v>1.5469999999999999</v>
      </c>
      <c r="E110" s="50">
        <v>1.522</v>
      </c>
      <c r="F110" s="50">
        <v>1.522</v>
      </c>
      <c r="Q110" s="27">
        <v>22</v>
      </c>
      <c r="R110" s="50">
        <f>B57</f>
        <v>12.821</v>
      </c>
      <c r="S110" s="50">
        <f t="shared" ref="S110:T110" si="67">C57</f>
        <v>12.818</v>
      </c>
      <c r="T110" s="50">
        <f t="shared" si="67"/>
        <v>0</v>
      </c>
      <c r="U110" s="27">
        <v>36</v>
      </c>
      <c r="V110" s="50">
        <f>E79</f>
        <v>5.7080000000000002</v>
      </c>
      <c r="W110" s="50">
        <f>F79</f>
        <v>5.7039999999999997</v>
      </c>
      <c r="X110" s="50">
        <f>G79</f>
        <v>0</v>
      </c>
      <c r="Y110" s="50"/>
    </row>
    <row r="111" spans="1:26" ht="15" customHeight="1">
      <c r="A111" s="49" t="s">
        <v>394</v>
      </c>
      <c r="B111" s="50">
        <v>4.7039999999999997</v>
      </c>
      <c r="C111" s="50">
        <v>4.6989999999999998</v>
      </c>
      <c r="E111" s="50">
        <v>4.6829999999999998</v>
      </c>
      <c r="F111" s="50">
        <v>4.681</v>
      </c>
      <c r="Q111" s="27">
        <v>23</v>
      </c>
      <c r="R111" s="50">
        <f>B58</f>
        <v>3.1139999999999999</v>
      </c>
      <c r="S111" s="50">
        <f t="shared" ref="S111:T111" si="68">C58</f>
        <v>3.1120000000000001</v>
      </c>
      <c r="T111" s="50">
        <f t="shared" si="68"/>
        <v>0</v>
      </c>
      <c r="U111" s="27">
        <v>37</v>
      </c>
      <c r="V111" s="50">
        <f>E78</f>
        <v>3.9470000000000001</v>
      </c>
      <c r="W111" s="50">
        <f>F78</f>
        <v>3.9470000000000001</v>
      </c>
      <c r="X111" s="50">
        <f>G78</f>
        <v>0</v>
      </c>
      <c r="Y111" s="50"/>
    </row>
    <row r="112" spans="1:26" ht="15" customHeight="1">
      <c r="A112" s="49" t="s">
        <v>395</v>
      </c>
      <c r="B112" s="50">
        <v>4.7039999999999997</v>
      </c>
      <c r="C112" s="50">
        <v>4.7009999999999996</v>
      </c>
      <c r="E112" s="50">
        <v>4.6820000000000004</v>
      </c>
      <c r="F112" s="50">
        <v>4.681</v>
      </c>
      <c r="Q112" s="27">
        <v>24</v>
      </c>
      <c r="R112" s="50">
        <f>B59</f>
        <v>3.1549999999999998</v>
      </c>
      <c r="S112" s="50">
        <f t="shared" ref="S112:T112" si="69">C59</f>
        <v>3.1539999999999999</v>
      </c>
      <c r="T112" s="50">
        <f t="shared" si="69"/>
        <v>0</v>
      </c>
      <c r="U112" s="27">
        <v>38</v>
      </c>
      <c r="V112" s="50">
        <f>E77</f>
        <v>1.337</v>
      </c>
      <c r="W112" s="50">
        <f>F77</f>
        <v>1.3380000000000001</v>
      </c>
      <c r="X112" s="50">
        <f>G77</f>
        <v>0</v>
      </c>
      <c r="Y112" s="50"/>
    </row>
    <row r="113" spans="1:25" ht="15" customHeight="1">
      <c r="A113" s="49" t="s">
        <v>396</v>
      </c>
      <c r="B113" s="50">
        <v>7.1420000000000003</v>
      </c>
      <c r="C113" s="50">
        <v>7.1360000000000001</v>
      </c>
      <c r="E113" s="50">
        <v>7.1420000000000003</v>
      </c>
      <c r="F113" s="50">
        <v>7.1280000000000001</v>
      </c>
      <c r="Q113" s="27">
        <v>25</v>
      </c>
      <c r="R113" s="50">
        <f>B60</f>
        <v>10.048</v>
      </c>
      <c r="S113" s="50">
        <f t="shared" ref="S113:T113" si="70">C60</f>
        <v>10.051</v>
      </c>
      <c r="T113" s="50">
        <f t="shared" si="70"/>
        <v>0</v>
      </c>
      <c r="U113" s="48" t="s">
        <v>162</v>
      </c>
      <c r="V113" s="50">
        <f t="shared" ref="V113:X117" si="71">E80</f>
        <v>1.006</v>
      </c>
      <c r="W113" s="50">
        <f t="shared" si="71"/>
        <v>1.0049999999999999</v>
      </c>
      <c r="X113" s="50">
        <f t="shared" si="71"/>
        <v>0</v>
      </c>
      <c r="Y113" s="50"/>
    </row>
    <row r="114" spans="1:25" ht="15" customHeight="1">
      <c r="A114" s="49" t="s">
        <v>397</v>
      </c>
      <c r="B114" s="50">
        <v>7.1509999999999998</v>
      </c>
      <c r="C114" s="50">
        <v>7.1529999999999996</v>
      </c>
      <c r="E114" s="50">
        <v>7.1449999999999996</v>
      </c>
      <c r="F114" s="50">
        <v>7.1420000000000003</v>
      </c>
      <c r="Q114" s="27">
        <v>26</v>
      </c>
      <c r="R114" s="51"/>
      <c r="T114" s="51"/>
      <c r="U114" s="48" t="s">
        <v>163</v>
      </c>
      <c r="V114" s="50">
        <f t="shared" si="71"/>
        <v>1.0009999999999999</v>
      </c>
      <c r="W114" s="50">
        <f t="shared" si="71"/>
        <v>1</v>
      </c>
      <c r="X114" s="50">
        <f t="shared" si="71"/>
        <v>0</v>
      </c>
    </row>
    <row r="115" spans="1:25" ht="15" customHeight="1">
      <c r="A115" s="49" t="s">
        <v>398</v>
      </c>
      <c r="B115" s="50">
        <v>7.165</v>
      </c>
      <c r="C115" s="50">
        <v>7.1680000000000001</v>
      </c>
      <c r="E115" s="50">
        <v>7.1589999999999998</v>
      </c>
      <c r="F115" s="50">
        <v>7.1520000000000001</v>
      </c>
      <c r="Q115" s="48" t="s">
        <v>146</v>
      </c>
      <c r="R115" s="51">
        <f>J19</f>
        <v>9.1000000000000004E-3</v>
      </c>
      <c r="S115" s="51">
        <f t="shared" ref="S115:T115" si="72">K19</f>
        <v>2.3699999999999999E-2</v>
      </c>
      <c r="T115" s="51">
        <f t="shared" si="72"/>
        <v>0</v>
      </c>
      <c r="U115" s="48" t="s">
        <v>164</v>
      </c>
      <c r="V115" s="50">
        <f t="shared" si="71"/>
        <v>0.99099999999999999</v>
      </c>
      <c r="W115" s="50">
        <f t="shared" si="71"/>
        <v>0.99099999999999999</v>
      </c>
      <c r="X115" s="50">
        <f t="shared" si="71"/>
        <v>0</v>
      </c>
    </row>
    <row r="116" spans="1:25" ht="15" customHeight="1">
      <c r="A116" s="49" t="s">
        <v>399</v>
      </c>
      <c r="B116" s="50">
        <v>7.1680000000000001</v>
      </c>
      <c r="C116" s="50">
        <v>7.1749999999999998</v>
      </c>
      <c r="E116" s="50">
        <v>7.157</v>
      </c>
      <c r="F116" s="50">
        <v>7.1559999999999997</v>
      </c>
      <c r="Q116" s="48" t="s">
        <v>147</v>
      </c>
      <c r="R116" s="51">
        <f>J20</f>
        <v>4.0000000000000001E-3</v>
      </c>
      <c r="S116" s="51">
        <f t="shared" ref="S116:T116" si="73">K20</f>
        <v>6.4999999999999997E-3</v>
      </c>
      <c r="T116" s="51">
        <f t="shared" si="73"/>
        <v>0</v>
      </c>
      <c r="U116" s="48" t="s">
        <v>165</v>
      </c>
      <c r="V116" s="50">
        <f t="shared" si="71"/>
        <v>2.8210000000000002</v>
      </c>
      <c r="W116" s="50">
        <f t="shared" si="71"/>
        <v>2.8210000000000002</v>
      </c>
      <c r="X116" s="50">
        <f t="shared" si="71"/>
        <v>0</v>
      </c>
    </row>
    <row r="117" spans="1:25" ht="15" customHeight="1">
      <c r="A117" s="49" t="s">
        <v>400</v>
      </c>
      <c r="B117" s="50">
        <v>2.1999999999999999E-2</v>
      </c>
      <c r="C117" s="50">
        <v>1.9E-2</v>
      </c>
      <c r="E117" s="50">
        <v>2E-3</v>
      </c>
      <c r="F117" s="50">
        <v>8.8499999999999996E-5</v>
      </c>
      <c r="Q117" s="48" t="s">
        <v>148</v>
      </c>
      <c r="R117" s="51">
        <f>J17</f>
        <v>1.5800000000000002E-2</v>
      </c>
      <c r="S117" s="51">
        <f t="shared" ref="S117:T117" si="74">K17</f>
        <v>2.8400000000000002E-2</v>
      </c>
      <c r="T117" s="51">
        <f t="shared" si="74"/>
        <v>0</v>
      </c>
      <c r="U117" s="48" t="s">
        <v>166</v>
      </c>
      <c r="V117" s="50">
        <f t="shared" si="71"/>
        <v>2.8159999999999998</v>
      </c>
      <c r="W117" s="50">
        <f t="shared" si="71"/>
        <v>2.8170000000000002</v>
      </c>
      <c r="X117" s="50">
        <f t="shared" si="71"/>
        <v>0</v>
      </c>
    </row>
    <row r="118" spans="1:25" ht="15" customHeight="1">
      <c r="A118" s="49" t="s">
        <v>401</v>
      </c>
      <c r="B118" s="50">
        <v>5.0000000000000001E-3</v>
      </c>
      <c r="C118" s="50">
        <v>5.0000000000000001E-3</v>
      </c>
      <c r="E118" s="50">
        <v>2.5000000000000001E-2</v>
      </c>
      <c r="F118" s="50">
        <v>3.3000000000000002E-2</v>
      </c>
      <c r="Q118" s="48" t="s">
        <v>149</v>
      </c>
      <c r="R118" s="51">
        <f>J18</f>
        <v>9.9000000000000008E-3</v>
      </c>
      <c r="S118" s="51">
        <f t="shared" ref="S118:T118" si="75">K18</f>
        <v>1.0699999999999999E-2</v>
      </c>
      <c r="T118" s="51">
        <f t="shared" si="75"/>
        <v>0</v>
      </c>
      <c r="U118" s="27">
        <v>41.1</v>
      </c>
      <c r="V118" s="50">
        <f t="shared" ref="V118:X125" si="76">E89</f>
        <v>2.379</v>
      </c>
      <c r="W118" s="50">
        <f t="shared" si="76"/>
        <v>2.383</v>
      </c>
      <c r="X118" s="50">
        <f t="shared" si="76"/>
        <v>0</v>
      </c>
    </row>
    <row r="119" spans="1:25" ht="15" customHeight="1">
      <c r="A119" s="49" t="s">
        <v>402</v>
      </c>
      <c r="B119" s="50">
        <v>8.0000000000000002E-3</v>
      </c>
      <c r="C119" s="50">
        <v>7.0000000000000001E-3</v>
      </c>
      <c r="E119" s="50">
        <v>8.0000000000000002E-3</v>
      </c>
      <c r="F119" s="50">
        <v>2.1999999999999999E-2</v>
      </c>
      <c r="Q119" s="48" t="s">
        <v>150</v>
      </c>
      <c r="R119" s="51">
        <f>J21</f>
        <v>1.06E-2</v>
      </c>
      <c r="S119" s="51">
        <f t="shared" ref="S119:T119" si="77">K21</f>
        <v>1.9699999999999999E-2</v>
      </c>
      <c r="T119" s="51">
        <f t="shared" si="77"/>
        <v>0</v>
      </c>
      <c r="U119" s="27">
        <v>41.2</v>
      </c>
      <c r="V119" s="50">
        <f t="shared" si="76"/>
        <v>2.3260000000000001</v>
      </c>
      <c r="W119" s="50">
        <f t="shared" si="76"/>
        <v>2.3929999999999998</v>
      </c>
      <c r="X119" s="50">
        <f t="shared" si="76"/>
        <v>0</v>
      </c>
    </row>
    <row r="120" spans="1:25" ht="15" customHeight="1">
      <c r="A120" s="49">
        <v>11.1</v>
      </c>
      <c r="B120" s="50">
        <v>1.399</v>
      </c>
      <c r="C120" s="50">
        <v>0.57199999999999995</v>
      </c>
      <c r="Q120" s="48" t="s">
        <v>151</v>
      </c>
      <c r="R120" s="51">
        <f>J22</f>
        <v>8.9999999999999993E-3</v>
      </c>
      <c r="S120" s="51">
        <f t="shared" ref="S120:T120" si="78">K22</f>
        <v>1.01E-2</v>
      </c>
      <c r="T120" s="51">
        <f t="shared" si="78"/>
        <v>0</v>
      </c>
      <c r="U120" s="27">
        <v>42</v>
      </c>
      <c r="V120" s="50">
        <f t="shared" si="76"/>
        <v>0.57999999999999996</v>
      </c>
      <c r="W120" s="50">
        <f t="shared" si="76"/>
        <v>0.57699999999999996</v>
      </c>
      <c r="X120" s="50">
        <f t="shared" si="76"/>
        <v>0</v>
      </c>
    </row>
    <row r="121" spans="1:25" ht="15" customHeight="1">
      <c r="A121" s="49">
        <v>11.2</v>
      </c>
      <c r="B121" s="50">
        <v>0.23400000000000001</v>
      </c>
      <c r="C121" s="50">
        <v>3.1E-2</v>
      </c>
      <c r="Q121" s="48" t="s">
        <v>152</v>
      </c>
      <c r="R121" s="50">
        <f t="shared" ref="R121:R133" si="79">B62</f>
        <v>33.823</v>
      </c>
      <c r="S121" s="50">
        <f t="shared" ref="S121:T121" si="80">C62</f>
        <v>33.817999999999998</v>
      </c>
      <c r="T121" s="50">
        <f t="shared" si="80"/>
        <v>0</v>
      </c>
      <c r="U121" s="27">
        <v>43</v>
      </c>
      <c r="V121" s="50">
        <f t="shared" si="76"/>
        <v>2.8650000000000002</v>
      </c>
      <c r="W121" s="50">
        <f t="shared" si="76"/>
        <v>2.8679999999999999</v>
      </c>
      <c r="X121" s="50">
        <f t="shared" si="76"/>
        <v>0</v>
      </c>
      <c r="Y121" s="50"/>
    </row>
    <row r="122" spans="1:25" ht="15" customHeight="1">
      <c r="A122" s="49">
        <v>11.3</v>
      </c>
      <c r="B122" s="50">
        <v>5.6000000000000001E-2</v>
      </c>
      <c r="C122" s="50">
        <v>3.5999999999999997E-2</v>
      </c>
      <c r="Q122" s="48" t="s">
        <v>153</v>
      </c>
      <c r="R122" s="50">
        <f t="shared" si="79"/>
        <v>33.831000000000003</v>
      </c>
      <c r="S122" s="50">
        <f t="shared" ref="S122:T122" si="81">C63</f>
        <v>33.813000000000002</v>
      </c>
      <c r="T122" s="50">
        <f t="shared" si="81"/>
        <v>0</v>
      </c>
      <c r="U122" s="27">
        <v>44</v>
      </c>
      <c r="V122" s="50">
        <f t="shared" si="76"/>
        <v>4.4850000000000003</v>
      </c>
      <c r="W122" s="50">
        <f t="shared" si="76"/>
        <v>4.4829999999999997</v>
      </c>
      <c r="X122" s="50">
        <f t="shared" si="76"/>
        <v>0</v>
      </c>
      <c r="Y122" s="50"/>
    </row>
    <row r="123" spans="1:25" ht="15" customHeight="1">
      <c r="A123" s="49">
        <v>11.4</v>
      </c>
      <c r="B123" s="50">
        <v>0.5</v>
      </c>
      <c r="C123" s="50">
        <v>20.117000000000001</v>
      </c>
      <c r="Q123" s="48" t="s">
        <v>154</v>
      </c>
      <c r="R123" s="50">
        <f t="shared" si="79"/>
        <v>4.2190000000000003</v>
      </c>
      <c r="S123" s="50">
        <f t="shared" ref="S123:T123" si="82">C64</f>
        <v>4.2210000000000001</v>
      </c>
      <c r="T123" s="50">
        <f t="shared" si="82"/>
        <v>0</v>
      </c>
      <c r="U123" s="48" t="s">
        <v>167</v>
      </c>
      <c r="V123" s="50">
        <f t="shared" si="76"/>
        <v>0.97399999999999998</v>
      </c>
      <c r="W123" s="50">
        <f t="shared" si="76"/>
        <v>0.98399999999999999</v>
      </c>
      <c r="X123" s="50">
        <f t="shared" si="76"/>
        <v>0</v>
      </c>
      <c r="Y123" s="50"/>
    </row>
    <row r="124" spans="1:25" ht="15" customHeight="1">
      <c r="A124" s="49">
        <v>11.5</v>
      </c>
      <c r="B124" s="50">
        <v>30.696999999999999</v>
      </c>
      <c r="C124" s="50">
        <v>14.680999999999999</v>
      </c>
      <c r="Q124" s="48" t="s">
        <v>155</v>
      </c>
      <c r="R124" s="50">
        <f t="shared" si="79"/>
        <v>4.2320000000000002</v>
      </c>
      <c r="S124" s="50">
        <f t="shared" ref="S124:T124" si="83">C65</f>
        <v>4.2320000000000002</v>
      </c>
      <c r="T124" s="50">
        <f t="shared" si="83"/>
        <v>0</v>
      </c>
      <c r="U124" s="48" t="s">
        <v>168</v>
      </c>
      <c r="V124" s="50">
        <f t="shared" si="76"/>
        <v>1.0309999999999999</v>
      </c>
      <c r="W124" s="50">
        <f t="shared" si="76"/>
        <v>1.03</v>
      </c>
      <c r="X124" s="50">
        <f t="shared" si="76"/>
        <v>0</v>
      </c>
      <c r="Y124" s="50"/>
    </row>
    <row r="125" spans="1:25" ht="15" customHeight="1">
      <c r="A125" s="49">
        <v>11.6</v>
      </c>
      <c r="B125" s="50">
        <v>2.0219999999999998</v>
      </c>
      <c r="C125" s="50">
        <v>0.83199999999999996</v>
      </c>
      <c r="Q125" s="48" t="s">
        <v>156</v>
      </c>
      <c r="R125" s="50">
        <f t="shared" si="79"/>
        <v>4.234</v>
      </c>
      <c r="S125" s="50">
        <f t="shared" ref="S125:T125" si="84">C66</f>
        <v>4.2350000000000003</v>
      </c>
      <c r="T125" s="50">
        <f t="shared" si="84"/>
        <v>0</v>
      </c>
      <c r="U125" s="48" t="s">
        <v>169</v>
      </c>
      <c r="V125" s="50">
        <f t="shared" si="76"/>
        <v>1.0129999999999999</v>
      </c>
      <c r="W125" s="50">
        <f t="shared" si="76"/>
        <v>1.01</v>
      </c>
      <c r="X125" s="50">
        <f t="shared" si="76"/>
        <v>0</v>
      </c>
      <c r="Y125" s="50"/>
    </row>
    <row r="126" spans="1:25" ht="15" customHeight="1">
      <c r="B126" s="50">
        <v>118.97</v>
      </c>
      <c r="C126" s="50" t="s">
        <v>861</v>
      </c>
      <c r="F126" s="50">
        <v>0.85</v>
      </c>
      <c r="G126" s="50">
        <v>0.85</v>
      </c>
      <c r="H126" s="50">
        <v>0.85</v>
      </c>
      <c r="N126" s="51">
        <v>0.85960000000000003</v>
      </c>
      <c r="Q126" s="48" t="s">
        <v>157</v>
      </c>
      <c r="R126" s="50">
        <f t="shared" si="79"/>
        <v>4.2270000000000003</v>
      </c>
      <c r="S126" s="50">
        <f t="shared" ref="S126:T126" si="85">C67</f>
        <v>4.2300000000000004</v>
      </c>
      <c r="T126" s="50">
        <f t="shared" si="85"/>
        <v>0</v>
      </c>
      <c r="U126" s="27">
        <v>46</v>
      </c>
      <c r="V126" s="50">
        <f t="shared" ref="V126:X129" si="86">E101</f>
        <v>1.022</v>
      </c>
      <c r="W126" s="50">
        <f t="shared" si="86"/>
        <v>1.02</v>
      </c>
      <c r="X126" s="50">
        <f t="shared" si="86"/>
        <v>0</v>
      </c>
      <c r="Y126" s="50"/>
    </row>
    <row r="127" spans="1:25" ht="15" customHeight="1">
      <c r="B127" s="50">
        <v>117.15</v>
      </c>
      <c r="C127" s="50" t="s">
        <v>861</v>
      </c>
      <c r="F127" s="50">
        <v>0.7</v>
      </c>
      <c r="G127" s="50">
        <v>0.7</v>
      </c>
      <c r="H127" s="50">
        <v>0.7</v>
      </c>
      <c r="N127" s="51">
        <v>0.68659999999999999</v>
      </c>
      <c r="Q127" s="48" t="s">
        <v>158</v>
      </c>
      <c r="R127" s="50">
        <f t="shared" si="79"/>
        <v>14.577999999999999</v>
      </c>
      <c r="S127" s="50">
        <f t="shared" ref="S127:T127" si="87">C68</f>
        <v>14.577</v>
      </c>
      <c r="T127" s="50">
        <f t="shared" si="87"/>
        <v>0</v>
      </c>
      <c r="U127" s="27">
        <v>47</v>
      </c>
      <c r="V127" s="50">
        <f t="shared" si="86"/>
        <v>4.9610000000000003</v>
      </c>
      <c r="W127" s="50">
        <f t="shared" si="86"/>
        <v>4.96</v>
      </c>
      <c r="X127" s="50">
        <f t="shared" si="86"/>
        <v>0</v>
      </c>
      <c r="Y127" s="50"/>
    </row>
    <row r="128" spans="1:25" ht="15" customHeight="1">
      <c r="B128" s="50">
        <v>117.44</v>
      </c>
      <c r="C128" s="50" t="s">
        <v>861</v>
      </c>
      <c r="F128" s="50">
        <v>0.7</v>
      </c>
      <c r="G128" s="50">
        <v>0.7</v>
      </c>
      <c r="H128" s="50">
        <v>0.7</v>
      </c>
      <c r="N128" s="51">
        <v>0.70020000000000004</v>
      </c>
      <c r="Q128" s="48" t="s">
        <v>159</v>
      </c>
      <c r="R128" s="50">
        <f t="shared" si="79"/>
        <v>14.54</v>
      </c>
      <c r="S128" s="50">
        <f t="shared" ref="S128:T128" si="88">C69</f>
        <v>14.54</v>
      </c>
      <c r="T128" s="50">
        <f t="shared" si="88"/>
        <v>0</v>
      </c>
      <c r="U128" s="27">
        <v>48.1</v>
      </c>
      <c r="V128" s="50">
        <f t="shared" si="86"/>
        <v>4.6970000000000001</v>
      </c>
      <c r="W128" s="50">
        <f t="shared" si="86"/>
        <v>4.6980000000000004</v>
      </c>
      <c r="X128" s="50">
        <f t="shared" si="86"/>
        <v>0</v>
      </c>
      <c r="Y128" s="50"/>
    </row>
    <row r="129" spans="2:25" ht="15" customHeight="1">
      <c r="B129" s="50">
        <v>117.1</v>
      </c>
      <c r="C129" s="50" t="s">
        <v>861</v>
      </c>
      <c r="F129" s="50">
        <v>0.7</v>
      </c>
      <c r="G129" s="50">
        <v>0.7</v>
      </c>
      <c r="H129" s="50">
        <v>0.7</v>
      </c>
      <c r="L129" s="51">
        <v>0.71309999999999996</v>
      </c>
      <c r="M129" s="51">
        <v>0.71309999999999996</v>
      </c>
      <c r="N129" s="51">
        <v>0.71309999999999996</v>
      </c>
      <c r="Q129" s="48" t="s">
        <v>160</v>
      </c>
      <c r="R129" s="50">
        <f t="shared" si="79"/>
        <v>14.555</v>
      </c>
      <c r="S129" s="50">
        <f t="shared" ref="S129:T129" si="89">C70</f>
        <v>14.554</v>
      </c>
      <c r="T129" s="50">
        <f t="shared" si="89"/>
        <v>0</v>
      </c>
      <c r="U129" s="27">
        <v>48.2</v>
      </c>
      <c r="V129" s="50">
        <f t="shared" si="86"/>
        <v>4.702</v>
      </c>
      <c r="W129" s="50">
        <f t="shared" si="86"/>
        <v>4.7009999999999996</v>
      </c>
      <c r="X129" s="50">
        <f t="shared" si="86"/>
        <v>0</v>
      </c>
      <c r="Y129" s="50"/>
    </row>
    <row r="130" spans="2:25" ht="15" customHeight="1">
      <c r="B130" s="50">
        <v>124.01</v>
      </c>
      <c r="C130" s="50" t="s">
        <v>862</v>
      </c>
      <c r="F130" s="50">
        <v>4.6100000000000003</v>
      </c>
      <c r="G130" s="50">
        <v>4.6100000000000003</v>
      </c>
      <c r="H130" s="50">
        <v>4.6100000000000003</v>
      </c>
      <c r="N130" s="51">
        <v>4.6474000000000002</v>
      </c>
      <c r="Q130" s="48" t="s">
        <v>161</v>
      </c>
      <c r="R130" s="50">
        <f t="shared" si="79"/>
        <v>14.571</v>
      </c>
      <c r="S130" s="50">
        <f t="shared" ref="S130:T130" si="90">C71</f>
        <v>14.57</v>
      </c>
      <c r="T130" s="50">
        <f t="shared" si="90"/>
        <v>0</v>
      </c>
      <c r="U130" s="27">
        <v>49.1</v>
      </c>
      <c r="V130" s="50">
        <f t="shared" ref="V130:X131" si="91">E2</f>
        <v>1</v>
      </c>
      <c r="W130" s="50">
        <f t="shared" si="91"/>
        <v>1</v>
      </c>
      <c r="X130" s="50">
        <f t="shared" si="91"/>
        <v>0</v>
      </c>
      <c r="Y130" s="50"/>
    </row>
    <row r="131" spans="2:25" ht="15" customHeight="1">
      <c r="B131" s="50">
        <v>117.101</v>
      </c>
      <c r="C131" s="50" t="s">
        <v>861</v>
      </c>
      <c r="F131" s="50">
        <v>0.7</v>
      </c>
      <c r="G131" s="50">
        <v>0.7</v>
      </c>
      <c r="H131" s="50">
        <v>0.7</v>
      </c>
      <c r="L131" s="51">
        <v>0.7016</v>
      </c>
      <c r="M131" s="51">
        <v>0.7016</v>
      </c>
      <c r="N131" s="51">
        <v>0.7016</v>
      </c>
      <c r="Q131" s="27">
        <v>33</v>
      </c>
      <c r="R131" s="50">
        <f t="shared" si="79"/>
        <v>27.681000000000001</v>
      </c>
      <c r="S131" s="50">
        <f t="shared" ref="S131:T131" si="92">C72</f>
        <v>27.677</v>
      </c>
      <c r="T131" s="50">
        <f t="shared" si="92"/>
        <v>0</v>
      </c>
      <c r="U131" s="27">
        <v>49.2</v>
      </c>
      <c r="V131" s="50">
        <f t="shared" si="91"/>
        <v>1.01</v>
      </c>
      <c r="W131" s="50">
        <f t="shared" si="91"/>
        <v>1.0109999999999999</v>
      </c>
      <c r="X131" s="50">
        <f t="shared" si="91"/>
        <v>0</v>
      </c>
      <c r="Y131" s="50"/>
    </row>
    <row r="132" spans="2:25" ht="15" customHeight="1">
      <c r="B132" s="50">
        <v>117.102</v>
      </c>
      <c r="C132" s="50" t="s">
        <v>861</v>
      </c>
      <c r="F132" s="50">
        <v>0.7</v>
      </c>
      <c r="G132" s="50">
        <v>0.7</v>
      </c>
      <c r="H132" s="50">
        <v>0.7</v>
      </c>
      <c r="L132" s="51">
        <v>0.70420000000000005</v>
      </c>
      <c r="M132" s="51">
        <v>0.70420000000000005</v>
      </c>
      <c r="N132" s="51">
        <v>0.70420000000000005</v>
      </c>
      <c r="Q132" s="27">
        <v>34</v>
      </c>
      <c r="R132" s="50">
        <f t="shared" si="79"/>
        <v>27.016999999999999</v>
      </c>
      <c r="S132" s="50">
        <f t="shared" ref="S132:T132" si="93">C73</f>
        <v>27.016999999999999</v>
      </c>
      <c r="T132" s="50">
        <f t="shared" si="93"/>
        <v>0</v>
      </c>
      <c r="U132" s="27">
        <v>50.1</v>
      </c>
      <c r="V132" s="50">
        <f t="shared" ref="V132:X133" si="94">E105</f>
        <v>1.1890000000000001</v>
      </c>
      <c r="W132" s="50">
        <f t="shared" si="94"/>
        <v>0.98199999999999998</v>
      </c>
      <c r="X132" s="50">
        <f t="shared" si="94"/>
        <v>0</v>
      </c>
      <c r="Y132" s="50"/>
    </row>
    <row r="133" spans="2:25" ht="15" customHeight="1">
      <c r="B133" s="50">
        <v>117.10299999999999</v>
      </c>
      <c r="C133" s="50" t="s">
        <v>861</v>
      </c>
      <c r="F133" s="50">
        <v>0.7</v>
      </c>
      <c r="G133" s="50">
        <v>0.7</v>
      </c>
      <c r="H133" s="50">
        <v>0.7</v>
      </c>
      <c r="L133" s="51">
        <v>0.70209999999999995</v>
      </c>
      <c r="M133" s="51">
        <v>0.70209999999999995</v>
      </c>
      <c r="N133" s="51">
        <v>0.70209999999999995</v>
      </c>
      <c r="Q133" s="27">
        <v>35</v>
      </c>
      <c r="R133" s="50">
        <f t="shared" si="79"/>
        <v>28.853000000000002</v>
      </c>
      <c r="S133" s="50">
        <f t="shared" ref="S133:T133" si="95">C74</f>
        <v>28.850999999999999</v>
      </c>
      <c r="T133" s="50">
        <f t="shared" si="95"/>
        <v>0</v>
      </c>
      <c r="U133" s="27">
        <v>50.2</v>
      </c>
      <c r="V133" s="50">
        <f t="shared" si="94"/>
        <v>0.98399999999999999</v>
      </c>
      <c r="W133" s="50">
        <f t="shared" si="94"/>
        <v>0.98399999999999999</v>
      </c>
      <c r="X133" s="50">
        <f t="shared" si="94"/>
        <v>0</v>
      </c>
      <c r="Y133" s="50"/>
    </row>
    <row r="134" spans="2:25" ht="15" customHeight="1">
      <c r="B134" s="50">
        <v>117.104</v>
      </c>
      <c r="C134" s="50" t="s">
        <v>861</v>
      </c>
      <c r="F134" s="50">
        <v>0.7</v>
      </c>
      <c r="G134" s="50">
        <v>0.7</v>
      </c>
      <c r="H134" s="50">
        <v>0.7</v>
      </c>
      <c r="L134" s="51">
        <v>0.69469999999999998</v>
      </c>
      <c r="M134" s="51">
        <v>0.69469999999999998</v>
      </c>
      <c r="N134" s="51">
        <v>0.69469999999999998</v>
      </c>
      <c r="Q134" s="27">
        <v>36</v>
      </c>
      <c r="R134" s="50">
        <f>B79</f>
        <v>5.7080000000000002</v>
      </c>
      <c r="S134" s="50">
        <f t="shared" ref="S134:T134" si="96">C79</f>
        <v>5.6890000000000001</v>
      </c>
      <c r="T134" s="50">
        <f t="shared" si="96"/>
        <v>0</v>
      </c>
      <c r="U134" s="27">
        <v>51.1</v>
      </c>
      <c r="V134" s="50">
        <f t="shared" ref="V134:X135" si="97">E4</f>
        <v>2.99</v>
      </c>
      <c r="W134" s="50">
        <f t="shared" si="97"/>
        <v>2.9860000000000002</v>
      </c>
      <c r="X134" s="50">
        <f t="shared" si="97"/>
        <v>0</v>
      </c>
      <c r="Y134" s="50"/>
    </row>
    <row r="135" spans="2:25" ht="15" customHeight="1">
      <c r="B135" s="50">
        <v>117.105</v>
      </c>
      <c r="C135" s="50" t="s">
        <v>860</v>
      </c>
      <c r="F135" s="50">
        <v>0.7</v>
      </c>
      <c r="G135" s="50">
        <v>0.7</v>
      </c>
      <c r="H135" s="50">
        <v>0.7</v>
      </c>
      <c r="L135" s="51">
        <v>0.67610000000000003</v>
      </c>
      <c r="M135" s="51">
        <v>0.67610000000000003</v>
      </c>
      <c r="N135" s="51">
        <v>0.67610000000000003</v>
      </c>
      <c r="Q135" s="27">
        <v>37</v>
      </c>
      <c r="R135" s="50">
        <f>B78</f>
        <v>3.9460000000000002</v>
      </c>
      <c r="S135" s="50">
        <f t="shared" ref="S135:T135" si="98">C78</f>
        <v>3.9460000000000002</v>
      </c>
      <c r="T135" s="50">
        <f t="shared" si="98"/>
        <v>0</v>
      </c>
      <c r="U135" s="27">
        <v>51.2</v>
      </c>
      <c r="V135" s="50">
        <f t="shared" si="97"/>
        <v>2.9620000000000002</v>
      </c>
      <c r="W135" s="50">
        <f t="shared" si="97"/>
        <v>2.9609999999999999</v>
      </c>
      <c r="X135" s="50">
        <f t="shared" si="97"/>
        <v>0</v>
      </c>
      <c r="Y135" s="50"/>
    </row>
    <row r="136" spans="2:25" ht="15" customHeight="1">
      <c r="B136" s="50">
        <v>117.10599999999999</v>
      </c>
      <c r="C136" s="50" t="s">
        <v>860</v>
      </c>
      <c r="F136" s="50">
        <v>0.7</v>
      </c>
      <c r="G136" s="50">
        <v>0.7</v>
      </c>
      <c r="H136" s="50">
        <v>0.7</v>
      </c>
      <c r="L136" s="51">
        <v>0.70299999999999996</v>
      </c>
      <c r="M136" s="51">
        <v>0.70299999999999996</v>
      </c>
      <c r="N136" s="51">
        <v>0.70299999999999996</v>
      </c>
      <c r="Q136" s="27">
        <v>38</v>
      </c>
      <c r="R136" s="50">
        <f>B77</f>
        <v>1.35</v>
      </c>
      <c r="S136" s="50">
        <f t="shared" ref="S136:T136" si="99">C77</f>
        <v>1.35</v>
      </c>
      <c r="T136" s="50">
        <f t="shared" si="99"/>
        <v>0</v>
      </c>
      <c r="U136" s="27">
        <v>52.1</v>
      </c>
      <c r="V136" s="50">
        <f t="shared" ref="V136:X137" si="100">E107</f>
        <v>4.2450000000000001</v>
      </c>
      <c r="W136" s="50">
        <f t="shared" si="100"/>
        <v>4.4509999999999996</v>
      </c>
      <c r="X136" s="50">
        <f t="shared" si="100"/>
        <v>0</v>
      </c>
      <c r="Y136" s="50"/>
    </row>
    <row r="137" spans="2:25" ht="15" customHeight="1">
      <c r="B137" s="50">
        <v>117.107</v>
      </c>
      <c r="C137" s="50" t="s">
        <v>860</v>
      </c>
      <c r="F137" s="50">
        <v>0.7</v>
      </c>
      <c r="G137" s="50">
        <v>0.7</v>
      </c>
      <c r="H137" s="50">
        <v>0.7</v>
      </c>
      <c r="L137" s="51">
        <v>0.69140000000000001</v>
      </c>
      <c r="M137" s="51">
        <v>0.69140000000000001</v>
      </c>
      <c r="N137" s="51">
        <v>0.69140000000000001</v>
      </c>
      <c r="Q137" s="48" t="s">
        <v>162</v>
      </c>
      <c r="R137" s="50">
        <f>B80</f>
        <v>0.999</v>
      </c>
      <c r="S137" s="50">
        <f t="shared" ref="S137:T137" si="101">C80</f>
        <v>0.998</v>
      </c>
      <c r="T137" s="50">
        <f t="shared" si="101"/>
        <v>0</v>
      </c>
      <c r="U137" s="27">
        <v>52.2</v>
      </c>
      <c r="V137" s="50">
        <f t="shared" si="100"/>
        <v>4.4359999999999999</v>
      </c>
      <c r="W137" s="50">
        <f t="shared" si="100"/>
        <v>4.4390000000000001</v>
      </c>
      <c r="X137" s="50">
        <f t="shared" si="100"/>
        <v>0</v>
      </c>
      <c r="Y137" s="50"/>
    </row>
    <row r="138" spans="2:25" ht="15" customHeight="1">
      <c r="B138" s="50">
        <v>117.108</v>
      </c>
      <c r="C138" s="50" t="s">
        <v>861</v>
      </c>
      <c r="F138" s="50">
        <v>0.7</v>
      </c>
      <c r="G138" s="50">
        <v>0.7</v>
      </c>
      <c r="H138" s="50">
        <v>0.7</v>
      </c>
      <c r="L138" s="51">
        <v>0.69930000000000003</v>
      </c>
      <c r="M138" s="51">
        <v>0.69930000000000003</v>
      </c>
      <c r="N138" s="51">
        <v>0.69930000000000003</v>
      </c>
      <c r="Q138" s="48" t="s">
        <v>163</v>
      </c>
      <c r="R138" s="50">
        <f>B81</f>
        <v>1</v>
      </c>
      <c r="S138" s="50">
        <f t="shared" ref="S138:T138" si="102">C81</f>
        <v>0.998</v>
      </c>
      <c r="T138" s="50">
        <f t="shared" si="102"/>
        <v>0</v>
      </c>
      <c r="U138" s="27">
        <v>53.1</v>
      </c>
      <c r="V138" s="50">
        <f t="shared" ref="V138:X139" si="103">E6</f>
        <v>10.016</v>
      </c>
      <c r="W138" s="50">
        <f t="shared" si="103"/>
        <v>10.016999999999999</v>
      </c>
      <c r="X138" s="50">
        <f t="shared" si="103"/>
        <v>0</v>
      </c>
      <c r="Y138" s="50"/>
    </row>
    <row r="139" spans="2:25" ht="15" customHeight="1">
      <c r="B139" s="50">
        <v>117.10899999999999</v>
      </c>
      <c r="C139" s="50" t="s">
        <v>861</v>
      </c>
      <c r="F139" s="50">
        <v>0.7</v>
      </c>
      <c r="G139" s="50">
        <v>0.7</v>
      </c>
      <c r="H139" s="50">
        <v>0.7</v>
      </c>
      <c r="L139" s="51">
        <v>0.69579999999999997</v>
      </c>
      <c r="M139" s="51">
        <v>0.69579999999999997</v>
      </c>
      <c r="N139" s="51">
        <v>0.69579999999999997</v>
      </c>
      <c r="Q139" s="48" t="s">
        <v>164</v>
      </c>
      <c r="R139" s="50">
        <f>B82</f>
        <v>0.99099999999999999</v>
      </c>
      <c r="S139" s="50">
        <f t="shared" ref="S139:T139" si="104">C82</f>
        <v>0.99</v>
      </c>
      <c r="T139" s="50">
        <f t="shared" si="104"/>
        <v>0</v>
      </c>
      <c r="U139" s="27">
        <v>53.2</v>
      </c>
      <c r="V139" s="50">
        <f t="shared" si="103"/>
        <v>9.9819999999999993</v>
      </c>
      <c r="W139" s="50">
        <f t="shared" si="103"/>
        <v>9.9819999999999993</v>
      </c>
      <c r="X139" s="50">
        <f t="shared" si="103"/>
        <v>0</v>
      </c>
      <c r="Y139" s="50"/>
    </row>
    <row r="140" spans="2:25" ht="15" customHeight="1">
      <c r="B140" s="50">
        <v>117.11</v>
      </c>
      <c r="C140" s="50" t="s">
        <v>861</v>
      </c>
      <c r="F140" s="50">
        <v>0.7</v>
      </c>
      <c r="G140" s="50">
        <v>0.7</v>
      </c>
      <c r="H140" s="50">
        <v>0.7</v>
      </c>
      <c r="L140" s="51">
        <v>0.69179999999999997</v>
      </c>
      <c r="M140" s="51">
        <v>0.69179999999999997</v>
      </c>
      <c r="N140" s="51">
        <v>0.69179999999999997</v>
      </c>
      <c r="Q140" s="48" t="s">
        <v>165</v>
      </c>
      <c r="R140" s="50">
        <f>B83</f>
        <v>2.7930000000000001</v>
      </c>
      <c r="S140" s="50">
        <f t="shared" ref="S140:T140" si="105">C83</f>
        <v>2.794</v>
      </c>
      <c r="T140" s="50">
        <f t="shared" si="105"/>
        <v>0</v>
      </c>
      <c r="U140" s="27">
        <v>54.1</v>
      </c>
      <c r="V140" s="50">
        <f t="shared" ref="V140:X143" si="106">E109</f>
        <v>1.514</v>
      </c>
      <c r="W140" s="50">
        <f t="shared" si="106"/>
        <v>1.5149999999999999</v>
      </c>
      <c r="X140" s="50">
        <f t="shared" si="106"/>
        <v>0</v>
      </c>
      <c r="Y140" s="50"/>
    </row>
    <row r="141" spans="2:25" ht="15" customHeight="1">
      <c r="B141" s="50">
        <v>126.01</v>
      </c>
      <c r="C141" s="50" t="s">
        <v>862</v>
      </c>
      <c r="F141" s="50">
        <v>3.1</v>
      </c>
      <c r="G141" s="50">
        <v>3.1</v>
      </c>
      <c r="H141" s="50">
        <v>3.1</v>
      </c>
      <c r="N141" s="51">
        <v>3.1320999999999999</v>
      </c>
      <c r="Q141" s="48" t="s">
        <v>166</v>
      </c>
      <c r="R141" s="50">
        <f>B84</f>
        <v>2.8130000000000002</v>
      </c>
      <c r="S141" s="50">
        <f t="shared" ref="S141:T141" si="107">C84</f>
        <v>2.8109999999999999</v>
      </c>
      <c r="T141" s="50">
        <f t="shared" si="107"/>
        <v>0</v>
      </c>
      <c r="U141" s="27">
        <v>54.2</v>
      </c>
      <c r="V141" s="50">
        <f t="shared" si="106"/>
        <v>1.522</v>
      </c>
      <c r="W141" s="50">
        <f t="shared" si="106"/>
        <v>1.522</v>
      </c>
      <c r="X141" s="50">
        <f t="shared" si="106"/>
        <v>0</v>
      </c>
      <c r="Y141" s="50"/>
    </row>
    <row r="142" spans="2:25" ht="15" customHeight="1">
      <c r="B142" s="50">
        <v>126.02</v>
      </c>
      <c r="C142" s="50" t="s">
        <v>862</v>
      </c>
      <c r="F142" s="50">
        <v>3.1</v>
      </c>
      <c r="G142" s="50">
        <v>3.1</v>
      </c>
      <c r="H142" s="50">
        <v>3.1</v>
      </c>
      <c r="N142" s="51">
        <v>3.1217999999999999</v>
      </c>
      <c r="Q142" s="27">
        <v>41.1</v>
      </c>
      <c r="R142" s="50">
        <f t="shared" ref="R142:R149" si="108">B89</f>
        <v>2.363</v>
      </c>
      <c r="S142" s="50">
        <f t="shared" ref="S142:T142" si="109">C89</f>
        <v>2.3660000000000001</v>
      </c>
      <c r="T142" s="50">
        <f t="shared" si="109"/>
        <v>0</v>
      </c>
      <c r="U142" s="27">
        <v>55.1</v>
      </c>
      <c r="V142" s="50">
        <f t="shared" si="106"/>
        <v>4.6829999999999998</v>
      </c>
      <c r="W142" s="50">
        <f t="shared" si="106"/>
        <v>4.681</v>
      </c>
      <c r="X142" s="50">
        <f t="shared" si="106"/>
        <v>0</v>
      </c>
      <c r="Y142" s="50"/>
    </row>
    <row r="143" spans="2:25" ht="15" customHeight="1">
      <c r="B143" s="50">
        <v>126.03</v>
      </c>
      <c r="C143" s="50" t="s">
        <v>862</v>
      </c>
      <c r="F143" s="50">
        <v>3.1</v>
      </c>
      <c r="G143" s="50">
        <v>3.1</v>
      </c>
      <c r="H143" s="50">
        <v>3.1</v>
      </c>
      <c r="N143" s="51">
        <v>3.1158999999999999</v>
      </c>
      <c r="Q143" s="27">
        <v>41.2</v>
      </c>
      <c r="R143" s="50">
        <f t="shared" si="108"/>
        <v>2.3570000000000002</v>
      </c>
      <c r="S143" s="50">
        <f t="shared" ref="S143:T143" si="110">C90</f>
        <v>2.3559999999999999</v>
      </c>
      <c r="T143" s="50">
        <f t="shared" si="110"/>
        <v>0</v>
      </c>
      <c r="U143" s="27">
        <v>55.2</v>
      </c>
      <c r="V143" s="50">
        <f t="shared" si="106"/>
        <v>4.6820000000000004</v>
      </c>
      <c r="W143" s="50">
        <f t="shared" si="106"/>
        <v>4.681</v>
      </c>
      <c r="X143" s="50">
        <f t="shared" si="106"/>
        <v>0</v>
      </c>
      <c r="Y143" s="50"/>
    </row>
    <row r="144" spans="2:25" ht="15" customHeight="1">
      <c r="B144" s="50">
        <v>126.04</v>
      </c>
      <c r="C144" s="50" t="s">
        <v>862</v>
      </c>
      <c r="F144" s="50">
        <v>3.1</v>
      </c>
      <c r="G144" s="50">
        <v>3.1</v>
      </c>
      <c r="H144" s="50">
        <v>3.1</v>
      </c>
      <c r="N144" s="51">
        <v>3.1168</v>
      </c>
      <c r="Q144" s="27">
        <v>42</v>
      </c>
      <c r="R144" s="50">
        <f t="shared" si="108"/>
        <v>0.55600000000000005</v>
      </c>
      <c r="S144" s="50">
        <f t="shared" ref="S144:T144" si="111">C91</f>
        <v>0.56200000000000006</v>
      </c>
      <c r="T144" s="50">
        <f t="shared" si="111"/>
        <v>0</v>
      </c>
      <c r="U144" s="48">
        <v>56</v>
      </c>
      <c r="V144" s="50">
        <f t="shared" ref="V144:X145" si="112">E75</f>
        <v>1.2E-2</v>
      </c>
      <c r="W144" s="50">
        <f t="shared" si="112"/>
        <v>1E-3</v>
      </c>
      <c r="X144" s="50">
        <f t="shared" si="112"/>
        <v>0</v>
      </c>
      <c r="Y144" s="50"/>
    </row>
    <row r="145" spans="2:25" ht="15" customHeight="1">
      <c r="B145" s="50">
        <v>126.05</v>
      </c>
      <c r="C145" s="50" t="s">
        <v>862</v>
      </c>
      <c r="F145" s="50">
        <v>3.1</v>
      </c>
      <c r="G145" s="50">
        <v>3.1</v>
      </c>
      <c r="H145" s="50">
        <v>3.1</v>
      </c>
      <c r="N145" s="51">
        <v>3.1214</v>
      </c>
      <c r="Q145" s="27">
        <v>43</v>
      </c>
      <c r="R145" s="50">
        <f t="shared" si="108"/>
        <v>2.827</v>
      </c>
      <c r="S145" s="50">
        <f t="shared" ref="S145:T145" si="113">C92</f>
        <v>2.8460000000000001</v>
      </c>
      <c r="T145" s="50">
        <f t="shared" si="113"/>
        <v>0</v>
      </c>
      <c r="U145" s="48">
        <v>57</v>
      </c>
      <c r="V145" s="50">
        <f t="shared" si="112"/>
        <v>0</v>
      </c>
      <c r="W145" s="50">
        <f t="shared" si="112"/>
        <v>2.1999999999999999E-2</v>
      </c>
      <c r="X145" s="50">
        <f t="shared" si="112"/>
        <v>0</v>
      </c>
      <c r="Y145" s="50"/>
    </row>
    <row r="146" spans="2:25" ht="15" customHeight="1">
      <c r="B146" s="50">
        <v>126.06</v>
      </c>
      <c r="C146" s="50" t="s">
        <v>862</v>
      </c>
      <c r="F146" s="50">
        <v>3.1</v>
      </c>
      <c r="G146" s="50">
        <v>3.1</v>
      </c>
      <c r="H146" s="50">
        <v>3.1</v>
      </c>
      <c r="N146" s="51">
        <v>3.1080999999999999</v>
      </c>
      <c r="Q146" s="27">
        <v>44</v>
      </c>
      <c r="R146" s="50">
        <f t="shared" si="108"/>
        <v>4.4580000000000002</v>
      </c>
      <c r="S146" s="50">
        <f t="shared" ref="S146:T146" si="114">C93</f>
        <v>4.4660000000000002</v>
      </c>
      <c r="T146" s="50">
        <f t="shared" si="114"/>
        <v>0</v>
      </c>
      <c r="U146" s="48" t="s">
        <v>171</v>
      </c>
      <c r="V146" s="50">
        <f>E18</f>
        <v>0.67500000000000004</v>
      </c>
      <c r="W146" s="50">
        <f>F18</f>
        <v>0.67900000000000005</v>
      </c>
      <c r="X146" s="50">
        <f>G18</f>
        <v>0</v>
      </c>
      <c r="Y146" s="50"/>
    </row>
    <row r="147" spans="2:25" ht="15" customHeight="1">
      <c r="B147" s="50">
        <v>126.07</v>
      </c>
      <c r="C147" s="50" t="s">
        <v>862</v>
      </c>
      <c r="F147" s="50">
        <v>3.1</v>
      </c>
      <c r="G147" s="50">
        <v>3.1</v>
      </c>
      <c r="H147" s="50">
        <v>3.1</v>
      </c>
      <c r="N147" s="51">
        <v>3.1074000000000002</v>
      </c>
      <c r="Q147" s="48" t="s">
        <v>167</v>
      </c>
      <c r="R147" s="50">
        <f t="shared" si="108"/>
        <v>0.96199999999999997</v>
      </c>
      <c r="S147" s="50">
        <f t="shared" ref="S147:T147" si="115">C94</f>
        <v>0.96699999999999997</v>
      </c>
      <c r="T147" s="50">
        <f t="shared" si="115"/>
        <v>0</v>
      </c>
      <c r="U147" s="48" t="s">
        <v>172</v>
      </c>
      <c r="V147" s="50">
        <f>E24</f>
        <v>0.68200000000000005</v>
      </c>
      <c r="W147" s="50">
        <f>F24</f>
        <v>0.68100000000000005</v>
      </c>
      <c r="X147" s="50">
        <f>G24</f>
        <v>0</v>
      </c>
      <c r="Y147" s="50"/>
    </row>
    <row r="148" spans="2:25" ht="15" customHeight="1">
      <c r="B148" s="50">
        <v>126.08</v>
      </c>
      <c r="C148" s="50" t="s">
        <v>862</v>
      </c>
      <c r="F148" s="50">
        <v>3.1</v>
      </c>
      <c r="G148" s="50">
        <v>3.1</v>
      </c>
      <c r="H148" s="50">
        <v>3.1</v>
      </c>
      <c r="N148" s="51">
        <v>3.1095000000000002</v>
      </c>
      <c r="Q148" s="48" t="s">
        <v>168</v>
      </c>
      <c r="R148" s="50">
        <f t="shared" si="108"/>
        <v>1.008</v>
      </c>
      <c r="S148" s="50">
        <f t="shared" ref="S148:T148" si="116">C95</f>
        <v>1.006</v>
      </c>
      <c r="T148" s="50">
        <f t="shared" si="116"/>
        <v>0</v>
      </c>
      <c r="U148" s="48" t="s">
        <v>173</v>
      </c>
      <c r="V148" s="50">
        <f>E30</f>
        <v>0.68100000000000005</v>
      </c>
      <c r="W148" s="50">
        <f>F30</f>
        <v>0.68400000000000005</v>
      </c>
      <c r="X148" s="50">
        <f>G30</f>
        <v>0</v>
      </c>
      <c r="Y148" s="50"/>
    </row>
    <row r="149" spans="2:25" ht="15" customHeight="1">
      <c r="B149" s="50">
        <v>126.09</v>
      </c>
      <c r="C149" s="50" t="s">
        <v>862</v>
      </c>
      <c r="F149" s="50">
        <v>3.1</v>
      </c>
      <c r="G149" s="50">
        <v>3.1</v>
      </c>
      <c r="H149" s="50">
        <v>3.1</v>
      </c>
      <c r="N149" s="51">
        <v>3.0979999999999999</v>
      </c>
      <c r="Q149" s="48" t="s">
        <v>169</v>
      </c>
      <c r="R149" s="50">
        <f t="shared" si="108"/>
        <v>0.98299999999999998</v>
      </c>
      <c r="S149" s="50">
        <f t="shared" ref="S149:T149" si="117">C96</f>
        <v>0.98199999999999998</v>
      </c>
      <c r="T149" s="50">
        <f t="shared" si="117"/>
        <v>0</v>
      </c>
      <c r="U149" s="48" t="s">
        <v>174</v>
      </c>
      <c r="V149" s="50">
        <f>E36</f>
        <v>0.69399999999999995</v>
      </c>
      <c r="W149" s="50">
        <f>F36</f>
        <v>0.69599999999999995</v>
      </c>
      <c r="X149" s="50">
        <f>G36</f>
        <v>0</v>
      </c>
      <c r="Y149" s="50"/>
    </row>
    <row r="150" spans="2:25" ht="15" customHeight="1">
      <c r="B150" s="50">
        <v>117.65</v>
      </c>
      <c r="C150" s="50" t="s">
        <v>861</v>
      </c>
      <c r="F150" s="50">
        <v>0.7</v>
      </c>
      <c r="G150" s="50">
        <v>0.7</v>
      </c>
      <c r="H150" s="50">
        <v>0.7</v>
      </c>
      <c r="N150" s="51">
        <v>0.70130000000000003</v>
      </c>
      <c r="Q150" s="27">
        <v>46</v>
      </c>
      <c r="R150" s="50">
        <f>B101</f>
        <v>1.032</v>
      </c>
      <c r="S150" s="50">
        <f t="shared" ref="S150:T150" si="118">C101</f>
        <v>1.044</v>
      </c>
      <c r="T150" s="50">
        <f t="shared" si="118"/>
        <v>0</v>
      </c>
      <c r="U150" s="48" t="s">
        <v>175</v>
      </c>
      <c r="V150" s="50">
        <f>E42</f>
        <v>0.69499999999999995</v>
      </c>
      <c r="W150" s="50">
        <f>F42</f>
        <v>0.7</v>
      </c>
      <c r="X150" s="50">
        <f>G42</f>
        <v>0</v>
      </c>
      <c r="Y150" s="50"/>
    </row>
    <row r="151" spans="2:25" ht="15" customHeight="1">
      <c r="B151" s="50">
        <v>117.66</v>
      </c>
      <c r="C151" s="50" t="s">
        <v>861</v>
      </c>
      <c r="F151" s="50">
        <v>0.7</v>
      </c>
      <c r="G151" s="50">
        <v>0.7</v>
      </c>
      <c r="H151" s="50">
        <v>0.7</v>
      </c>
      <c r="N151" s="51">
        <v>0.70440000000000003</v>
      </c>
      <c r="Q151" s="27">
        <v>47</v>
      </c>
      <c r="R151" s="50">
        <f>B102</f>
        <v>4.9690000000000003</v>
      </c>
      <c r="S151" s="50">
        <f t="shared" ref="S151:T151" si="119">C102</f>
        <v>4.9720000000000004</v>
      </c>
      <c r="T151" s="50">
        <f t="shared" si="119"/>
        <v>0</v>
      </c>
      <c r="U151" s="48" t="s">
        <v>176</v>
      </c>
      <c r="V151" s="50">
        <f>E12</f>
        <v>0.69099999999999995</v>
      </c>
      <c r="W151" s="50">
        <f>F12</f>
        <v>0.69399999999999995</v>
      </c>
      <c r="X151" s="50">
        <f>G12</f>
        <v>0</v>
      </c>
      <c r="Y151" s="50"/>
    </row>
    <row r="152" spans="2:25" ht="15" customHeight="1">
      <c r="B152" s="50">
        <v>117.67</v>
      </c>
      <c r="C152" s="50" t="s">
        <v>861</v>
      </c>
      <c r="F152" s="50">
        <v>0.7</v>
      </c>
      <c r="G152" s="50">
        <v>0.7</v>
      </c>
      <c r="H152" s="50">
        <v>0.7</v>
      </c>
      <c r="N152" s="51">
        <v>0.70740000000000003</v>
      </c>
      <c r="Q152" s="27">
        <v>48</v>
      </c>
      <c r="R152" s="50">
        <f>B103</f>
        <v>4.7149999999999999</v>
      </c>
      <c r="S152" s="50">
        <f t="shared" ref="S152:T152" si="120">C103</f>
        <v>4.7130000000000001</v>
      </c>
      <c r="T152" s="50">
        <f t="shared" si="120"/>
        <v>0</v>
      </c>
      <c r="U152" s="48" t="s">
        <v>177</v>
      </c>
      <c r="V152" s="50">
        <f>E19</f>
        <v>0.55300000000000005</v>
      </c>
      <c r="W152" s="50">
        <f>F19</f>
        <v>0.55200000000000005</v>
      </c>
      <c r="X152" s="50">
        <f>G19</f>
        <v>0</v>
      </c>
      <c r="Y152" s="50"/>
    </row>
    <row r="153" spans="2:25" ht="15" customHeight="1">
      <c r="B153" s="50">
        <v>117.68</v>
      </c>
      <c r="C153" s="50" t="s">
        <v>861</v>
      </c>
      <c r="F153" s="50">
        <v>0.7</v>
      </c>
      <c r="G153" s="50">
        <v>0.7</v>
      </c>
      <c r="H153" s="50">
        <v>0.7</v>
      </c>
      <c r="N153" s="51">
        <v>0.71230000000000004</v>
      </c>
      <c r="R153" s="50">
        <f>B104</f>
        <v>4.718</v>
      </c>
      <c r="S153" s="50">
        <f t="shared" ref="S153:T153" si="121">C104</f>
        <v>4.7130000000000001</v>
      </c>
      <c r="T153" s="50">
        <f t="shared" si="121"/>
        <v>0</v>
      </c>
      <c r="U153" s="48" t="s">
        <v>178</v>
      </c>
      <c r="V153" s="50">
        <f>E25</f>
        <v>0.55300000000000005</v>
      </c>
      <c r="W153" s="50">
        <f>F25</f>
        <v>0.55600000000000005</v>
      </c>
      <c r="X153" s="50">
        <f>G25</f>
        <v>0</v>
      </c>
      <c r="Y153" s="50"/>
    </row>
    <row r="154" spans="2:25" ht="15" customHeight="1">
      <c r="B154" s="50">
        <v>117.69</v>
      </c>
      <c r="C154" s="50" t="s">
        <v>861</v>
      </c>
      <c r="F154" s="50">
        <v>0.7</v>
      </c>
      <c r="G154" s="50">
        <v>0.7</v>
      </c>
      <c r="H154" s="50">
        <v>0.7</v>
      </c>
      <c r="N154" s="51">
        <v>0.70140000000000002</v>
      </c>
      <c r="Q154" s="27">
        <v>49.1</v>
      </c>
      <c r="R154" s="50">
        <f>B2</f>
        <v>1</v>
      </c>
      <c r="S154" s="50">
        <f t="shared" ref="S154:T154" si="122">C2</f>
        <v>1</v>
      </c>
      <c r="T154" s="50">
        <f t="shared" si="122"/>
        <v>0</v>
      </c>
      <c r="U154" s="48" t="s">
        <v>179</v>
      </c>
      <c r="V154" s="50">
        <f>E31</f>
        <v>0.55500000000000005</v>
      </c>
      <c r="W154" s="50">
        <f>F31</f>
        <v>0.55500000000000005</v>
      </c>
      <c r="X154" s="50">
        <f>G31</f>
        <v>0</v>
      </c>
      <c r="Y154" s="50"/>
    </row>
    <row r="155" spans="2:25" ht="15" customHeight="1">
      <c r="B155" s="50">
        <v>117.7</v>
      </c>
      <c r="C155" s="50" t="s">
        <v>861</v>
      </c>
      <c r="F155" s="50">
        <v>0.7</v>
      </c>
      <c r="G155" s="50">
        <v>0.7</v>
      </c>
      <c r="H155" s="50">
        <v>0.7</v>
      </c>
      <c r="N155" s="51">
        <v>0.70440000000000003</v>
      </c>
      <c r="Q155" s="27">
        <v>49.2</v>
      </c>
      <c r="R155" s="50">
        <f>B3</f>
        <v>1.01</v>
      </c>
      <c r="S155" s="50">
        <f t="shared" ref="S155:T155" si="123">C3</f>
        <v>1.0089999999999999</v>
      </c>
      <c r="T155" s="50">
        <f t="shared" si="123"/>
        <v>0</v>
      </c>
      <c r="U155" s="48" t="s">
        <v>180</v>
      </c>
      <c r="V155" s="50">
        <f>E37</f>
        <v>0.55300000000000005</v>
      </c>
      <c r="W155" s="50">
        <f>F37</f>
        <v>0.54500000000000004</v>
      </c>
      <c r="X155" s="50">
        <f>G37</f>
        <v>0</v>
      </c>
      <c r="Y155" s="50"/>
    </row>
    <row r="156" spans="2:25" ht="15" customHeight="1">
      <c r="B156" s="50">
        <v>117.71</v>
      </c>
      <c r="C156" s="50" t="s">
        <v>861</v>
      </c>
      <c r="F156" s="50">
        <v>0.7</v>
      </c>
      <c r="G156" s="50">
        <v>0.7</v>
      </c>
      <c r="H156" s="50">
        <v>0.7</v>
      </c>
      <c r="N156" s="51">
        <v>0.70509999999999995</v>
      </c>
      <c r="Q156" s="27">
        <v>50.1</v>
      </c>
      <c r="R156" s="50">
        <f>B105</f>
        <v>0.99199999999999999</v>
      </c>
      <c r="S156" s="50">
        <f t="shared" ref="S156:T156" si="124">C105</f>
        <v>0.99199999999999999</v>
      </c>
      <c r="T156" s="50">
        <f t="shared" si="124"/>
        <v>0</v>
      </c>
      <c r="U156" s="48" t="s">
        <v>181</v>
      </c>
      <c r="V156" s="50">
        <f>E43</f>
        <v>0.53600000000000003</v>
      </c>
      <c r="W156" s="50">
        <f>F43</f>
        <v>0.56899999999999995</v>
      </c>
      <c r="X156" s="50">
        <f>G43</f>
        <v>0</v>
      </c>
      <c r="Y156" s="50"/>
    </row>
    <row r="157" spans="2:25" ht="15" customHeight="1">
      <c r="B157" s="50">
        <v>124.02</v>
      </c>
      <c r="C157" s="50" t="s">
        <v>862</v>
      </c>
      <c r="F157" s="50">
        <v>4.6100000000000003</v>
      </c>
      <c r="G157" s="50">
        <v>4.6100000000000003</v>
      </c>
      <c r="H157" s="50">
        <v>4.6100000000000003</v>
      </c>
      <c r="N157" s="51">
        <v>4.6210000000000004</v>
      </c>
      <c r="Q157" s="27">
        <v>50.2</v>
      </c>
      <c r="R157" s="50">
        <f>B106</f>
        <v>0.99199999999999999</v>
      </c>
      <c r="S157" s="50">
        <f t="shared" ref="S157:T157" si="125">C106</f>
        <v>0.995</v>
      </c>
      <c r="T157" s="50">
        <f t="shared" si="125"/>
        <v>0</v>
      </c>
      <c r="U157" s="48" t="s">
        <v>182</v>
      </c>
      <c r="V157" s="50">
        <f>E13</f>
        <v>0.53500000000000003</v>
      </c>
      <c r="W157" s="50">
        <f>F13</f>
        <v>0.53500000000000003</v>
      </c>
      <c r="X157" s="50">
        <f>G13</f>
        <v>0</v>
      </c>
      <c r="Y157" s="50"/>
    </row>
    <row r="158" spans="2:25" ht="15" customHeight="1">
      <c r="B158" s="50">
        <v>124.03</v>
      </c>
      <c r="C158" s="50" t="s">
        <v>862</v>
      </c>
      <c r="F158" s="50">
        <v>4.6100000000000003</v>
      </c>
      <c r="G158" s="50">
        <v>4.6100000000000003</v>
      </c>
      <c r="H158" s="50">
        <v>4.6100000000000003</v>
      </c>
      <c r="N158" s="51">
        <v>4.6075999999999997</v>
      </c>
      <c r="Q158" s="27">
        <v>51.1</v>
      </c>
      <c r="R158" s="50">
        <f>B4</f>
        <v>2.9620000000000002</v>
      </c>
      <c r="S158" s="50">
        <f t="shared" ref="S158:T158" si="126">C4</f>
        <v>2.9609999999999999</v>
      </c>
      <c r="T158" s="50">
        <f t="shared" si="126"/>
        <v>0</v>
      </c>
      <c r="U158" s="48" t="s">
        <v>191</v>
      </c>
      <c r="V158" s="50"/>
      <c r="W158" s="50"/>
      <c r="X158" s="50"/>
      <c r="Y158" s="50"/>
    </row>
    <row r="159" spans="2:25" ht="15" customHeight="1">
      <c r="B159" s="50">
        <v>124.04</v>
      </c>
      <c r="C159" s="50" t="s">
        <v>862</v>
      </c>
      <c r="F159" s="50">
        <v>4.6100000000000003</v>
      </c>
      <c r="G159" s="50">
        <v>4.6100000000000003</v>
      </c>
      <c r="H159" s="50">
        <v>4.6100000000000003</v>
      </c>
      <c r="N159" s="51">
        <v>4.6089000000000002</v>
      </c>
      <c r="Q159" s="27">
        <v>51.2</v>
      </c>
      <c r="R159" s="50">
        <f>B5</f>
        <v>2.9750000000000001</v>
      </c>
      <c r="S159" s="50">
        <f t="shared" ref="S159:T159" si="127">C5</f>
        <v>2.9750000000000001</v>
      </c>
      <c r="T159" s="50">
        <f t="shared" si="127"/>
        <v>0</v>
      </c>
      <c r="U159" s="48" t="s">
        <v>192</v>
      </c>
      <c r="V159" s="50"/>
      <c r="W159" s="50"/>
      <c r="X159" s="50"/>
      <c r="Y159" s="50"/>
    </row>
    <row r="160" spans="2:25" ht="15" customHeight="1">
      <c r="B160" s="50">
        <v>124.05</v>
      </c>
      <c r="C160" s="50" t="s">
        <v>862</v>
      </c>
      <c r="F160" s="50">
        <v>4.6100000000000003</v>
      </c>
      <c r="G160" s="50">
        <v>4.6100000000000003</v>
      </c>
      <c r="H160" s="50">
        <v>4.6100000000000003</v>
      </c>
      <c r="N160" s="51">
        <v>4.5963000000000003</v>
      </c>
      <c r="Q160" s="27">
        <v>52.1</v>
      </c>
      <c r="R160" s="50">
        <f>B107</f>
        <v>4.45</v>
      </c>
      <c r="S160" s="50">
        <f t="shared" ref="S160:T160" si="128">C107</f>
        <v>4.4509999999999996</v>
      </c>
      <c r="T160" s="50">
        <f t="shared" si="128"/>
        <v>0</v>
      </c>
      <c r="U160" s="48" t="s">
        <v>193</v>
      </c>
      <c r="V160" s="50"/>
      <c r="W160" s="50"/>
      <c r="X160" s="50"/>
      <c r="Y160" s="50"/>
    </row>
    <row r="161" spans="2:25" ht="15" customHeight="1">
      <c r="B161" s="50">
        <v>124.06</v>
      </c>
      <c r="C161" s="50" t="s">
        <v>862</v>
      </c>
      <c r="F161" s="50">
        <v>4.6100000000000003</v>
      </c>
      <c r="G161" s="50">
        <v>4.6100000000000003</v>
      </c>
      <c r="H161" s="50">
        <v>4.6100000000000003</v>
      </c>
      <c r="N161" s="51">
        <v>4.5949999999999998</v>
      </c>
      <c r="Q161" s="27">
        <v>52.2</v>
      </c>
      <c r="R161" s="50">
        <f>B108</f>
        <v>4.4359999999999999</v>
      </c>
      <c r="S161" s="50">
        <f t="shared" ref="S161:T161" si="129">C108</f>
        <v>4.4329999999999998</v>
      </c>
      <c r="T161" s="50">
        <f t="shared" si="129"/>
        <v>0</v>
      </c>
      <c r="U161" s="48" t="s">
        <v>194</v>
      </c>
      <c r="V161" s="50"/>
      <c r="W161" s="50"/>
      <c r="X161" s="50"/>
      <c r="Y161" s="50"/>
    </row>
    <row r="162" spans="2:25" ht="15" customHeight="1">
      <c r="B162" s="50">
        <v>124.07</v>
      </c>
      <c r="C162" s="50" t="s">
        <v>862</v>
      </c>
      <c r="F162" s="50">
        <v>4.6100000000000003</v>
      </c>
      <c r="G162" s="50">
        <v>4.6100000000000003</v>
      </c>
      <c r="H162" s="50">
        <v>4.6100000000000003</v>
      </c>
      <c r="N162" s="51">
        <v>4.5999999999999996</v>
      </c>
      <c r="Q162" s="27">
        <v>53.1</v>
      </c>
      <c r="R162" s="50">
        <f>B6</f>
        <v>9.9979999999999993</v>
      </c>
      <c r="S162" s="50">
        <f t="shared" ref="S162:T162" si="130">C6</f>
        <v>9.9969999999999999</v>
      </c>
      <c r="T162" s="50">
        <f t="shared" si="130"/>
        <v>0</v>
      </c>
      <c r="U162" s="48" t="s">
        <v>195</v>
      </c>
      <c r="V162" s="50"/>
      <c r="W162" s="50"/>
      <c r="X162" s="50"/>
      <c r="Y162" s="50"/>
    </row>
    <row r="163" spans="2:25" ht="15" customHeight="1">
      <c r="B163" s="50">
        <v>124.08</v>
      </c>
      <c r="C163" s="50" t="s">
        <v>862</v>
      </c>
      <c r="F163" s="50">
        <v>4.6100000000000003</v>
      </c>
      <c r="G163" s="50">
        <v>4.6100000000000003</v>
      </c>
      <c r="H163" s="50">
        <v>4.6100000000000003</v>
      </c>
      <c r="N163" s="51">
        <v>4.6066000000000003</v>
      </c>
      <c r="Q163" s="27">
        <v>53.2</v>
      </c>
      <c r="R163" s="50">
        <f>B7</f>
        <v>10.016999999999999</v>
      </c>
      <c r="S163" s="50">
        <f t="shared" ref="S163:T163" si="131">C7</f>
        <v>10.015000000000001</v>
      </c>
      <c r="T163" s="50">
        <f t="shared" si="131"/>
        <v>0</v>
      </c>
      <c r="U163" s="48" t="s">
        <v>196</v>
      </c>
      <c r="V163" s="50"/>
      <c r="W163" s="50"/>
      <c r="X163" s="50"/>
      <c r="Y163" s="50"/>
    </row>
    <row r="164" spans="2:25" ht="15" customHeight="1">
      <c r="B164" s="50">
        <v>124.09</v>
      </c>
      <c r="C164" s="50" t="s">
        <v>862</v>
      </c>
      <c r="F164" s="50">
        <v>4.6100000000000003</v>
      </c>
      <c r="G164" s="50">
        <v>4.6100000000000003</v>
      </c>
      <c r="H164" s="50">
        <v>4.6100000000000003</v>
      </c>
      <c r="N164" s="51">
        <v>4.5972</v>
      </c>
      <c r="Q164" s="27">
        <v>54.1</v>
      </c>
      <c r="R164" s="50">
        <f>B109</f>
        <v>1.55</v>
      </c>
      <c r="S164" s="50">
        <f t="shared" ref="S164:T164" si="132">C109</f>
        <v>1.546</v>
      </c>
      <c r="T164" s="50">
        <f t="shared" si="132"/>
        <v>0</v>
      </c>
      <c r="U164" s="27" t="s">
        <v>197</v>
      </c>
      <c r="V164" s="50"/>
      <c r="W164" s="50"/>
      <c r="X164" s="50"/>
      <c r="Y164" s="50"/>
    </row>
    <row r="165" spans="2:25" ht="15" customHeight="1">
      <c r="B165" s="50">
        <v>124.1</v>
      </c>
      <c r="C165" s="50" t="s">
        <v>862</v>
      </c>
      <c r="F165" s="50">
        <v>4.6100000000000003</v>
      </c>
      <c r="G165" s="50">
        <v>4.6100000000000003</v>
      </c>
      <c r="H165" s="50">
        <v>4.6100000000000003</v>
      </c>
      <c r="N165" s="51">
        <v>4.5983999999999998</v>
      </c>
      <c r="Q165" s="27">
        <v>54.2</v>
      </c>
      <c r="R165" s="50">
        <f>B110</f>
        <v>1.55</v>
      </c>
      <c r="S165" s="50">
        <f t="shared" ref="S165:T165" si="133">C110</f>
        <v>1.5469999999999999</v>
      </c>
      <c r="T165" s="50">
        <f t="shared" si="133"/>
        <v>0</v>
      </c>
      <c r="U165" s="27" t="s">
        <v>198</v>
      </c>
      <c r="V165" s="50"/>
      <c r="W165" s="50"/>
      <c r="X165" s="50"/>
      <c r="Y165" s="50"/>
    </row>
    <row r="166" spans="2:25" ht="15" customHeight="1">
      <c r="B166" s="50">
        <v>124.11</v>
      </c>
      <c r="C166" s="50" t="s">
        <v>862</v>
      </c>
      <c r="F166" s="50">
        <v>4.6100000000000003</v>
      </c>
      <c r="G166" s="50">
        <v>4.6100000000000003</v>
      </c>
      <c r="H166" s="50">
        <v>4.6100000000000003</v>
      </c>
      <c r="N166" s="51">
        <v>4.6265999999999998</v>
      </c>
      <c r="Q166" s="27">
        <v>55.1</v>
      </c>
      <c r="R166" s="50">
        <f>B111</f>
        <v>4.7039999999999997</v>
      </c>
      <c r="S166" s="50">
        <f t="shared" ref="S166:T166" si="134">C111</f>
        <v>4.6989999999999998</v>
      </c>
      <c r="T166" s="50">
        <f t="shared" si="134"/>
        <v>0</v>
      </c>
      <c r="U166" s="27" t="s">
        <v>199</v>
      </c>
      <c r="V166" s="50"/>
      <c r="W166" s="50"/>
      <c r="X166" s="50"/>
      <c r="Y166" s="50"/>
    </row>
    <row r="167" spans="2:25" ht="15" customHeight="1">
      <c r="B167" s="50">
        <v>124.12</v>
      </c>
      <c r="C167" s="50" t="s">
        <v>862</v>
      </c>
      <c r="F167" s="50">
        <v>4.6100000000000003</v>
      </c>
      <c r="G167" s="50">
        <v>4.6100000000000003</v>
      </c>
      <c r="H167" s="50">
        <v>4.6100000000000003</v>
      </c>
      <c r="N167" s="51">
        <v>4.6352000000000002</v>
      </c>
      <c r="Q167" s="27">
        <v>55.2</v>
      </c>
      <c r="R167" s="50">
        <f>B112</f>
        <v>4.7039999999999997</v>
      </c>
      <c r="S167" s="50">
        <f t="shared" ref="S167:T167" si="135">C112</f>
        <v>4.7009999999999996</v>
      </c>
      <c r="T167" s="50">
        <f t="shared" si="135"/>
        <v>0</v>
      </c>
      <c r="U167" s="27" t="s">
        <v>200</v>
      </c>
      <c r="V167" s="50"/>
      <c r="W167" s="50"/>
      <c r="X167" s="50"/>
      <c r="Y167" s="50"/>
    </row>
    <row r="168" spans="2:25" ht="15" customHeight="1">
      <c r="B168" s="50">
        <v>124.13</v>
      </c>
      <c r="C168" s="50" t="s">
        <v>862</v>
      </c>
      <c r="F168" s="50">
        <v>4.6100000000000003</v>
      </c>
      <c r="G168" s="50">
        <v>4.6100000000000003</v>
      </c>
      <c r="H168" s="50">
        <v>4.6100000000000003</v>
      </c>
      <c r="N168" s="51">
        <v>4.6387999999999998</v>
      </c>
      <c r="Q168" s="48">
        <v>56</v>
      </c>
      <c r="R168" s="50">
        <f>B75</f>
        <v>1.7000000000000001E-2</v>
      </c>
      <c r="S168" s="50">
        <f t="shared" ref="S168:T168" si="136">C75</f>
        <v>1.2999999999999999E-2</v>
      </c>
      <c r="T168" s="50">
        <f t="shared" si="136"/>
        <v>0</v>
      </c>
      <c r="U168" s="27" t="s">
        <v>201</v>
      </c>
      <c r="V168" s="50"/>
      <c r="W168" s="50"/>
      <c r="X168" s="50"/>
      <c r="Y168" s="50"/>
    </row>
    <row r="169" spans="2:25" ht="15" customHeight="1">
      <c r="B169" s="50">
        <v>124.14</v>
      </c>
      <c r="C169" s="50" t="s">
        <v>862</v>
      </c>
      <c r="F169" s="50">
        <v>4.6100000000000003</v>
      </c>
      <c r="G169" s="50">
        <v>4.6100000000000003</v>
      </c>
      <c r="H169" s="50">
        <v>4.6100000000000003</v>
      </c>
      <c r="N169" s="51">
        <v>4.6416000000000004</v>
      </c>
      <c r="Q169" s="48">
        <v>57</v>
      </c>
      <c r="R169" s="50">
        <f>B76</f>
        <v>5.0000000000000001E-3</v>
      </c>
      <c r="S169" s="50">
        <f t="shared" ref="S169:T169" si="137">C76</f>
        <v>1.2E-2</v>
      </c>
      <c r="T169" s="50">
        <f t="shared" si="137"/>
        <v>0</v>
      </c>
      <c r="U169" s="27" t="s">
        <v>202</v>
      </c>
      <c r="V169" s="50"/>
      <c r="W169" s="50"/>
      <c r="X169" s="50"/>
      <c r="Y169" s="50"/>
    </row>
    <row r="170" spans="2:25" ht="15" customHeight="1">
      <c r="B170" s="50">
        <v>124.15</v>
      </c>
      <c r="C170" s="50" t="s">
        <v>862</v>
      </c>
      <c r="F170" s="50">
        <v>4.6100000000000003</v>
      </c>
      <c r="G170" s="50">
        <v>4.6100000000000003</v>
      </c>
      <c r="H170" s="50">
        <v>4.6100000000000003</v>
      </c>
      <c r="N170" s="51">
        <v>4.6340000000000003</v>
      </c>
      <c r="Q170" s="48" t="s">
        <v>171</v>
      </c>
      <c r="R170" s="50">
        <f>B18</f>
        <v>0.68899999999999995</v>
      </c>
      <c r="S170" s="50">
        <f t="shared" ref="S170:T170" si="138">C18</f>
        <v>0.68600000000000005</v>
      </c>
      <c r="T170" s="50">
        <f t="shared" si="138"/>
        <v>0</v>
      </c>
      <c r="U170" s="48" t="s">
        <v>183</v>
      </c>
      <c r="V170" s="50">
        <f t="shared" ref="V170:X173" si="139">E85</f>
        <v>1.022</v>
      </c>
      <c r="W170" s="50">
        <f t="shared" si="139"/>
        <v>1.0209999999999999</v>
      </c>
      <c r="X170" s="50">
        <f t="shared" si="139"/>
        <v>0</v>
      </c>
      <c r="Y170" s="50"/>
    </row>
    <row r="171" spans="2:25" ht="15" customHeight="1">
      <c r="B171" s="50">
        <v>117.43</v>
      </c>
      <c r="C171" s="50" t="s">
        <v>861</v>
      </c>
      <c r="F171" s="50">
        <v>0.7</v>
      </c>
      <c r="G171" s="50">
        <v>0.7</v>
      </c>
      <c r="H171" s="50">
        <v>0.7</v>
      </c>
      <c r="N171" s="51">
        <v>0.70479999999999998</v>
      </c>
      <c r="Q171" s="48" t="s">
        <v>172</v>
      </c>
      <c r="R171" s="50">
        <f>B24</f>
        <v>0.69099999999999995</v>
      </c>
      <c r="S171" s="50">
        <f t="shared" ref="S171:T171" si="140">C24</f>
        <v>0.69399999999999995</v>
      </c>
      <c r="T171" s="50">
        <f t="shared" si="140"/>
        <v>0</v>
      </c>
      <c r="U171" s="48" t="s">
        <v>184</v>
      </c>
      <c r="V171" s="50">
        <f t="shared" si="139"/>
        <v>0.92900000000000005</v>
      </c>
      <c r="W171" s="50">
        <f t="shared" si="139"/>
        <v>0.92600000000000005</v>
      </c>
      <c r="X171" s="50">
        <f t="shared" si="139"/>
        <v>0</v>
      </c>
      <c r="Y171" s="50"/>
    </row>
    <row r="172" spans="2:25" ht="15" customHeight="1">
      <c r="B172" s="50">
        <v>117.72</v>
      </c>
      <c r="C172" s="50" t="s">
        <v>861</v>
      </c>
      <c r="F172" s="50">
        <v>0.7</v>
      </c>
      <c r="G172" s="50">
        <v>0.7</v>
      </c>
      <c r="H172" s="50">
        <v>0.7</v>
      </c>
      <c r="N172" s="51">
        <v>0.69740000000000002</v>
      </c>
      <c r="Q172" s="48" t="s">
        <v>173</v>
      </c>
      <c r="R172" s="50">
        <f>B30</f>
        <v>0.69</v>
      </c>
      <c r="S172" s="50">
        <f t="shared" ref="S172:T172" si="141">C30</f>
        <v>0.68600000000000005</v>
      </c>
      <c r="T172" s="50">
        <f t="shared" si="141"/>
        <v>0</v>
      </c>
      <c r="U172" s="48" t="s">
        <v>185</v>
      </c>
      <c r="V172" s="50">
        <f t="shared" si="139"/>
        <v>1.0169999999999999</v>
      </c>
      <c r="W172" s="50">
        <f t="shared" si="139"/>
        <v>1.0149999999999999</v>
      </c>
      <c r="X172" s="50">
        <f t="shared" si="139"/>
        <v>0</v>
      </c>
      <c r="Y172" s="50"/>
    </row>
    <row r="173" spans="2:25" ht="15" customHeight="1">
      <c r="B173" s="50">
        <v>127.03</v>
      </c>
      <c r="C173" s="50" t="s">
        <v>862</v>
      </c>
      <c r="F173" s="50">
        <v>1.6</v>
      </c>
      <c r="G173" s="50">
        <v>1.6</v>
      </c>
      <c r="H173" s="50">
        <v>1.6</v>
      </c>
      <c r="N173" s="51">
        <v>1.6</v>
      </c>
      <c r="Q173" s="48" t="s">
        <v>174</v>
      </c>
      <c r="R173" s="50">
        <f>B36</f>
        <v>0.69799999999999995</v>
      </c>
      <c r="S173" s="50">
        <f t="shared" ref="S173:T173" si="142">C36</f>
        <v>0.69599999999999995</v>
      </c>
      <c r="T173" s="50">
        <f t="shared" si="142"/>
        <v>0</v>
      </c>
      <c r="U173" s="48" t="s">
        <v>186</v>
      </c>
      <c r="V173" s="50">
        <f t="shared" si="139"/>
        <v>0.91900000000000004</v>
      </c>
      <c r="W173" s="50">
        <f t="shared" si="139"/>
        <v>0.91600000000000004</v>
      </c>
      <c r="X173" s="50">
        <f t="shared" si="139"/>
        <v>0</v>
      </c>
      <c r="Y173" s="50"/>
    </row>
    <row r="174" spans="2:25" ht="15" customHeight="1">
      <c r="B174" s="50">
        <v>117.73</v>
      </c>
      <c r="C174" s="50" t="s">
        <v>861</v>
      </c>
      <c r="F174" s="50">
        <v>0.7</v>
      </c>
      <c r="G174" s="50">
        <v>0.7</v>
      </c>
      <c r="H174" s="50">
        <v>0.7</v>
      </c>
      <c r="N174" s="51">
        <v>0.70779999999999998</v>
      </c>
      <c r="Q174" s="48" t="s">
        <v>175</v>
      </c>
      <c r="R174" s="50">
        <f>B42</f>
        <v>0.69699999999999995</v>
      </c>
      <c r="S174" s="50">
        <f t="shared" ref="S174:T174" si="143">C42</f>
        <v>0.69499999999999995</v>
      </c>
      <c r="T174" s="50">
        <f t="shared" si="143"/>
        <v>0</v>
      </c>
      <c r="U174" s="48" t="s">
        <v>187</v>
      </c>
      <c r="V174" s="50">
        <f t="shared" ref="V174:X177" si="144">E97</f>
        <v>1.0069999999999999</v>
      </c>
      <c r="W174" s="50">
        <f t="shared" si="144"/>
        <v>1.0109999999999999</v>
      </c>
      <c r="X174" s="50">
        <f t="shared" si="144"/>
        <v>0</v>
      </c>
      <c r="Y174" s="50"/>
    </row>
    <row r="175" spans="2:25" ht="15" customHeight="1">
      <c r="B175" s="50">
        <v>117.74</v>
      </c>
      <c r="C175" s="50" t="s">
        <v>861</v>
      </c>
      <c r="F175" s="50">
        <v>0.7</v>
      </c>
      <c r="G175" s="50">
        <v>0.7</v>
      </c>
      <c r="H175" s="50">
        <v>0.7</v>
      </c>
      <c r="N175" s="51">
        <v>0.70899999999999996</v>
      </c>
      <c r="Q175" s="48" t="s">
        <v>176</v>
      </c>
      <c r="R175" s="50">
        <f>B12</f>
        <v>0.68200000000000005</v>
      </c>
      <c r="S175" s="50">
        <f t="shared" ref="S175:T175" si="145">C12</f>
        <v>0.68600000000000005</v>
      </c>
      <c r="T175" s="50">
        <f t="shared" si="145"/>
        <v>0</v>
      </c>
      <c r="U175" s="48" t="s">
        <v>188</v>
      </c>
      <c r="V175" s="50">
        <f t="shared" si="144"/>
        <v>0.995</v>
      </c>
      <c r="W175" s="50">
        <f t="shared" si="144"/>
        <v>0.997</v>
      </c>
      <c r="X175" s="50">
        <f t="shared" si="144"/>
        <v>0</v>
      </c>
      <c r="Y175" s="50"/>
    </row>
    <row r="176" spans="2:25" ht="15" customHeight="1">
      <c r="B176" s="50">
        <v>117.75</v>
      </c>
      <c r="C176" s="50" t="s">
        <v>861</v>
      </c>
      <c r="F176" s="50">
        <v>0.7</v>
      </c>
      <c r="G176" s="50">
        <v>0.7</v>
      </c>
      <c r="H176" s="50">
        <v>0.7</v>
      </c>
      <c r="N176" s="51">
        <v>0.70589999999999997</v>
      </c>
      <c r="Q176" s="48" t="s">
        <v>177</v>
      </c>
      <c r="R176" s="50">
        <f>B19</f>
        <v>0.54500000000000004</v>
      </c>
      <c r="S176" s="50">
        <f t="shared" ref="S176:T176" si="146">C19</f>
        <v>0.54900000000000004</v>
      </c>
      <c r="T176" s="50">
        <f t="shared" si="146"/>
        <v>0</v>
      </c>
      <c r="U176" s="27" t="s">
        <v>189</v>
      </c>
      <c r="V176" s="50">
        <f t="shared" si="144"/>
        <v>1.022</v>
      </c>
      <c r="W176" s="50">
        <f t="shared" si="144"/>
        <v>1.0189999999999999</v>
      </c>
      <c r="X176" s="50">
        <f t="shared" si="144"/>
        <v>0</v>
      </c>
      <c r="Y176" s="50"/>
    </row>
    <row r="177" spans="2:25" ht="15" customHeight="1">
      <c r="B177" s="50">
        <v>117.76</v>
      </c>
      <c r="C177" s="50" t="s">
        <v>861</v>
      </c>
      <c r="F177" s="50">
        <v>0.7</v>
      </c>
      <c r="G177" s="50">
        <v>0.7</v>
      </c>
      <c r="H177" s="50">
        <v>0.7</v>
      </c>
      <c r="N177" s="51">
        <v>0.70040000000000002</v>
      </c>
      <c r="Q177" s="48" t="s">
        <v>178</v>
      </c>
      <c r="R177" s="50">
        <f>B25</f>
        <v>0.55400000000000005</v>
      </c>
      <c r="S177" s="50">
        <f t="shared" ref="S177:T177" si="147">C25</f>
        <v>0.55600000000000005</v>
      </c>
      <c r="T177" s="50">
        <f t="shared" si="147"/>
        <v>0</v>
      </c>
      <c r="U177" s="48" t="s">
        <v>190</v>
      </c>
      <c r="V177" s="50">
        <f t="shared" si="144"/>
        <v>1.022</v>
      </c>
      <c r="W177" s="50">
        <f t="shared" si="144"/>
        <v>1.0189999999999999</v>
      </c>
      <c r="X177" s="50">
        <f t="shared" si="144"/>
        <v>0</v>
      </c>
      <c r="Y177" s="50"/>
    </row>
    <row r="178" spans="2:25" ht="15" customHeight="1">
      <c r="B178" s="50">
        <v>127.09</v>
      </c>
      <c r="C178" s="50" t="s">
        <v>862</v>
      </c>
      <c r="F178" s="50">
        <v>1.6</v>
      </c>
      <c r="G178" s="50">
        <v>1.6</v>
      </c>
      <c r="H178" s="50">
        <v>1.6</v>
      </c>
      <c r="N178" s="51">
        <v>1.6131</v>
      </c>
      <c r="Q178" s="48" t="s">
        <v>179</v>
      </c>
      <c r="R178" s="50">
        <f>B31</f>
        <v>0.55300000000000005</v>
      </c>
      <c r="S178" s="50">
        <f t="shared" ref="S178:T178" si="148">C31</f>
        <v>0.55400000000000005</v>
      </c>
      <c r="T178" s="50">
        <f t="shared" si="148"/>
        <v>0</v>
      </c>
      <c r="U178" s="48">
        <v>67</v>
      </c>
      <c r="V178" s="50">
        <f>E61</f>
        <v>12.862</v>
      </c>
      <c r="W178" s="50">
        <f>F61</f>
        <v>12.86</v>
      </c>
      <c r="X178" s="50">
        <f>G61</f>
        <v>0</v>
      </c>
      <c r="Y178" s="50"/>
    </row>
    <row r="179" spans="2:25" ht="15" customHeight="1">
      <c r="B179" s="50">
        <v>127.1</v>
      </c>
      <c r="C179" s="50" t="s">
        <v>862</v>
      </c>
      <c r="F179" s="50">
        <v>1.6</v>
      </c>
      <c r="G179" s="50">
        <v>1.6</v>
      </c>
      <c r="H179" s="50">
        <v>1.6</v>
      </c>
      <c r="N179" s="51">
        <v>1.5954999999999999</v>
      </c>
      <c r="Q179" s="48" t="s">
        <v>180</v>
      </c>
      <c r="R179" s="50">
        <f>B37</f>
        <v>0.55000000000000004</v>
      </c>
      <c r="S179" s="50">
        <f t="shared" ref="S179:T179" si="149">C37</f>
        <v>0.54900000000000004</v>
      </c>
      <c r="T179" s="50">
        <f t="shared" si="149"/>
        <v>0</v>
      </c>
      <c r="U179" s="48" t="s">
        <v>203</v>
      </c>
      <c r="V179" s="50"/>
      <c r="W179" s="50"/>
      <c r="X179" s="50"/>
      <c r="Y179" s="50"/>
    </row>
    <row r="180" spans="2:25" ht="15" customHeight="1">
      <c r="B180" s="50">
        <v>127.11</v>
      </c>
      <c r="C180" s="50" t="s">
        <v>862</v>
      </c>
      <c r="F180" s="50">
        <v>1.6</v>
      </c>
      <c r="G180" s="50">
        <v>1.6</v>
      </c>
      <c r="H180" s="50">
        <v>1.6</v>
      </c>
      <c r="N180" s="51">
        <v>1.6397999999999999</v>
      </c>
      <c r="Q180" s="48" t="s">
        <v>181</v>
      </c>
      <c r="R180" s="50">
        <f>B43</f>
        <v>0.54800000000000004</v>
      </c>
      <c r="S180" s="50">
        <f t="shared" ref="S180:T180" si="150">C43</f>
        <v>0.56599999999999995</v>
      </c>
      <c r="T180" s="50">
        <f t="shared" si="150"/>
        <v>0</v>
      </c>
      <c r="U180" s="48" t="s">
        <v>204</v>
      </c>
      <c r="V180" s="50"/>
      <c r="W180" s="50"/>
      <c r="X180" s="50"/>
      <c r="Y180" s="50"/>
    </row>
    <row r="181" spans="2:25" ht="15" customHeight="1">
      <c r="B181" s="50">
        <v>127.12</v>
      </c>
      <c r="C181" s="50" t="s">
        <v>862</v>
      </c>
      <c r="F181" s="50">
        <v>1.6</v>
      </c>
      <c r="G181" s="50">
        <v>1.6</v>
      </c>
      <c r="H181" s="50">
        <v>1.6</v>
      </c>
      <c r="N181" s="51">
        <v>1.6414</v>
      </c>
      <c r="Q181" s="48" t="s">
        <v>182</v>
      </c>
      <c r="R181" s="50">
        <f>B13</f>
        <v>0.54700000000000004</v>
      </c>
      <c r="S181" s="50">
        <f t="shared" ref="S181:T181" si="151">C13</f>
        <v>0.54700000000000004</v>
      </c>
      <c r="T181" s="50">
        <f t="shared" si="151"/>
        <v>0</v>
      </c>
      <c r="U181" s="48" t="s">
        <v>205</v>
      </c>
      <c r="V181" s="50"/>
      <c r="W181" s="50"/>
      <c r="X181" s="50"/>
      <c r="Y181" s="50"/>
    </row>
    <row r="182" spans="2:25" ht="15" customHeight="1">
      <c r="B182" s="50">
        <v>127.13</v>
      </c>
      <c r="C182" s="50" t="s">
        <v>862</v>
      </c>
      <c r="F182" s="50">
        <v>1.6</v>
      </c>
      <c r="G182" s="50">
        <v>1.6</v>
      </c>
      <c r="H182" s="50">
        <v>1.6</v>
      </c>
      <c r="N182" s="51">
        <v>1.6484000000000001</v>
      </c>
      <c r="Q182" s="48" t="s">
        <v>191</v>
      </c>
      <c r="S182" s="50"/>
      <c r="U182" s="48" t="s">
        <v>206</v>
      </c>
      <c r="V182" s="50"/>
      <c r="W182" s="50"/>
      <c r="X182" s="50"/>
      <c r="Y182" s="50"/>
    </row>
    <row r="183" spans="2:25" ht="15" customHeight="1">
      <c r="B183" s="50">
        <v>127.14</v>
      </c>
      <c r="C183" s="50" t="s">
        <v>862</v>
      </c>
      <c r="F183" s="50">
        <v>1.6</v>
      </c>
      <c r="G183" s="50">
        <v>1.6</v>
      </c>
      <c r="H183" s="50">
        <v>1.6</v>
      </c>
      <c r="N183" s="51">
        <v>1.6255999999999999</v>
      </c>
      <c r="Q183" s="48" t="s">
        <v>192</v>
      </c>
      <c r="S183" s="50"/>
      <c r="U183" s="48" t="s">
        <v>207</v>
      </c>
      <c r="V183" s="50"/>
      <c r="W183" s="50"/>
      <c r="X183" s="50"/>
      <c r="Y183" s="50"/>
    </row>
    <row r="184" spans="2:25" ht="15" customHeight="1">
      <c r="B184" s="50">
        <v>127.15</v>
      </c>
      <c r="C184" s="50" t="s">
        <v>862</v>
      </c>
      <c r="F184" s="50">
        <v>1.6</v>
      </c>
      <c r="G184" s="50">
        <v>1.6</v>
      </c>
      <c r="H184" s="50">
        <v>1.6</v>
      </c>
      <c r="N184" s="51">
        <v>1.6433</v>
      </c>
      <c r="Q184" s="48" t="s">
        <v>193</v>
      </c>
      <c r="S184" s="50"/>
      <c r="U184" s="48" t="s">
        <v>208</v>
      </c>
      <c r="Y184" s="50"/>
    </row>
    <row r="185" spans="2:25" ht="15" customHeight="1">
      <c r="B185" s="50">
        <v>128.01</v>
      </c>
      <c r="C185" s="50" t="s">
        <v>862</v>
      </c>
      <c r="F185" s="50">
        <v>0.6</v>
      </c>
      <c r="G185" s="50">
        <v>0.6</v>
      </c>
      <c r="H185" s="50">
        <v>0.6</v>
      </c>
      <c r="N185" s="51">
        <v>0.62219999999999998</v>
      </c>
      <c r="Q185" s="48" t="s">
        <v>194</v>
      </c>
      <c r="S185" s="50"/>
      <c r="U185" s="48">
        <v>69</v>
      </c>
      <c r="V185" s="51">
        <f t="shared" ref="V185:X187" si="152">M8</f>
        <v>8.1288</v>
      </c>
      <c r="W185" s="51">
        <f t="shared" si="152"/>
        <v>8.1418999999999997</v>
      </c>
      <c r="X185" s="51">
        <f t="shared" si="152"/>
        <v>0</v>
      </c>
      <c r="Y185" s="50"/>
    </row>
    <row r="186" spans="2:25" ht="15" customHeight="1">
      <c r="B186" s="50">
        <v>128.02000000000001</v>
      </c>
      <c r="C186" s="50" t="s">
        <v>862</v>
      </c>
      <c r="F186" s="50">
        <v>0.6</v>
      </c>
      <c r="G186" s="50">
        <v>0.6</v>
      </c>
      <c r="H186" s="50">
        <v>0.6</v>
      </c>
      <c r="N186" s="51">
        <v>0.60619999999999996</v>
      </c>
      <c r="Q186" s="48" t="s">
        <v>195</v>
      </c>
      <c r="S186" s="50"/>
      <c r="U186" s="48" t="s">
        <v>209</v>
      </c>
      <c r="V186" s="51">
        <f t="shared" si="152"/>
        <v>4.2834000000000003</v>
      </c>
      <c r="W186" s="51">
        <f t="shared" si="152"/>
        <v>4.2805999999999997</v>
      </c>
      <c r="X186" s="51">
        <f t="shared" si="152"/>
        <v>0</v>
      </c>
      <c r="Y186" s="50"/>
    </row>
    <row r="187" spans="2:25" ht="15" customHeight="1">
      <c r="B187" s="50">
        <v>128.03</v>
      </c>
      <c r="C187" s="50" t="s">
        <v>862</v>
      </c>
      <c r="F187" s="50">
        <v>0.6</v>
      </c>
      <c r="G187" s="50">
        <v>0.6</v>
      </c>
      <c r="H187" s="50">
        <v>0.6</v>
      </c>
      <c r="N187" s="51">
        <v>0.60960000000000003</v>
      </c>
      <c r="Q187" s="48" t="s">
        <v>196</v>
      </c>
      <c r="S187" s="50"/>
      <c r="U187" s="48" t="s">
        <v>210</v>
      </c>
      <c r="V187" s="51">
        <f t="shared" si="152"/>
        <v>4.2864000000000004</v>
      </c>
      <c r="W187" s="51">
        <f t="shared" si="152"/>
        <v>4.2854000000000001</v>
      </c>
      <c r="X187" s="51">
        <f t="shared" si="152"/>
        <v>0</v>
      </c>
      <c r="Y187" s="50"/>
    </row>
    <row r="188" spans="2:25" ht="15" customHeight="1">
      <c r="B188" s="50">
        <v>128.04</v>
      </c>
      <c r="C188" s="50" t="s">
        <v>862</v>
      </c>
      <c r="F188" s="50">
        <v>0.6</v>
      </c>
      <c r="G188" s="50">
        <v>0.6</v>
      </c>
      <c r="H188" s="50">
        <v>0.6</v>
      </c>
      <c r="N188" s="51">
        <v>0.59119999999999995</v>
      </c>
      <c r="Q188" s="27" t="s">
        <v>197</v>
      </c>
      <c r="S188" s="50"/>
      <c r="U188" s="48" t="s">
        <v>211</v>
      </c>
      <c r="V188" s="50">
        <f t="shared" ref="V188:X190" si="153">E117</f>
        <v>2E-3</v>
      </c>
      <c r="W188" s="50">
        <f t="shared" si="153"/>
        <v>8.8499999999999996E-5</v>
      </c>
      <c r="X188" s="50">
        <f t="shared" si="153"/>
        <v>0</v>
      </c>
      <c r="Y188" s="50"/>
    </row>
    <row r="189" spans="2:25" ht="15" customHeight="1">
      <c r="B189" s="50">
        <v>128.05000000000001</v>
      </c>
      <c r="C189" s="50" t="s">
        <v>862</v>
      </c>
      <c r="F189" s="50">
        <v>0.6</v>
      </c>
      <c r="G189" s="50">
        <v>0.6</v>
      </c>
      <c r="H189" s="50">
        <v>0.6</v>
      </c>
      <c r="N189" s="51">
        <v>0.58309999999999995</v>
      </c>
      <c r="Q189" s="27" t="s">
        <v>198</v>
      </c>
      <c r="S189" s="50"/>
      <c r="U189" s="48" t="s">
        <v>212</v>
      </c>
      <c r="V189" s="50">
        <f t="shared" si="153"/>
        <v>2.5000000000000001E-2</v>
      </c>
      <c r="W189" s="50">
        <f t="shared" si="153"/>
        <v>3.3000000000000002E-2</v>
      </c>
      <c r="X189" s="50">
        <f t="shared" si="153"/>
        <v>0</v>
      </c>
      <c r="Y189" s="50"/>
    </row>
    <row r="190" spans="2:25" ht="15" customHeight="1">
      <c r="B190" s="50">
        <v>128.06</v>
      </c>
      <c r="C190" s="50" t="s">
        <v>862</v>
      </c>
      <c r="F190" s="50">
        <v>0.6</v>
      </c>
      <c r="G190" s="50">
        <v>0.6</v>
      </c>
      <c r="H190" s="50">
        <v>0.6</v>
      </c>
      <c r="N190" s="51">
        <v>0.60729999999999995</v>
      </c>
      <c r="Q190" s="27" t="s">
        <v>199</v>
      </c>
      <c r="S190" s="50"/>
      <c r="U190" s="48" t="s">
        <v>213</v>
      </c>
      <c r="V190" s="50">
        <f t="shared" si="153"/>
        <v>8.0000000000000002E-3</v>
      </c>
      <c r="W190" s="50">
        <f t="shared" si="153"/>
        <v>2.1999999999999999E-2</v>
      </c>
      <c r="X190" s="50">
        <f t="shared" si="153"/>
        <v>0</v>
      </c>
      <c r="Y190" s="50"/>
    </row>
    <row r="191" spans="2:25" ht="15" customHeight="1">
      <c r="B191" s="50">
        <v>128.07</v>
      </c>
      <c r="C191" s="50" t="s">
        <v>862</v>
      </c>
      <c r="F191" s="50">
        <v>0.6</v>
      </c>
      <c r="G191" s="50">
        <v>0.6</v>
      </c>
      <c r="H191" s="50">
        <v>0.6</v>
      </c>
      <c r="N191" s="51">
        <v>0.60199999999999998</v>
      </c>
      <c r="Q191" s="27" t="s">
        <v>200</v>
      </c>
      <c r="S191" s="50"/>
      <c r="U191" s="48">
        <v>75</v>
      </c>
      <c r="V191" s="50"/>
      <c r="W191" s="50"/>
      <c r="X191" s="50"/>
      <c r="Y191" s="50"/>
    </row>
    <row r="192" spans="2:25" ht="15" customHeight="1">
      <c r="B192" s="50">
        <v>128.08000000000001</v>
      </c>
      <c r="C192" s="50" t="s">
        <v>862</v>
      </c>
      <c r="F192" s="50">
        <v>0.6</v>
      </c>
      <c r="G192" s="50">
        <v>0.6</v>
      </c>
      <c r="H192" s="50">
        <v>0.6</v>
      </c>
      <c r="N192" s="51">
        <v>0.59350000000000003</v>
      </c>
      <c r="Q192" s="27" t="s">
        <v>201</v>
      </c>
      <c r="S192" s="50"/>
      <c r="U192" s="27">
        <v>76</v>
      </c>
      <c r="Y192" s="50"/>
    </row>
    <row r="193" spans="2:25" ht="15" customHeight="1">
      <c r="B193" s="50">
        <v>128.09</v>
      </c>
      <c r="C193" s="50" t="s">
        <v>862</v>
      </c>
      <c r="F193" s="50">
        <v>0.6</v>
      </c>
      <c r="G193" s="50">
        <v>0.6</v>
      </c>
      <c r="H193" s="50">
        <v>0.6</v>
      </c>
      <c r="N193" s="51">
        <v>0.61199999999999999</v>
      </c>
      <c r="Q193" s="27" t="s">
        <v>202</v>
      </c>
      <c r="S193" s="50"/>
      <c r="U193" s="27">
        <v>77</v>
      </c>
      <c r="V193" s="51">
        <f>M2</f>
        <v>6.4100000000000004E-2</v>
      </c>
      <c r="W193" s="51">
        <f>N2</f>
        <v>5.2400000000000002E-2</v>
      </c>
      <c r="X193" s="51">
        <f>O2</f>
        <v>0</v>
      </c>
      <c r="Y193" s="50"/>
    </row>
    <row r="194" spans="2:25" ht="15" customHeight="1">
      <c r="B194" s="50">
        <v>128.1</v>
      </c>
      <c r="C194" s="50" t="s">
        <v>862</v>
      </c>
      <c r="F194" s="50">
        <v>0.6</v>
      </c>
      <c r="G194" s="50">
        <v>0.6</v>
      </c>
      <c r="H194" s="50">
        <v>0.6</v>
      </c>
      <c r="N194" s="51">
        <v>0.628</v>
      </c>
      <c r="Q194" s="48" t="s">
        <v>183</v>
      </c>
      <c r="R194" s="50">
        <f>B85</f>
        <v>0.99199999999999999</v>
      </c>
      <c r="S194" s="50">
        <f t="shared" ref="S194:T194" si="154">C85</f>
        <v>0.99299999999999999</v>
      </c>
      <c r="T194" s="50">
        <f t="shared" si="154"/>
        <v>0</v>
      </c>
      <c r="U194" s="27">
        <v>78.099999999999994</v>
      </c>
      <c r="V194" s="50">
        <f t="shared" ref="V194:X197" si="155">E113</f>
        <v>7.1420000000000003</v>
      </c>
      <c r="W194" s="50">
        <f t="shared" si="155"/>
        <v>7.1280000000000001</v>
      </c>
      <c r="X194" s="50">
        <f t="shared" si="155"/>
        <v>0</v>
      </c>
      <c r="Y194" s="50"/>
    </row>
    <row r="195" spans="2:25" ht="15" customHeight="1">
      <c r="B195" s="50">
        <v>128.11000000000001</v>
      </c>
      <c r="C195" s="50" t="s">
        <v>862</v>
      </c>
      <c r="F195" s="50">
        <v>0.6</v>
      </c>
      <c r="G195" s="50">
        <v>0.6</v>
      </c>
      <c r="H195" s="50">
        <v>0.6</v>
      </c>
      <c r="N195" s="51">
        <v>0.59319999999999995</v>
      </c>
      <c r="Q195" s="48" t="s">
        <v>184</v>
      </c>
      <c r="R195" s="50">
        <f>B86</f>
        <v>0.93200000000000005</v>
      </c>
      <c r="S195" s="50">
        <f t="shared" ref="S195:T195" si="156">C86</f>
        <v>0.93100000000000005</v>
      </c>
      <c r="T195" s="50">
        <f t="shared" si="156"/>
        <v>0</v>
      </c>
      <c r="U195" s="27">
        <v>78.2</v>
      </c>
      <c r="V195" s="50">
        <f t="shared" si="155"/>
        <v>7.1449999999999996</v>
      </c>
      <c r="W195" s="50">
        <f t="shared" si="155"/>
        <v>7.1420000000000003</v>
      </c>
      <c r="X195" s="50">
        <f t="shared" si="155"/>
        <v>0</v>
      </c>
      <c r="Y195" s="50"/>
    </row>
    <row r="196" spans="2:25" ht="15" customHeight="1">
      <c r="B196" s="50">
        <v>128.12</v>
      </c>
      <c r="C196" s="50" t="s">
        <v>862</v>
      </c>
      <c r="F196" s="50">
        <v>0.6</v>
      </c>
      <c r="G196" s="50">
        <v>0.6</v>
      </c>
      <c r="H196" s="50">
        <v>0.6</v>
      </c>
      <c r="N196" s="51">
        <v>0.63629999999999998</v>
      </c>
      <c r="Q196" s="48" t="s">
        <v>185</v>
      </c>
      <c r="R196" s="50">
        <f>B87</f>
        <v>0.99399999999999999</v>
      </c>
      <c r="S196" s="50">
        <f t="shared" ref="S196:T196" si="157">C87</f>
        <v>0.99399999999999999</v>
      </c>
      <c r="T196" s="50">
        <f t="shared" si="157"/>
        <v>0</v>
      </c>
      <c r="U196" s="27">
        <v>79.099999999999994</v>
      </c>
      <c r="V196" s="50">
        <f t="shared" si="155"/>
        <v>7.1589999999999998</v>
      </c>
      <c r="W196" s="50">
        <f t="shared" si="155"/>
        <v>7.1520000000000001</v>
      </c>
      <c r="X196" s="50">
        <f t="shared" si="155"/>
        <v>0</v>
      </c>
      <c r="Y196" s="50"/>
    </row>
    <row r="197" spans="2:25" ht="15" customHeight="1">
      <c r="B197" s="50">
        <v>128.13</v>
      </c>
      <c r="C197" s="50" t="s">
        <v>862</v>
      </c>
      <c r="F197" s="50">
        <v>0.6</v>
      </c>
      <c r="G197" s="50">
        <v>0.6</v>
      </c>
      <c r="H197" s="50">
        <v>0.6</v>
      </c>
      <c r="N197" s="51">
        <v>0.63239999999999996</v>
      </c>
      <c r="Q197" s="48" t="s">
        <v>186</v>
      </c>
      <c r="R197" s="50">
        <f>B88</f>
        <v>0.92400000000000004</v>
      </c>
      <c r="S197" s="50">
        <f t="shared" ref="S197:T197" si="158">C88</f>
        <v>0.92400000000000004</v>
      </c>
      <c r="T197" s="50">
        <f t="shared" si="158"/>
        <v>0</v>
      </c>
      <c r="U197" s="27">
        <v>79.2</v>
      </c>
      <c r="V197" s="50">
        <f t="shared" si="155"/>
        <v>7.157</v>
      </c>
      <c r="W197" s="50">
        <f t="shared" si="155"/>
        <v>7.1559999999999997</v>
      </c>
      <c r="X197" s="50">
        <f t="shared" si="155"/>
        <v>0</v>
      </c>
      <c r="Y197" s="50"/>
    </row>
    <row r="198" spans="2:25" ht="15" customHeight="1">
      <c r="B198" s="50">
        <v>128.13999999999999</v>
      </c>
      <c r="C198" s="50" t="s">
        <v>862</v>
      </c>
      <c r="F198" s="50">
        <v>0.6</v>
      </c>
      <c r="G198" s="50">
        <v>0.6</v>
      </c>
      <c r="H198" s="50">
        <v>0.6</v>
      </c>
      <c r="N198" s="51">
        <v>0.60450000000000004</v>
      </c>
      <c r="Q198" s="48" t="s">
        <v>187</v>
      </c>
      <c r="R198" s="50">
        <f>B97</f>
        <v>1.042</v>
      </c>
      <c r="S198" s="50">
        <f t="shared" ref="S198:T198" si="159">C97</f>
        <v>1.0309999999999999</v>
      </c>
      <c r="T198" s="50">
        <f t="shared" si="159"/>
        <v>0</v>
      </c>
      <c r="U198" s="27">
        <v>80.099999999999994</v>
      </c>
      <c r="Y198" s="50"/>
    </row>
    <row r="199" spans="2:25" ht="15" customHeight="1">
      <c r="B199" s="50">
        <v>128.15</v>
      </c>
      <c r="C199" s="50" t="s">
        <v>862</v>
      </c>
      <c r="F199" s="50">
        <v>0.6</v>
      </c>
      <c r="G199" s="50">
        <v>0.6</v>
      </c>
      <c r="H199" s="50">
        <v>0.6</v>
      </c>
      <c r="N199" s="51">
        <v>0.65400000000000003</v>
      </c>
      <c r="Q199" s="48" t="s">
        <v>188</v>
      </c>
      <c r="R199" s="50">
        <f>B98</f>
        <v>1.004</v>
      </c>
      <c r="S199" s="50">
        <f t="shared" ref="S199:T199" si="160">C98</f>
        <v>1.012</v>
      </c>
      <c r="T199" s="50">
        <f t="shared" si="160"/>
        <v>0</v>
      </c>
      <c r="U199" s="27">
        <v>80.2</v>
      </c>
      <c r="Y199" s="50"/>
    </row>
    <row r="200" spans="2:25" ht="15" customHeight="1">
      <c r="B200" s="50">
        <v>41.01</v>
      </c>
      <c r="C200" s="50" t="s">
        <v>860</v>
      </c>
      <c r="F200" s="50">
        <v>2.2999999999999998</v>
      </c>
      <c r="G200" s="50">
        <v>2.2999999999999998</v>
      </c>
      <c r="H200" s="50">
        <v>2.2999999999999998</v>
      </c>
      <c r="N200" s="51">
        <v>2.3690000000000002</v>
      </c>
      <c r="Q200" s="27" t="s">
        <v>189</v>
      </c>
      <c r="R200" s="50">
        <f>B99</f>
        <v>1.06</v>
      </c>
      <c r="S200" s="50">
        <f t="shared" ref="S200:T200" si="161">C99</f>
        <v>1.048</v>
      </c>
      <c r="T200" s="50">
        <f t="shared" si="161"/>
        <v>0</v>
      </c>
      <c r="U200" s="53">
        <v>81.099999999999994</v>
      </c>
      <c r="Y200" s="50"/>
    </row>
    <row r="201" spans="2:25" ht="15" customHeight="1">
      <c r="B201" s="50">
        <v>41.02</v>
      </c>
      <c r="C201" s="50" t="s">
        <v>860</v>
      </c>
      <c r="F201" s="50">
        <v>2.2999999999999998</v>
      </c>
      <c r="G201" s="50">
        <v>2.2999999999999998</v>
      </c>
      <c r="H201" s="50">
        <v>2.2999999999999998</v>
      </c>
      <c r="N201" s="51">
        <v>2.3700999999999999</v>
      </c>
      <c r="Q201" s="48" t="s">
        <v>190</v>
      </c>
      <c r="R201" s="50">
        <f>B100</f>
        <v>1.0269999999999999</v>
      </c>
      <c r="S201" s="50">
        <f t="shared" ref="S201:T201" si="162">C100</f>
        <v>1.0349999999999999</v>
      </c>
      <c r="T201" s="50">
        <f t="shared" si="162"/>
        <v>0</v>
      </c>
      <c r="U201" s="54">
        <v>81.2</v>
      </c>
      <c r="Y201" s="50"/>
    </row>
    <row r="202" spans="2:25" ht="15" customHeight="1">
      <c r="B202" s="50">
        <v>42</v>
      </c>
      <c r="C202" s="50" t="s">
        <v>863</v>
      </c>
      <c r="F202" s="50">
        <v>0.6</v>
      </c>
      <c r="G202" s="50">
        <v>0.6</v>
      </c>
      <c r="H202" s="50">
        <v>0.6</v>
      </c>
      <c r="N202" s="51">
        <v>0.55659999999999998</v>
      </c>
      <c r="Q202" s="48">
        <v>67</v>
      </c>
      <c r="R202" s="50">
        <f>B61</f>
        <v>12.837</v>
      </c>
      <c r="S202" s="50">
        <f t="shared" ref="S202:T202" si="163">C61</f>
        <v>12.832000000000001</v>
      </c>
      <c r="T202" s="50">
        <f t="shared" si="163"/>
        <v>0</v>
      </c>
      <c r="U202" s="54">
        <v>82.1</v>
      </c>
      <c r="Y202" s="50"/>
    </row>
    <row r="203" spans="2:25" ht="15" customHeight="1">
      <c r="B203" s="50">
        <v>43</v>
      </c>
      <c r="C203" s="50" t="s">
        <v>863</v>
      </c>
      <c r="F203" s="50">
        <v>2.9</v>
      </c>
      <c r="G203" s="50">
        <v>2.9</v>
      </c>
      <c r="H203" s="50">
        <v>2.9</v>
      </c>
      <c r="N203" s="51">
        <v>2.8414999999999999</v>
      </c>
      <c r="Q203" s="48" t="s">
        <v>203</v>
      </c>
      <c r="S203" s="50"/>
      <c r="U203" s="27">
        <v>82.2</v>
      </c>
      <c r="Y203" s="50"/>
    </row>
    <row r="204" spans="2:25" ht="15" customHeight="1">
      <c r="B204" s="50">
        <v>44</v>
      </c>
      <c r="C204" s="50" t="s">
        <v>863</v>
      </c>
      <c r="F204" s="50">
        <v>4.4000000000000004</v>
      </c>
      <c r="G204" s="50">
        <v>4.4000000000000004</v>
      </c>
      <c r="H204" s="50">
        <v>4.4000000000000004</v>
      </c>
      <c r="N204" s="51">
        <v>4.4634999999999998</v>
      </c>
      <c r="Q204" s="48" t="s">
        <v>204</v>
      </c>
      <c r="S204" s="50"/>
      <c r="U204" s="27">
        <v>83.1</v>
      </c>
      <c r="Y204" s="50"/>
    </row>
    <row r="205" spans="2:25" ht="15" customHeight="1">
      <c r="B205" s="50">
        <v>45.01</v>
      </c>
      <c r="C205" s="50" t="s">
        <v>860</v>
      </c>
      <c r="F205" s="50">
        <v>0.9</v>
      </c>
      <c r="G205" s="50">
        <v>0.9</v>
      </c>
      <c r="H205" s="50">
        <v>0.9</v>
      </c>
      <c r="N205" s="51">
        <v>1.0401</v>
      </c>
      <c r="Q205" s="48" t="s">
        <v>205</v>
      </c>
      <c r="S205" s="50"/>
      <c r="U205" s="27">
        <v>83.2</v>
      </c>
      <c r="Y205" s="50"/>
    </row>
    <row r="206" spans="2:25" ht="15" customHeight="1">
      <c r="B206" s="50">
        <v>45.02</v>
      </c>
      <c r="C206" s="50" t="s">
        <v>860</v>
      </c>
      <c r="F206" s="50">
        <v>0.9</v>
      </c>
      <c r="G206" s="50">
        <v>0.9</v>
      </c>
      <c r="H206" s="50">
        <v>0.9</v>
      </c>
      <c r="N206" s="51">
        <v>1.0117</v>
      </c>
      <c r="Q206" s="48" t="s">
        <v>206</v>
      </c>
      <c r="S206" s="50"/>
      <c r="Y206" s="50"/>
    </row>
    <row r="207" spans="2:25" ht="15" customHeight="1">
      <c r="B207" s="50">
        <v>45.03</v>
      </c>
      <c r="C207" s="50" t="s">
        <v>860</v>
      </c>
      <c r="F207" s="50">
        <v>0.9</v>
      </c>
      <c r="G207" s="50">
        <v>0.9</v>
      </c>
      <c r="H207" s="50">
        <v>0.9</v>
      </c>
      <c r="N207" s="51">
        <v>1.0007999999999999</v>
      </c>
      <c r="Q207" s="48" t="s">
        <v>207</v>
      </c>
      <c r="S207" s="50"/>
      <c r="Y207" s="50"/>
    </row>
    <row r="208" spans="2:25" ht="15" customHeight="1">
      <c r="B208" s="50">
        <v>66.010000000000005</v>
      </c>
      <c r="C208" s="50" t="s">
        <v>863</v>
      </c>
      <c r="F208" s="50">
        <v>0.9</v>
      </c>
      <c r="G208" s="50">
        <v>0.9</v>
      </c>
      <c r="H208" s="50">
        <v>0.9</v>
      </c>
      <c r="N208" s="51">
        <v>1.0519000000000001</v>
      </c>
      <c r="Q208" s="48" t="s">
        <v>208</v>
      </c>
      <c r="R208" s="51"/>
      <c r="T208" s="51"/>
    </row>
    <row r="209" spans="2:25" ht="15" customHeight="1">
      <c r="B209" s="50">
        <v>66.02</v>
      </c>
      <c r="C209" s="50" t="s">
        <v>863</v>
      </c>
      <c r="F209" s="50">
        <v>0.9</v>
      </c>
      <c r="G209" s="50">
        <v>0.9</v>
      </c>
      <c r="H209" s="50">
        <v>0.9</v>
      </c>
      <c r="N209" s="51">
        <v>1.0441</v>
      </c>
      <c r="Q209" s="48">
        <v>69</v>
      </c>
      <c r="R209" s="51">
        <f>J8</f>
        <v>8.1453000000000007</v>
      </c>
      <c r="S209" s="51">
        <f t="shared" ref="S209:T209" si="164">K8</f>
        <v>8.1562000000000001</v>
      </c>
      <c r="T209" s="51">
        <f t="shared" si="164"/>
        <v>0</v>
      </c>
    </row>
    <row r="210" spans="2:25" ht="15" customHeight="1">
      <c r="B210" s="50">
        <v>66.03</v>
      </c>
      <c r="C210" s="50" t="s">
        <v>863</v>
      </c>
      <c r="F210" s="50">
        <v>0.9</v>
      </c>
      <c r="G210" s="50">
        <v>0.9</v>
      </c>
      <c r="H210" s="50">
        <v>0.9</v>
      </c>
      <c r="N210" s="51">
        <v>1.0456000000000001</v>
      </c>
      <c r="Q210" s="48" t="s">
        <v>209</v>
      </c>
      <c r="R210" s="51">
        <f>J9</f>
        <v>4.2839999999999998</v>
      </c>
      <c r="S210" s="51">
        <f t="shared" ref="S210:T210" si="165">K9</f>
        <v>4.2823000000000002</v>
      </c>
      <c r="T210" s="51">
        <f t="shared" si="165"/>
        <v>0</v>
      </c>
    </row>
    <row r="211" spans="2:25" ht="15" customHeight="1">
      <c r="B211" s="50">
        <v>66.040000000000006</v>
      </c>
      <c r="C211" s="50" t="s">
        <v>863</v>
      </c>
      <c r="F211" s="50">
        <v>0.9</v>
      </c>
      <c r="G211" s="50">
        <v>0.9</v>
      </c>
      <c r="H211" s="50">
        <v>0.9</v>
      </c>
      <c r="N211" s="51">
        <v>1.0114000000000001</v>
      </c>
      <c r="Q211" s="48" t="s">
        <v>210</v>
      </c>
      <c r="R211" s="51">
        <f>J10</f>
        <v>4.2884000000000002</v>
      </c>
      <c r="S211" s="51">
        <f t="shared" ref="S211:T211" si="166">K10</f>
        <v>4.2854999999999999</v>
      </c>
      <c r="T211" s="51">
        <f t="shared" si="166"/>
        <v>0</v>
      </c>
    </row>
    <row r="212" spans="2:25" ht="15" customHeight="1">
      <c r="B212" s="50">
        <v>46</v>
      </c>
      <c r="C212" s="50" t="s">
        <v>860</v>
      </c>
      <c r="F212" s="50">
        <v>0.95</v>
      </c>
      <c r="G212" s="50">
        <v>0.95</v>
      </c>
      <c r="H212" s="50">
        <v>0.95</v>
      </c>
      <c r="N212" s="51">
        <v>1.0399</v>
      </c>
      <c r="Q212" s="48" t="s">
        <v>211</v>
      </c>
      <c r="R212" s="50">
        <f>B117</f>
        <v>2.1999999999999999E-2</v>
      </c>
      <c r="S212" s="50">
        <f t="shared" ref="S212:T212" si="167">C117</f>
        <v>1.9E-2</v>
      </c>
      <c r="T212" s="50">
        <f t="shared" si="167"/>
        <v>0</v>
      </c>
      <c r="Y212" s="50"/>
    </row>
    <row r="213" spans="2:25" ht="15" customHeight="1">
      <c r="B213" s="50">
        <v>47</v>
      </c>
      <c r="C213" s="50" t="s">
        <v>863</v>
      </c>
      <c r="F213" s="50">
        <v>4.8899999999999997</v>
      </c>
      <c r="G213" s="50">
        <v>4.8899999999999997</v>
      </c>
      <c r="H213" s="50">
        <v>4.8899999999999997</v>
      </c>
      <c r="N213" s="51">
        <v>4.9534000000000002</v>
      </c>
      <c r="Q213" s="48" t="s">
        <v>212</v>
      </c>
      <c r="R213" s="50">
        <f>B118</f>
        <v>5.0000000000000001E-3</v>
      </c>
      <c r="S213" s="50">
        <f t="shared" ref="S213:T213" si="168">C118</f>
        <v>5.0000000000000001E-3</v>
      </c>
      <c r="T213" s="50">
        <f t="shared" si="168"/>
        <v>0</v>
      </c>
      <c r="Y213" s="50"/>
    </row>
    <row r="214" spans="2:25" ht="15" customHeight="1">
      <c r="B214" s="50">
        <v>48.01</v>
      </c>
      <c r="C214" s="50" t="s">
        <v>860</v>
      </c>
      <c r="F214" s="50">
        <v>4.6900000000000004</v>
      </c>
      <c r="G214" s="50">
        <v>4.6900000000000004</v>
      </c>
      <c r="H214" s="50">
        <v>4.6900000000000004</v>
      </c>
      <c r="N214" s="51">
        <v>4.7112999999999996</v>
      </c>
      <c r="Q214" s="48" t="s">
        <v>213</v>
      </c>
      <c r="R214" s="50">
        <f>B119</f>
        <v>8.0000000000000002E-3</v>
      </c>
      <c r="S214" s="50">
        <f t="shared" ref="S214:T214" si="169">C119</f>
        <v>7.0000000000000001E-3</v>
      </c>
      <c r="T214" s="50">
        <f t="shared" si="169"/>
        <v>0</v>
      </c>
      <c r="Y214" s="50"/>
    </row>
    <row r="215" spans="2:25" ht="15" customHeight="1">
      <c r="B215" s="50">
        <v>48.02</v>
      </c>
      <c r="C215" s="50" t="s">
        <v>860</v>
      </c>
      <c r="F215" s="50">
        <v>4.6900000000000004</v>
      </c>
      <c r="G215" s="50">
        <v>4.6900000000000004</v>
      </c>
      <c r="H215" s="50">
        <v>4.6900000000000004</v>
      </c>
      <c r="N215" s="51">
        <v>4.7125000000000004</v>
      </c>
      <c r="Q215" s="48">
        <v>75</v>
      </c>
      <c r="S215" s="50"/>
      <c r="Y215" s="50"/>
    </row>
    <row r="216" spans="2:25" ht="15" customHeight="1">
      <c r="B216" s="50">
        <v>50.01</v>
      </c>
      <c r="C216" s="50" t="s">
        <v>863</v>
      </c>
      <c r="F216" s="50">
        <v>0.96</v>
      </c>
      <c r="G216" s="50">
        <v>0.96</v>
      </c>
      <c r="H216" s="50">
        <v>0.96</v>
      </c>
      <c r="N216" s="51">
        <v>0.99319999999999997</v>
      </c>
      <c r="Q216" s="27">
        <v>76</v>
      </c>
      <c r="R216" s="51"/>
      <c r="T216" s="51"/>
    </row>
    <row r="217" spans="2:25" ht="15" customHeight="1">
      <c r="B217" s="50">
        <v>50.02</v>
      </c>
      <c r="C217" s="50" t="s">
        <v>863</v>
      </c>
      <c r="F217" s="50">
        <v>0.96</v>
      </c>
      <c r="G217" s="50">
        <v>0.96</v>
      </c>
      <c r="H217" s="50">
        <v>0.96</v>
      </c>
      <c r="N217" s="51">
        <v>0.99529999999999996</v>
      </c>
      <c r="Q217" s="27">
        <v>77</v>
      </c>
      <c r="R217" s="51">
        <f>J2</f>
        <v>6.6699999999999995E-2</v>
      </c>
      <c r="S217" s="51">
        <f t="shared" ref="S217:T217" si="170">K2</f>
        <v>5.2999999999999999E-2</v>
      </c>
      <c r="T217" s="51">
        <f t="shared" si="170"/>
        <v>0</v>
      </c>
    </row>
    <row r="218" spans="2:25" ht="15" customHeight="1">
      <c r="B218" s="50">
        <v>52.01</v>
      </c>
      <c r="C218" s="50" t="s">
        <v>863</v>
      </c>
      <c r="F218" s="50">
        <v>4.42</v>
      </c>
      <c r="G218" s="50">
        <v>4.42</v>
      </c>
      <c r="H218" s="50">
        <v>4.42</v>
      </c>
      <c r="N218" s="51">
        <v>4.3993000000000002</v>
      </c>
      <c r="Q218" s="27">
        <v>78.099999999999994</v>
      </c>
      <c r="R218" s="50">
        <f>B113</f>
        <v>7.1420000000000003</v>
      </c>
      <c r="S218" s="50">
        <f t="shared" ref="S218:T218" si="171">C113</f>
        <v>7.1360000000000001</v>
      </c>
      <c r="T218" s="50">
        <f t="shared" si="171"/>
        <v>0</v>
      </c>
      <c r="Y218" s="50"/>
    </row>
    <row r="219" spans="2:25" ht="15" customHeight="1">
      <c r="B219" s="50">
        <v>146.02000000000001</v>
      </c>
      <c r="C219" s="50" t="s">
        <v>861</v>
      </c>
      <c r="F219" s="50">
        <v>0.7</v>
      </c>
      <c r="G219" s="50">
        <v>0.7</v>
      </c>
      <c r="H219" s="50">
        <v>0.7</v>
      </c>
      <c r="N219" s="51">
        <v>0.71020000000000005</v>
      </c>
      <c r="Q219" s="27">
        <v>78.2</v>
      </c>
      <c r="R219" s="50">
        <f>B114</f>
        <v>7.1509999999999998</v>
      </c>
      <c r="S219" s="50">
        <f t="shared" ref="S219:T219" si="172">C114</f>
        <v>7.1529999999999996</v>
      </c>
      <c r="T219" s="50">
        <f t="shared" si="172"/>
        <v>0</v>
      </c>
      <c r="Y219" s="50"/>
    </row>
    <row r="220" spans="2:25" ht="15" customHeight="1">
      <c r="B220" s="50">
        <v>146.03</v>
      </c>
      <c r="C220" s="50" t="s">
        <v>863</v>
      </c>
      <c r="F220" s="50">
        <v>0.7</v>
      </c>
      <c r="G220" s="50">
        <v>0.7</v>
      </c>
      <c r="H220" s="50">
        <v>0.7</v>
      </c>
      <c r="N220" s="51">
        <v>0.67330000000000001</v>
      </c>
      <c r="Q220" s="27">
        <v>79.099999999999994</v>
      </c>
      <c r="R220" s="50">
        <f>B115</f>
        <v>7.165</v>
      </c>
      <c r="S220" s="50">
        <f t="shared" ref="S220:T220" si="173">C115</f>
        <v>7.1680000000000001</v>
      </c>
      <c r="T220" s="50">
        <f t="shared" si="173"/>
        <v>0</v>
      </c>
      <c r="Y220" s="50"/>
    </row>
    <row r="221" spans="2:25" ht="15" customHeight="1">
      <c r="B221" s="50">
        <v>146.04</v>
      </c>
      <c r="C221" s="50" t="s">
        <v>863</v>
      </c>
      <c r="F221" s="50">
        <v>0.7</v>
      </c>
      <c r="G221" s="50">
        <v>0.7</v>
      </c>
      <c r="H221" s="50">
        <v>0.7</v>
      </c>
      <c r="N221" s="51">
        <v>0.68530000000000002</v>
      </c>
      <c r="Q221" s="27">
        <v>79.2</v>
      </c>
      <c r="R221" s="50">
        <f>B116</f>
        <v>7.1680000000000001</v>
      </c>
      <c r="S221" s="50">
        <f t="shared" ref="S221:T221" si="174">C116</f>
        <v>7.1749999999999998</v>
      </c>
      <c r="T221" s="50">
        <f t="shared" si="174"/>
        <v>0</v>
      </c>
      <c r="Y221" s="50"/>
    </row>
    <row r="222" spans="2:25" ht="15" customHeight="1">
      <c r="B222" s="50">
        <v>146.05000000000001</v>
      </c>
      <c r="C222" s="50" t="s">
        <v>863</v>
      </c>
      <c r="F222" s="50">
        <v>0.7</v>
      </c>
      <c r="G222" s="50">
        <v>0.7</v>
      </c>
      <c r="H222" s="50">
        <v>0.7</v>
      </c>
      <c r="N222" s="51">
        <v>0.69620000000000004</v>
      </c>
      <c r="Q222" s="27">
        <v>80.099999999999994</v>
      </c>
      <c r="S222" s="50"/>
      <c r="V222" s="50"/>
      <c r="W222" s="50"/>
      <c r="X222" s="50"/>
      <c r="Y222" s="50"/>
    </row>
    <row r="223" spans="2:25" ht="15" customHeight="1">
      <c r="B223" s="50">
        <v>146.06</v>
      </c>
      <c r="C223" s="50" t="s">
        <v>861</v>
      </c>
      <c r="F223" s="50">
        <v>0.7</v>
      </c>
      <c r="G223" s="50">
        <v>0.7</v>
      </c>
      <c r="H223" s="50">
        <v>0.7</v>
      </c>
      <c r="N223" s="51">
        <v>0.70740000000000003</v>
      </c>
      <c r="Q223" s="27">
        <v>80.2</v>
      </c>
      <c r="S223" s="50"/>
      <c r="V223" s="50"/>
      <c r="W223" s="50"/>
      <c r="X223" s="50"/>
      <c r="Y223" s="50"/>
    </row>
    <row r="224" spans="2:25" ht="15" customHeight="1">
      <c r="B224" s="50">
        <v>146.07</v>
      </c>
      <c r="C224" s="50" t="s">
        <v>860</v>
      </c>
      <c r="F224" s="50">
        <v>0.7</v>
      </c>
      <c r="G224" s="50">
        <v>0.7</v>
      </c>
      <c r="H224" s="50">
        <v>0.7</v>
      </c>
      <c r="N224" s="51">
        <v>0.68889999999999996</v>
      </c>
      <c r="Q224" s="53">
        <v>81.099999999999994</v>
      </c>
      <c r="S224" s="50"/>
      <c r="V224" s="50"/>
      <c r="W224" s="50"/>
      <c r="X224" s="50"/>
      <c r="Y224" s="50"/>
    </row>
    <row r="225" spans="2:25" ht="15" customHeight="1">
      <c r="B225" s="50">
        <v>146.09</v>
      </c>
      <c r="C225" s="50" t="s">
        <v>860</v>
      </c>
      <c r="F225" s="50">
        <v>0.7</v>
      </c>
      <c r="G225" s="50">
        <v>0.7</v>
      </c>
      <c r="H225" s="50">
        <v>0.7</v>
      </c>
      <c r="N225" s="51">
        <v>0.69069999999999998</v>
      </c>
      <c r="Q225" s="54">
        <v>81.2</v>
      </c>
      <c r="S225" s="50"/>
      <c r="V225" s="50"/>
      <c r="W225" s="50"/>
      <c r="X225" s="50"/>
      <c r="Y225" s="50"/>
    </row>
    <row r="226" spans="2:25" ht="15" customHeight="1">
      <c r="B226" s="50">
        <v>146.1</v>
      </c>
      <c r="C226" s="50" t="s">
        <v>861</v>
      </c>
      <c r="F226" s="50">
        <v>0.7</v>
      </c>
      <c r="G226" s="50">
        <v>0.7</v>
      </c>
      <c r="H226" s="50">
        <v>0.7</v>
      </c>
      <c r="N226" s="51">
        <v>0.71509999999999996</v>
      </c>
      <c r="Q226" s="54">
        <v>82.1</v>
      </c>
      <c r="S226" s="50"/>
      <c r="V226" s="50"/>
      <c r="W226" s="50"/>
      <c r="X226" s="50"/>
      <c r="Y226" s="50"/>
    </row>
    <row r="227" spans="2:25" ht="15" customHeight="1">
      <c r="B227" s="50">
        <v>146.11000000000001</v>
      </c>
      <c r="C227" s="50" t="s">
        <v>863</v>
      </c>
      <c r="F227" s="50">
        <v>0.7</v>
      </c>
      <c r="G227" s="50">
        <v>0.7</v>
      </c>
      <c r="H227" s="50">
        <v>0.7</v>
      </c>
      <c r="N227" s="51">
        <v>0.70050000000000001</v>
      </c>
      <c r="Q227" s="27">
        <v>82.2</v>
      </c>
      <c r="S227" s="50"/>
      <c r="V227" s="50"/>
      <c r="W227" s="50"/>
      <c r="X227" s="50"/>
      <c r="Y227" s="50"/>
    </row>
    <row r="228" spans="2:25" ht="15" customHeight="1">
      <c r="B228" s="50">
        <v>93.01</v>
      </c>
      <c r="C228" s="50" t="s">
        <v>861</v>
      </c>
      <c r="F228" s="50">
        <v>0.49</v>
      </c>
      <c r="G228" s="50">
        <v>0.49</v>
      </c>
      <c r="H228" s="50">
        <v>0.49</v>
      </c>
      <c r="N228" s="51">
        <v>0.49230000000000002</v>
      </c>
      <c r="Q228" s="27">
        <v>83.1</v>
      </c>
      <c r="S228" s="50"/>
      <c r="V228" s="50"/>
      <c r="W228" s="50"/>
      <c r="X228" s="50"/>
      <c r="Y228" s="50"/>
    </row>
    <row r="229" spans="2:25" ht="15" customHeight="1">
      <c r="Q229" s="27">
        <v>83.2</v>
      </c>
      <c r="S229" s="50"/>
      <c r="V229" s="50"/>
      <c r="W229" s="50"/>
      <c r="X229" s="50"/>
      <c r="Y229" s="50"/>
    </row>
  </sheetData>
  <phoneticPr fontId="23" type="noConversion"/>
  <conditionalFormatting sqref="AA1:AC8">
    <cfRule type="containsBlanks" dxfId="41" priority="24">
      <formula>LEN(TRIM(AA1))=0</formula>
    </cfRule>
  </conditionalFormatting>
  <conditionalFormatting sqref="AA1:AC8">
    <cfRule type="expression" dxfId="40" priority="21">
      <formula>AND($K1&lt;&gt;"",AA1&lt;$K1)</formula>
    </cfRule>
    <cfRule type="expression" dxfId="39" priority="22">
      <formula>AND($J1&lt;&gt;"",AA1&gt;$J1)</formula>
    </cfRule>
    <cfRule type="notContainsBlanks" dxfId="38" priority="23">
      <formula>LEN(TRIM(AA1))&gt;0</formula>
    </cfRule>
  </conditionalFormatting>
  <conditionalFormatting sqref="AA1:AC12">
    <cfRule type="containsBlanks" dxfId="37" priority="20">
      <formula>LEN(TRIM(AA1))=0</formula>
    </cfRule>
  </conditionalFormatting>
  <conditionalFormatting sqref="AA1:AC12">
    <cfRule type="expression" dxfId="36" priority="17">
      <formula>AND($K1&lt;&gt;"",AA1&lt;$K1)</formula>
    </cfRule>
    <cfRule type="expression" dxfId="35" priority="18">
      <formula>AND($J1&lt;&gt;"",AA1&gt;$J1)</formula>
    </cfRule>
    <cfRule type="notContainsBlanks" dxfId="34" priority="19">
      <formula>LEN(TRIM(AA1))&gt;0</formula>
    </cfRule>
  </conditionalFormatting>
  <conditionalFormatting sqref="AA1:AC6">
    <cfRule type="containsBlanks" dxfId="33" priority="16">
      <formula>LEN(TRIM(AA1))=0</formula>
    </cfRule>
  </conditionalFormatting>
  <conditionalFormatting sqref="AA1:AC6">
    <cfRule type="expression" dxfId="32" priority="13">
      <formula>AND($K1&lt;&gt;"",AA1&lt;$K1)</formula>
    </cfRule>
    <cfRule type="expression" dxfId="31" priority="14">
      <formula>AND($J1&lt;&gt;"",AA1&gt;$J1)</formula>
    </cfRule>
    <cfRule type="notContainsBlanks" dxfId="30" priority="15">
      <formula>LEN(TRIM(AA1))&gt;0</formula>
    </cfRule>
  </conditionalFormatting>
  <conditionalFormatting sqref="AB1:AC6">
    <cfRule type="containsBlanks" dxfId="29" priority="12">
      <formula>LEN(TRIM(AB1))=0</formula>
    </cfRule>
  </conditionalFormatting>
  <conditionalFormatting sqref="AB1:AC6">
    <cfRule type="expression" dxfId="28" priority="9">
      <formula>AND($K1&lt;&gt;"",AB1&lt;$K1)</formula>
    </cfRule>
    <cfRule type="expression" dxfId="27" priority="10">
      <formula>AND($J1&lt;&gt;"",AB1&gt;$J1)</formula>
    </cfRule>
    <cfRule type="notContainsBlanks" dxfId="26" priority="11">
      <formula>LEN(TRIM(AB1))&gt;0</formula>
    </cfRule>
  </conditionalFormatting>
  <conditionalFormatting sqref="AA1:AC13">
    <cfRule type="containsBlanks" dxfId="25" priority="8">
      <formula>LEN(TRIM(AA1))=0</formula>
    </cfRule>
  </conditionalFormatting>
  <conditionalFormatting sqref="AA1:AC13">
    <cfRule type="expression" dxfId="24" priority="5">
      <formula>AND($K1&lt;&gt;"",AA1&lt;$K1)</formula>
    </cfRule>
    <cfRule type="expression" dxfId="23" priority="6">
      <formula>AND($J1&lt;&gt;"",AA1&gt;$J1)</formula>
    </cfRule>
    <cfRule type="notContainsBlanks" dxfId="22" priority="7">
      <formula>LEN(TRIM(AA1))&gt;0</formula>
    </cfRule>
  </conditionalFormatting>
  <conditionalFormatting sqref="AA1:AC6">
    <cfRule type="containsBlanks" dxfId="21" priority="4">
      <formula>LEN(TRIM(AA1))=0</formula>
    </cfRule>
  </conditionalFormatting>
  <conditionalFormatting sqref="AA1:AC6">
    <cfRule type="expression" dxfId="20" priority="1">
      <formula>AND($K1&lt;&gt;"",AA1&lt;$K1)</formula>
    </cfRule>
    <cfRule type="expression" dxfId="19" priority="2">
      <formula>AND($J1&lt;&gt;"",AA1&gt;$J1)</formula>
    </cfRule>
    <cfRule type="notContainsBlanks" dxfId="18" priority="3">
      <formula>LEN(TRIM(AA1))&gt;0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Cav1</vt:lpstr>
      <vt:lpstr>Cav2</vt:lpstr>
      <vt:lpstr>Setup</vt:lpstr>
      <vt:lpstr>OMM整理表</vt:lpstr>
      <vt:lpstr>1#整理</vt:lpstr>
    </vt:vector>
  </TitlesOfParts>
  <Company>Apple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JiangGi Fam</cp:lastModifiedBy>
  <cp:lastPrinted>2017-07-05T22:20:36Z</cp:lastPrinted>
  <dcterms:created xsi:type="dcterms:W3CDTF">2012-05-22T11:55:56Z</dcterms:created>
  <dcterms:modified xsi:type="dcterms:W3CDTF">2019-11-04T00:56:11Z</dcterms:modified>
</cp:coreProperties>
</file>